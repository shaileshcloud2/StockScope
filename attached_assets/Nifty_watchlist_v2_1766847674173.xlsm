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20/02/relationships/classificationlabels" Target="docMetadata/LabelInfo.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3"/>
  <workbookPr hidePivotFieldList="1" defaultThemeVersion="166925"/>
  <mc:AlternateContent xmlns:mc="http://schemas.openxmlformats.org/markup-compatibility/2006">
    <mc:Choice Requires="x15">
      <x15ac:absPath xmlns:x15ac="http://schemas.microsoft.com/office/spreadsheetml/2010/11/ac" url="D:\working\waccache\LN2PEPF0000BD2E\EXCELCNV\d5da408e-3cfe-4839-8db5-dd71af83b4d2\"/>
    </mc:Choice>
  </mc:AlternateContent>
  <xr:revisionPtr revIDLastSave="0" documentId="8_{897430C5-CB47-40F6-B4ED-AB528CF972B1}" xr6:coauthVersionLast="47" xr6:coauthVersionMax="47" xr10:uidLastSave="{00000000-0000-0000-0000-000000000000}"/>
  <bookViews>
    <workbookView xWindow="-60" yWindow="-60" windowWidth="15480" windowHeight="11640" firstSheet="10" xr2:uid="{00000000-000D-0000-FFFF-FFFF00000000}"/>
  </bookViews>
  <sheets>
    <sheet name="All stock" sheetId="1" r:id="rId1"/>
    <sheet name="Bank services" sheetId="4" r:id="rId2"/>
    <sheet name="IT" sheetId="2" r:id="rId3"/>
    <sheet name="Chemical" sheetId="5" r:id="rId4"/>
    <sheet name="Rail" sheetId="6" r:id="rId5"/>
    <sheet name="Index" sheetId="8" r:id="rId6"/>
    <sheet name="Table" sheetId="13" r:id="rId7"/>
    <sheet name="Nifty 50" sheetId="10" r:id="rId8"/>
    <sheet name="Nifty Next 50" sheetId="12" r:id="rId9"/>
    <sheet name="Nifty 200" sheetId="11" r:id="rId10"/>
    <sheet name="Nifty 500" sheetId="18" r:id="rId11"/>
  </sheets>
  <definedNames>
    <definedName name="_xlnm._FilterDatabase" localSheetId="7" hidden="1">'Nifty 50'!$A$1:$N$51</definedName>
    <definedName name="_xlnm._FilterDatabase" localSheetId="8" hidden="1">'Nifty Next 50'!$A$1:$O$52</definedName>
    <definedName name="_xlnm._FilterDatabase" localSheetId="0" hidden="1">'All stock'!$A$1:$M$1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4" i="1" l="1" a="1"/>
  <c r="M64" i="1"/>
  <c r="B110" i="1" a="1"/>
  <c r="B110" i="1"/>
  <c r="C110" i="1" a="1"/>
  <c r="C110" i="1"/>
  <c r="D110" i="1" a="1"/>
  <c r="D110" i="1"/>
  <c r="E110" i="1" a="1"/>
  <c r="E110" i="1"/>
  <c r="F110" i="1" a="1"/>
  <c r="F110" i="1"/>
  <c r="G110" i="1" a="1"/>
  <c r="G110" i="1"/>
  <c r="H110" i="1" a="1"/>
  <c r="H110" i="1"/>
  <c r="I110" i="1"/>
  <c r="K110" i="1" a="1"/>
  <c r="K110" i="1"/>
  <c r="L110" i="1"/>
  <c r="J110" i="1" s="1"/>
  <c r="M110" i="1" a="1"/>
  <c r="M110" i="1"/>
  <c r="B111" i="1" a="1"/>
  <c r="B111" i="1"/>
  <c r="C111" i="1" a="1"/>
  <c r="C111" i="1"/>
  <c r="D111" i="1" a="1"/>
  <c r="D111" i="1"/>
  <c r="E111" i="1" a="1"/>
  <c r="E111" i="1"/>
  <c r="F111" i="1" a="1"/>
  <c r="F111" i="1"/>
  <c r="G111" i="1" a="1"/>
  <c r="G111" i="1"/>
  <c r="H111" i="1" a="1"/>
  <c r="H111" i="1"/>
  <c r="I111" i="1"/>
  <c r="K111" i="1" a="1"/>
  <c r="K111" i="1"/>
  <c r="L111" i="1"/>
  <c r="J111" i="1" s="1"/>
  <c r="M111" i="1" a="1"/>
  <c r="M111" i="1"/>
  <c r="B112" i="1" a="1"/>
  <c r="B112" i="1"/>
  <c r="C112" i="1" a="1"/>
  <c r="C112" i="1"/>
  <c r="D112" i="1" a="1"/>
  <c r="D112" i="1"/>
  <c r="E112" i="1" a="1"/>
  <c r="E112" i="1"/>
  <c r="F112" i="1" a="1"/>
  <c r="F112" i="1"/>
  <c r="G112" i="1" a="1"/>
  <c r="G112" i="1"/>
  <c r="H112" i="1" a="1"/>
  <c r="H112" i="1"/>
  <c r="I112" i="1"/>
  <c r="K112" i="1" a="1"/>
  <c r="K112" i="1"/>
  <c r="L112" i="1"/>
  <c r="J112" i="1" s="1"/>
  <c r="M112" i="1" a="1"/>
  <c r="M112" i="1"/>
  <c r="B113" i="1" a="1"/>
  <c r="B113" i="1"/>
  <c r="C113" i="1" a="1"/>
  <c r="C113" i="1"/>
  <c r="D113" i="1" a="1"/>
  <c r="D113" i="1"/>
  <c r="E113" i="1" a="1"/>
  <c r="E113" i="1"/>
  <c r="F113" i="1" a="1"/>
  <c r="F113" i="1"/>
  <c r="G113" i="1" a="1"/>
  <c r="G113" i="1"/>
  <c r="H113" i="1" a="1"/>
  <c r="H113" i="1"/>
  <c r="I113" i="1"/>
  <c r="K113" i="1" a="1"/>
  <c r="K113" i="1"/>
  <c r="L113" i="1"/>
  <c r="J113" i="1" s="1"/>
  <c r="M113" i="1" a="1"/>
  <c r="M113" i="1"/>
  <c r="B114" i="1" a="1"/>
  <c r="B114" i="1"/>
  <c r="C114" i="1" a="1"/>
  <c r="C114" i="1"/>
  <c r="D114" i="1" a="1"/>
  <c r="D114" i="1"/>
  <c r="E114" i="1" a="1"/>
  <c r="E114" i="1"/>
  <c r="F114" i="1" a="1"/>
  <c r="F114" i="1"/>
  <c r="G114" i="1" a="1"/>
  <c r="G114" i="1"/>
  <c r="H114" i="1" a="1"/>
  <c r="H114" i="1"/>
  <c r="I114" i="1"/>
  <c r="K114" i="1" a="1"/>
  <c r="K114" i="1"/>
  <c r="L114" i="1"/>
  <c r="J114" i="1" s="1"/>
  <c r="M114" i="1" a="1"/>
  <c r="M114" i="1"/>
  <c r="B115" i="1" a="1"/>
  <c r="B115" i="1"/>
  <c r="C115" i="1" a="1"/>
  <c r="C115" i="1"/>
  <c r="D115" i="1" a="1"/>
  <c r="D115" i="1"/>
  <c r="E115" i="1" a="1"/>
  <c r="E115" i="1"/>
  <c r="F115" i="1" a="1"/>
  <c r="F115" i="1"/>
  <c r="G115" i="1" a="1"/>
  <c r="G115" i="1"/>
  <c r="H115" i="1" a="1"/>
  <c r="H115" i="1"/>
  <c r="I115" i="1"/>
  <c r="K115" i="1" a="1"/>
  <c r="K115" i="1"/>
  <c r="L115" i="1"/>
  <c r="J115" i="1" s="1"/>
  <c r="M115" i="1" a="1"/>
  <c r="M115" i="1"/>
  <c r="B116" i="1" a="1"/>
  <c r="B116" i="1"/>
  <c r="C116" i="1" a="1"/>
  <c r="C116" i="1"/>
  <c r="D116" i="1" a="1"/>
  <c r="D116" i="1"/>
  <c r="E116" i="1" a="1"/>
  <c r="E116" i="1"/>
  <c r="F116" i="1" a="1"/>
  <c r="F116" i="1"/>
  <c r="G116" i="1" a="1"/>
  <c r="G116" i="1"/>
  <c r="H116" i="1" a="1"/>
  <c r="H116" i="1"/>
  <c r="I116" i="1"/>
  <c r="K116" i="1" a="1"/>
  <c r="K116" i="1"/>
  <c r="L116" i="1"/>
  <c r="J116" i="1" s="1"/>
  <c r="M116" i="1" a="1"/>
  <c r="M116" i="1"/>
  <c r="B117" i="1" a="1"/>
  <c r="B117" i="1"/>
  <c r="C117" i="1" a="1"/>
  <c r="C117" i="1"/>
  <c r="D117" i="1" a="1"/>
  <c r="D117" i="1"/>
  <c r="E117" i="1" a="1"/>
  <c r="E117" i="1"/>
  <c r="F117" i="1" a="1"/>
  <c r="F117" i="1"/>
  <c r="G117" i="1" a="1"/>
  <c r="G117" i="1"/>
  <c r="H117" i="1" a="1"/>
  <c r="H117" i="1"/>
  <c r="I117" i="1"/>
  <c r="K117" i="1" a="1"/>
  <c r="K117" i="1"/>
  <c r="L117" i="1"/>
  <c r="J117" i="1" s="1"/>
  <c r="M117" i="1" a="1"/>
  <c r="M117" i="1"/>
  <c r="B118" i="1" a="1"/>
  <c r="B118" i="1"/>
  <c r="C118" i="1" a="1"/>
  <c r="C118" i="1"/>
  <c r="D118" i="1" a="1"/>
  <c r="D118" i="1"/>
  <c r="E118" i="1" a="1"/>
  <c r="E118" i="1"/>
  <c r="F118" i="1" a="1"/>
  <c r="F118" i="1"/>
  <c r="G118" i="1" a="1"/>
  <c r="G118" i="1"/>
  <c r="H118" i="1" a="1"/>
  <c r="H118" i="1"/>
  <c r="I118" i="1"/>
  <c r="K118" i="1" a="1"/>
  <c r="K118" i="1"/>
  <c r="L118" i="1"/>
  <c r="J118" i="1" s="1"/>
  <c r="M118" i="1" a="1"/>
  <c r="M118" i="1"/>
  <c r="B119" i="1" a="1"/>
  <c r="B119" i="1"/>
  <c r="C119" i="1" a="1"/>
  <c r="C119" i="1"/>
  <c r="D119" i="1" a="1"/>
  <c r="D119" i="1"/>
  <c r="E119" i="1" a="1"/>
  <c r="E119" i="1"/>
  <c r="F119" i="1" a="1"/>
  <c r="F119" i="1"/>
  <c r="G119" i="1" a="1"/>
  <c r="G119" i="1"/>
  <c r="H119" i="1" a="1"/>
  <c r="H119" i="1"/>
  <c r="I119" i="1"/>
  <c r="K119" i="1" a="1"/>
  <c r="K119" i="1"/>
  <c r="L119" i="1"/>
  <c r="J119" i="1" s="1"/>
  <c r="M119" i="1" a="1"/>
  <c r="M119" i="1"/>
  <c r="B120" i="1" a="1"/>
  <c r="B120" i="1"/>
  <c r="C120" i="1" a="1"/>
  <c r="C120" i="1"/>
  <c r="D120" i="1" a="1"/>
  <c r="D120" i="1"/>
  <c r="E120" i="1" a="1"/>
  <c r="E120" i="1"/>
  <c r="F120" i="1" a="1"/>
  <c r="F120" i="1"/>
  <c r="G120" i="1" a="1"/>
  <c r="G120" i="1"/>
  <c r="H120" i="1" a="1"/>
  <c r="H120" i="1"/>
  <c r="I120" i="1"/>
  <c r="K120" i="1" a="1"/>
  <c r="K120" i="1"/>
  <c r="L120" i="1"/>
  <c r="J120" i="1" s="1"/>
  <c r="M120" i="1" a="1"/>
  <c r="M120" i="1"/>
  <c r="B121" i="1" a="1"/>
  <c r="B121" i="1"/>
  <c r="C121" i="1" a="1"/>
  <c r="C121" i="1"/>
  <c r="D121" i="1" a="1"/>
  <c r="D121" i="1"/>
  <c r="E121" i="1" a="1"/>
  <c r="E121" i="1"/>
  <c r="F121" i="1" a="1"/>
  <c r="F121" i="1"/>
  <c r="G121" i="1" a="1"/>
  <c r="G121" i="1"/>
  <c r="H121" i="1" a="1"/>
  <c r="H121" i="1"/>
  <c r="I121" i="1"/>
  <c r="K121" i="1" a="1"/>
  <c r="K121" i="1"/>
  <c r="L121" i="1"/>
  <c r="J121" i="1" s="1"/>
  <c r="M121" i="1" a="1"/>
  <c r="M121" i="1"/>
  <c r="B122" i="1" a="1"/>
  <c r="B122" i="1"/>
  <c r="C122" i="1" a="1"/>
  <c r="C122" i="1"/>
  <c r="D122" i="1" a="1"/>
  <c r="D122" i="1"/>
  <c r="E122" i="1" a="1"/>
  <c r="E122" i="1"/>
  <c r="F122" i="1" a="1"/>
  <c r="F122" i="1"/>
  <c r="G122" i="1" a="1"/>
  <c r="G122" i="1"/>
  <c r="H122" i="1" a="1"/>
  <c r="H122" i="1"/>
  <c r="I122" i="1"/>
  <c r="K122" i="1" a="1"/>
  <c r="K122" i="1"/>
  <c r="L122" i="1"/>
  <c r="J122" i="1" s="1"/>
  <c r="M122" i="1" a="1"/>
  <c r="M122" i="1"/>
  <c r="B123" i="1" a="1"/>
  <c r="B123" i="1"/>
  <c r="C123" i="1" a="1"/>
  <c r="C123" i="1"/>
  <c r="D123" i="1" a="1"/>
  <c r="D123" i="1"/>
  <c r="E123" i="1" a="1"/>
  <c r="E123" i="1"/>
  <c r="F123" i="1" a="1"/>
  <c r="F123" i="1"/>
  <c r="G123" i="1" a="1"/>
  <c r="G123" i="1"/>
  <c r="H123" i="1" a="1"/>
  <c r="H123" i="1"/>
  <c r="I123" i="1"/>
  <c r="K123" i="1" a="1"/>
  <c r="K123" i="1"/>
  <c r="L123" i="1"/>
  <c r="J123" i="1" s="1"/>
  <c r="M123" i="1" a="1"/>
  <c r="M123" i="1"/>
  <c r="B124" i="1" a="1"/>
  <c r="B124" i="1"/>
  <c r="C124" i="1" a="1"/>
  <c r="C124" i="1"/>
  <c r="D124" i="1" a="1"/>
  <c r="D124" i="1"/>
  <c r="E124" i="1" a="1"/>
  <c r="E124" i="1"/>
  <c r="F124" i="1" a="1"/>
  <c r="F124" i="1"/>
  <c r="G124" i="1" a="1"/>
  <c r="G124" i="1"/>
  <c r="H124" i="1" a="1"/>
  <c r="H124" i="1"/>
  <c r="I124" i="1"/>
  <c r="K124" i="1" a="1"/>
  <c r="K124" i="1"/>
  <c r="L124" i="1"/>
  <c r="J124" i="1" s="1"/>
  <c r="M124" i="1" a="1"/>
  <c r="M124" i="1"/>
  <c r="B125" i="1" a="1"/>
  <c r="B125" i="1"/>
  <c r="C125" i="1" a="1"/>
  <c r="C125" i="1"/>
  <c r="D125" i="1" a="1"/>
  <c r="D125" i="1"/>
  <c r="E125" i="1" a="1"/>
  <c r="E125" i="1"/>
  <c r="F125" i="1" a="1"/>
  <c r="F125" i="1"/>
  <c r="G125" i="1" a="1"/>
  <c r="G125" i="1"/>
  <c r="H125" i="1" a="1"/>
  <c r="H125" i="1"/>
  <c r="I125" i="1"/>
  <c r="K125" i="1" a="1"/>
  <c r="K125" i="1"/>
  <c r="L125" i="1"/>
  <c r="J125" i="1" s="1"/>
  <c r="M125" i="1" a="1"/>
  <c r="M125" i="1"/>
  <c r="B126" i="1" a="1"/>
  <c r="B126" i="1"/>
  <c r="C126" i="1" a="1"/>
  <c r="C126" i="1"/>
  <c r="D126" i="1" a="1"/>
  <c r="D126" i="1"/>
  <c r="E126" i="1" a="1"/>
  <c r="E126" i="1"/>
  <c r="F126" i="1" a="1"/>
  <c r="F126" i="1"/>
  <c r="G126" i="1" a="1"/>
  <c r="G126" i="1"/>
  <c r="H126" i="1" a="1"/>
  <c r="H126" i="1"/>
  <c r="I126" i="1"/>
  <c r="K126" i="1" a="1"/>
  <c r="K126" i="1"/>
  <c r="L126" i="1"/>
  <c r="J126" i="1" s="1"/>
  <c r="M126" i="1" a="1"/>
  <c r="M126" i="1"/>
  <c r="B127" i="1" a="1"/>
  <c r="B127" i="1"/>
  <c r="C127" i="1" a="1"/>
  <c r="C127" i="1"/>
  <c r="D127" i="1" a="1"/>
  <c r="D127" i="1"/>
  <c r="E127" i="1" a="1"/>
  <c r="E127" i="1"/>
  <c r="F127" i="1" a="1"/>
  <c r="F127" i="1"/>
  <c r="G127" i="1" a="1"/>
  <c r="G127" i="1"/>
  <c r="H127" i="1" a="1"/>
  <c r="H127" i="1"/>
  <c r="I127" i="1"/>
  <c r="K127" i="1" a="1"/>
  <c r="K127" i="1"/>
  <c r="L127" i="1"/>
  <c r="J127" i="1" s="1"/>
  <c r="M127" i="1" a="1"/>
  <c r="M127" i="1"/>
  <c r="B128" i="1" a="1"/>
  <c r="B128" i="1"/>
  <c r="C128" i="1" a="1"/>
  <c r="C128" i="1"/>
  <c r="D128" i="1" a="1"/>
  <c r="D128" i="1"/>
  <c r="E128" i="1" a="1"/>
  <c r="E128" i="1"/>
  <c r="F128" i="1" a="1"/>
  <c r="F128" i="1"/>
  <c r="G128" i="1" a="1"/>
  <c r="G128" i="1"/>
  <c r="H128" i="1" a="1"/>
  <c r="H128" i="1"/>
  <c r="I128" i="1"/>
  <c r="K128" i="1" a="1"/>
  <c r="K128" i="1"/>
  <c r="L128" i="1"/>
  <c r="J128" i="1" s="1"/>
  <c r="M128" i="1" a="1"/>
  <c r="M128" i="1"/>
  <c r="B129" i="1" a="1"/>
  <c r="B129" i="1"/>
  <c r="C129" i="1" a="1"/>
  <c r="C129" i="1"/>
  <c r="D129" i="1" a="1"/>
  <c r="D129" i="1"/>
  <c r="E129" i="1" a="1"/>
  <c r="E129" i="1"/>
  <c r="F129" i="1" a="1"/>
  <c r="F129" i="1"/>
  <c r="G129" i="1" a="1"/>
  <c r="G129" i="1"/>
  <c r="H129" i="1" a="1"/>
  <c r="H129" i="1"/>
  <c r="I129" i="1"/>
  <c r="K129" i="1" a="1"/>
  <c r="K129" i="1"/>
  <c r="L129" i="1"/>
  <c r="J129" i="1" s="1"/>
  <c r="M129" i="1" a="1"/>
  <c r="M129" i="1"/>
  <c r="B130" i="1" a="1"/>
  <c r="B130" i="1"/>
  <c r="C130" i="1" a="1"/>
  <c r="C130" i="1"/>
  <c r="D130" i="1" a="1"/>
  <c r="D130" i="1"/>
  <c r="E130" i="1" a="1"/>
  <c r="E130" i="1"/>
  <c r="F130" i="1" a="1"/>
  <c r="F130" i="1"/>
  <c r="G130" i="1" a="1"/>
  <c r="G130" i="1"/>
  <c r="H130" i="1" a="1"/>
  <c r="H130" i="1"/>
  <c r="I130" i="1"/>
  <c r="K130" i="1" a="1"/>
  <c r="K130" i="1"/>
  <c r="L130" i="1"/>
  <c r="J130" i="1" s="1"/>
  <c r="M130" i="1" a="1"/>
  <c r="M130" i="1"/>
  <c r="B131" i="1" a="1"/>
  <c r="B131" i="1"/>
  <c r="C131" i="1" a="1"/>
  <c r="C131" i="1"/>
  <c r="D131" i="1" a="1"/>
  <c r="D131" i="1"/>
  <c r="E131" i="1" a="1"/>
  <c r="E131" i="1"/>
  <c r="F131" i="1" a="1"/>
  <c r="F131" i="1"/>
  <c r="G131" i="1" a="1"/>
  <c r="G131" i="1"/>
  <c r="H131" i="1" a="1"/>
  <c r="H131" i="1"/>
  <c r="I131" i="1"/>
  <c r="K131" i="1" a="1"/>
  <c r="K131" i="1"/>
  <c r="L131" i="1"/>
  <c r="J131" i="1" s="1"/>
  <c r="M131" i="1" a="1"/>
  <c r="M131" i="1"/>
  <c r="B132" i="1" a="1"/>
  <c r="B132" i="1"/>
  <c r="C132" i="1" a="1"/>
  <c r="C132" i="1"/>
  <c r="D132" i="1" a="1"/>
  <c r="D132" i="1"/>
  <c r="E132" i="1" a="1"/>
  <c r="E132" i="1"/>
  <c r="F132" i="1" a="1"/>
  <c r="F132" i="1"/>
  <c r="G132" i="1" a="1"/>
  <c r="G132" i="1"/>
  <c r="H132" i="1" a="1"/>
  <c r="H132" i="1"/>
  <c r="I132" i="1"/>
  <c r="K132" i="1" a="1"/>
  <c r="K132" i="1"/>
  <c r="L132" i="1"/>
  <c r="J132" i="1" s="1"/>
  <c r="M132" i="1" a="1"/>
  <c r="M132" i="1"/>
  <c r="B133" i="1" a="1"/>
  <c r="B133" i="1"/>
  <c r="C133" i="1" a="1"/>
  <c r="C133" i="1"/>
  <c r="D133" i="1" a="1"/>
  <c r="D133" i="1"/>
  <c r="E133" i="1" a="1"/>
  <c r="E133" i="1"/>
  <c r="F133" i="1" a="1"/>
  <c r="F133" i="1"/>
  <c r="G133" i="1" a="1"/>
  <c r="G133" i="1"/>
  <c r="H133" i="1" a="1"/>
  <c r="H133" i="1"/>
  <c r="I133" i="1"/>
  <c r="K133" i="1" a="1"/>
  <c r="K133" i="1"/>
  <c r="L133" i="1"/>
  <c r="J133" i="1" s="1"/>
  <c r="M133" i="1" a="1"/>
  <c r="M133" i="1"/>
  <c r="B134" i="1" a="1"/>
  <c r="B134" i="1"/>
  <c r="C134" i="1" a="1"/>
  <c r="C134" i="1"/>
  <c r="D134" i="1" a="1"/>
  <c r="D134" i="1"/>
  <c r="E134" i="1" a="1"/>
  <c r="E134" i="1"/>
  <c r="F134" i="1" a="1"/>
  <c r="F134" i="1"/>
  <c r="G134" i="1" a="1"/>
  <c r="G134" i="1"/>
  <c r="H134" i="1" a="1"/>
  <c r="H134" i="1"/>
  <c r="I134" i="1"/>
  <c r="K134" i="1" a="1"/>
  <c r="K134" i="1"/>
  <c r="L134" i="1"/>
  <c r="J134" i="1" s="1"/>
  <c r="M134" i="1" a="1"/>
  <c r="M134" i="1"/>
  <c r="B52" i="12" a="1"/>
  <c r="B52" i="12"/>
  <c r="C52" i="12" a="1"/>
  <c r="C52" i="12"/>
  <c r="D52" i="12" a="1"/>
  <c r="D52" i="12"/>
  <c r="E52" i="12" a="1"/>
  <c r="E52" i="12"/>
  <c r="F52" i="12" a="1"/>
  <c r="F52" i="12"/>
  <c r="G52" i="12" a="1"/>
  <c r="G52" i="12"/>
  <c r="H52" i="12" a="1"/>
  <c r="H52" i="12"/>
  <c r="I52" i="12"/>
  <c r="K52" i="12"/>
  <c r="L52" i="12" a="1"/>
  <c r="L52" i="12"/>
  <c r="M52" i="12"/>
  <c r="J52" i="12" s="1"/>
  <c r="O52" i="12" a="1"/>
  <c r="O52" i="12"/>
  <c r="C12" i="2" a="1"/>
  <c r="C12" i="2"/>
  <c r="D12" i="2" a="1"/>
  <c r="D12" i="2"/>
  <c r="E12" i="2" a="1"/>
  <c r="E12" i="2"/>
  <c r="F12" i="2" a="1"/>
  <c r="F12" i="2"/>
  <c r="G12" i="2" a="1"/>
  <c r="G12" i="2"/>
  <c r="H12" i="2" a="1"/>
  <c r="H12" i="2"/>
  <c r="I12" i="2" a="1"/>
  <c r="I12" i="2"/>
  <c r="J12" i="2" a="1"/>
  <c r="J12" i="2"/>
  <c r="K12" i="2" a="1"/>
  <c r="K12" i="2"/>
  <c r="L12" i="2" a="1"/>
  <c r="L12" i="2"/>
  <c r="N500" i="18" a="1"/>
  <c r="N500" i="18"/>
  <c r="L500" i="18" a="1"/>
  <c r="L500" i="18"/>
  <c r="M500" i="18" s="1"/>
  <c r="H500" i="18" a="1"/>
  <c r="H500" i="18"/>
  <c r="G500" i="18" a="1"/>
  <c r="G500" i="18"/>
  <c r="F500" i="18" a="1"/>
  <c r="F500" i="18"/>
  <c r="E500" i="18" a="1"/>
  <c r="E500" i="18"/>
  <c r="D500" i="18" a="1"/>
  <c r="D500" i="18"/>
  <c r="C500" i="18" a="1"/>
  <c r="C500" i="18"/>
  <c r="B500" i="18" a="1"/>
  <c r="B500" i="18"/>
  <c r="N499" i="18" a="1"/>
  <c r="N499" i="18"/>
  <c r="L499" i="18" a="1"/>
  <c r="L499" i="18"/>
  <c r="M499" i="18" s="1"/>
  <c r="H499" i="18" a="1"/>
  <c r="H499" i="18"/>
  <c r="G499" i="18" a="1"/>
  <c r="G499" i="18"/>
  <c r="F499" i="18" a="1"/>
  <c r="F499" i="18"/>
  <c r="E499" i="18" a="1"/>
  <c r="E499" i="18"/>
  <c r="D499" i="18" a="1"/>
  <c r="D499" i="18"/>
  <c r="C499" i="18" a="1"/>
  <c r="C499" i="18"/>
  <c r="B499" i="18" a="1"/>
  <c r="B499" i="18"/>
  <c r="N498" i="18" a="1"/>
  <c r="N498" i="18"/>
  <c r="L498" i="18" a="1"/>
  <c r="L498" i="18"/>
  <c r="M498" i="18" s="1"/>
  <c r="H498" i="18" a="1"/>
  <c r="H498" i="18"/>
  <c r="G498" i="18" a="1"/>
  <c r="G498" i="18"/>
  <c r="F498" i="18" a="1"/>
  <c r="F498" i="18"/>
  <c r="E498" i="18" a="1"/>
  <c r="E498" i="18"/>
  <c r="D498" i="18" a="1"/>
  <c r="D498" i="18"/>
  <c r="C498" i="18" a="1"/>
  <c r="C498" i="18"/>
  <c r="B498" i="18" a="1"/>
  <c r="B498" i="18"/>
  <c r="N497" i="18" a="1"/>
  <c r="N497" i="18"/>
  <c r="L497" i="18" a="1"/>
  <c r="L497" i="18"/>
  <c r="M497" i="18" s="1"/>
  <c r="H497" i="18" a="1"/>
  <c r="H497" i="18"/>
  <c r="G497" i="18" a="1"/>
  <c r="G497" i="18"/>
  <c r="F497" i="18" a="1"/>
  <c r="F497" i="18"/>
  <c r="E497" i="18" a="1"/>
  <c r="E497" i="18"/>
  <c r="D497" i="18" a="1"/>
  <c r="D497" i="18"/>
  <c r="C497" i="18" a="1"/>
  <c r="C497" i="18"/>
  <c r="B497" i="18" a="1"/>
  <c r="B497" i="18"/>
  <c r="N496" i="18" a="1"/>
  <c r="N496" i="18"/>
  <c r="L496" i="18" a="1"/>
  <c r="L496" i="18"/>
  <c r="M496" i="18" s="1"/>
  <c r="H496" i="18" a="1"/>
  <c r="H496" i="18"/>
  <c r="G496" i="18" a="1"/>
  <c r="G496" i="18"/>
  <c r="F496" i="18" a="1"/>
  <c r="F496" i="18"/>
  <c r="E496" i="18" a="1"/>
  <c r="E496" i="18"/>
  <c r="D496" i="18" a="1"/>
  <c r="D496" i="18"/>
  <c r="C496" i="18" a="1"/>
  <c r="C496" i="18"/>
  <c r="B496" i="18" a="1"/>
  <c r="B496" i="18"/>
  <c r="N495" i="18" a="1"/>
  <c r="N495" i="18"/>
  <c r="L495" i="18" a="1"/>
  <c r="L495" i="18"/>
  <c r="M495" i="18" s="1"/>
  <c r="H495" i="18" a="1"/>
  <c r="H495" i="18"/>
  <c r="G495" i="18" a="1"/>
  <c r="G495" i="18"/>
  <c r="F495" i="18" a="1"/>
  <c r="F495" i="18"/>
  <c r="E495" i="18" a="1"/>
  <c r="E495" i="18"/>
  <c r="D495" i="18" a="1"/>
  <c r="D495" i="18"/>
  <c r="C495" i="18" a="1"/>
  <c r="C495" i="18"/>
  <c r="B495" i="18" a="1"/>
  <c r="B495" i="18"/>
  <c r="N494" i="18" a="1"/>
  <c r="N494" i="18"/>
  <c r="L494" i="18" a="1"/>
  <c r="L494" i="18"/>
  <c r="M494" i="18" s="1"/>
  <c r="H494" i="18" a="1"/>
  <c r="H494" i="18"/>
  <c r="G494" i="18" a="1"/>
  <c r="G494" i="18"/>
  <c r="F494" i="18" a="1"/>
  <c r="F494" i="18"/>
  <c r="E494" i="18" a="1"/>
  <c r="E494" i="18"/>
  <c r="D494" i="18" a="1"/>
  <c r="D494" i="18"/>
  <c r="C494" i="18" a="1"/>
  <c r="C494" i="18"/>
  <c r="B494" i="18" a="1"/>
  <c r="B494" i="18"/>
  <c r="N493" i="18" a="1"/>
  <c r="N493" i="18"/>
  <c r="L493" i="18" a="1"/>
  <c r="L493" i="18"/>
  <c r="M493" i="18" s="1"/>
  <c r="H493" i="18" a="1"/>
  <c r="H493" i="18"/>
  <c r="G493" i="18" a="1"/>
  <c r="G493" i="18"/>
  <c r="F493" i="18" a="1"/>
  <c r="F493" i="18"/>
  <c r="E493" i="18" a="1"/>
  <c r="E493" i="18"/>
  <c r="D493" i="18" a="1"/>
  <c r="D493" i="18"/>
  <c r="C493" i="18" a="1"/>
  <c r="C493" i="18"/>
  <c r="B493" i="18" a="1"/>
  <c r="B493" i="18"/>
  <c r="N492" i="18" a="1"/>
  <c r="N492" i="18"/>
  <c r="L492" i="18" a="1"/>
  <c r="L492" i="18"/>
  <c r="M492" i="18" s="1"/>
  <c r="H492" i="18" a="1"/>
  <c r="H492" i="18"/>
  <c r="G492" i="18" a="1"/>
  <c r="G492" i="18"/>
  <c r="F492" i="18" a="1"/>
  <c r="F492" i="18"/>
  <c r="E492" i="18" a="1"/>
  <c r="E492" i="18"/>
  <c r="D492" i="18" a="1"/>
  <c r="D492" i="18"/>
  <c r="C492" i="18" a="1"/>
  <c r="C492" i="18"/>
  <c r="B492" i="18" a="1"/>
  <c r="B492" i="18"/>
  <c r="N491" i="18" a="1"/>
  <c r="N491" i="18"/>
  <c r="L491" i="18" a="1"/>
  <c r="L491" i="18"/>
  <c r="M491" i="18" s="1"/>
  <c r="H491" i="18" a="1"/>
  <c r="H491" i="18"/>
  <c r="G491" i="18" a="1"/>
  <c r="G491" i="18"/>
  <c r="F491" i="18" a="1"/>
  <c r="F491" i="18"/>
  <c r="E491" i="18" a="1"/>
  <c r="E491" i="18"/>
  <c r="D491" i="18" a="1"/>
  <c r="D491" i="18"/>
  <c r="C491" i="18" a="1"/>
  <c r="C491" i="18"/>
  <c r="B491" i="18" a="1"/>
  <c r="B491" i="18"/>
  <c r="N490" i="18" a="1"/>
  <c r="N490" i="18"/>
  <c r="L490" i="18" a="1"/>
  <c r="L490" i="18"/>
  <c r="M490" i="18" s="1"/>
  <c r="H490" i="18" a="1"/>
  <c r="H490" i="18"/>
  <c r="G490" i="18" a="1"/>
  <c r="G490" i="18"/>
  <c r="F490" i="18" a="1"/>
  <c r="F490" i="18"/>
  <c r="E490" i="18" a="1"/>
  <c r="E490" i="18"/>
  <c r="D490" i="18" a="1"/>
  <c r="D490" i="18"/>
  <c r="C490" i="18" a="1"/>
  <c r="C490" i="18"/>
  <c r="B490" i="18" a="1"/>
  <c r="B490" i="18"/>
  <c r="N489" i="18" a="1"/>
  <c r="N489" i="18"/>
  <c r="L489" i="18" a="1"/>
  <c r="L489" i="18"/>
  <c r="M489" i="18" s="1"/>
  <c r="H489" i="18" a="1"/>
  <c r="H489" i="18"/>
  <c r="G489" i="18" a="1"/>
  <c r="G489" i="18"/>
  <c r="F489" i="18" a="1"/>
  <c r="F489" i="18"/>
  <c r="E489" i="18" a="1"/>
  <c r="E489" i="18"/>
  <c r="D489" i="18" a="1"/>
  <c r="D489" i="18"/>
  <c r="C489" i="18" a="1"/>
  <c r="C489" i="18"/>
  <c r="B489" i="18" a="1"/>
  <c r="B489" i="18"/>
  <c r="N488" i="18" a="1"/>
  <c r="N488" i="18"/>
  <c r="L488" i="18" a="1"/>
  <c r="L488" i="18"/>
  <c r="M488" i="18" s="1"/>
  <c r="H488" i="18" a="1"/>
  <c r="H488" i="18"/>
  <c r="G488" i="18" a="1"/>
  <c r="G488" i="18"/>
  <c r="F488" i="18" a="1"/>
  <c r="F488" i="18"/>
  <c r="E488" i="18" a="1"/>
  <c r="E488" i="18"/>
  <c r="D488" i="18" a="1"/>
  <c r="D488" i="18"/>
  <c r="C488" i="18" a="1"/>
  <c r="C488" i="18"/>
  <c r="B488" i="18" a="1"/>
  <c r="B488" i="18"/>
  <c r="N487" i="18" a="1"/>
  <c r="N487" i="18"/>
  <c r="L487" i="18" a="1"/>
  <c r="L487" i="18"/>
  <c r="M487" i="18" s="1"/>
  <c r="H487" i="18" a="1"/>
  <c r="H487" i="18"/>
  <c r="G487" i="18" a="1"/>
  <c r="G487" i="18"/>
  <c r="F487" i="18" a="1"/>
  <c r="F487" i="18"/>
  <c r="E487" i="18" a="1"/>
  <c r="E487" i="18"/>
  <c r="D487" i="18" a="1"/>
  <c r="D487" i="18"/>
  <c r="C487" i="18" a="1"/>
  <c r="C487" i="18"/>
  <c r="B487" i="18" a="1"/>
  <c r="B487" i="18"/>
  <c r="N486" i="18" a="1"/>
  <c r="N486" i="18"/>
  <c r="L486" i="18" a="1"/>
  <c r="L486" i="18"/>
  <c r="M486" i="18" s="1"/>
  <c r="H486" i="18" a="1"/>
  <c r="H486" i="18"/>
  <c r="G486" i="18" a="1"/>
  <c r="G486" i="18"/>
  <c r="F486" i="18" a="1"/>
  <c r="F486" i="18"/>
  <c r="E486" i="18" a="1"/>
  <c r="E486" i="18"/>
  <c r="D486" i="18" a="1"/>
  <c r="D486" i="18"/>
  <c r="C486" i="18" a="1"/>
  <c r="C486" i="18"/>
  <c r="B486" i="18" a="1"/>
  <c r="B486" i="18"/>
  <c r="N485" i="18" a="1"/>
  <c r="N485" i="18"/>
  <c r="L485" i="18" a="1"/>
  <c r="L485" i="18"/>
  <c r="M485" i="18" s="1"/>
  <c r="H485" i="18" a="1"/>
  <c r="H485" i="18"/>
  <c r="G485" i="18" a="1"/>
  <c r="G485" i="18"/>
  <c r="F485" i="18" a="1"/>
  <c r="F485" i="18"/>
  <c r="E485" i="18" a="1"/>
  <c r="E485" i="18"/>
  <c r="D485" i="18" a="1"/>
  <c r="D485" i="18"/>
  <c r="C485" i="18" a="1"/>
  <c r="C485" i="18"/>
  <c r="B485" i="18" a="1"/>
  <c r="B485" i="18"/>
  <c r="N484" i="18" a="1"/>
  <c r="N484" i="18"/>
  <c r="L484" i="18" a="1"/>
  <c r="L484" i="18"/>
  <c r="M484" i="18" s="1"/>
  <c r="H484" i="18" a="1"/>
  <c r="H484" i="18"/>
  <c r="G484" i="18" a="1"/>
  <c r="G484" i="18"/>
  <c r="F484" i="18" a="1"/>
  <c r="F484" i="18"/>
  <c r="E484" i="18" a="1"/>
  <c r="E484" i="18"/>
  <c r="D484" i="18" a="1"/>
  <c r="D484" i="18"/>
  <c r="C484" i="18" a="1"/>
  <c r="C484" i="18"/>
  <c r="B484" i="18" a="1"/>
  <c r="B484" i="18"/>
  <c r="N483" i="18" a="1"/>
  <c r="N483" i="18"/>
  <c r="L483" i="18" a="1"/>
  <c r="L483" i="18"/>
  <c r="M483" i="18" s="1"/>
  <c r="H483" i="18" a="1"/>
  <c r="H483" i="18"/>
  <c r="G483" i="18" a="1"/>
  <c r="G483" i="18"/>
  <c r="F483" i="18" a="1"/>
  <c r="F483" i="18"/>
  <c r="E483" i="18" a="1"/>
  <c r="E483" i="18"/>
  <c r="D483" i="18" a="1"/>
  <c r="D483" i="18"/>
  <c r="C483" i="18" a="1"/>
  <c r="C483" i="18"/>
  <c r="B483" i="18" a="1"/>
  <c r="B483" i="18"/>
  <c r="N482" i="18" a="1"/>
  <c r="N482" i="18"/>
  <c r="L482" i="18" a="1"/>
  <c r="L482" i="18"/>
  <c r="M482" i="18" s="1"/>
  <c r="H482" i="18" a="1"/>
  <c r="H482" i="18"/>
  <c r="G482" i="18" a="1"/>
  <c r="G482" i="18"/>
  <c r="F482" i="18" a="1"/>
  <c r="F482" i="18"/>
  <c r="E482" i="18" a="1"/>
  <c r="E482" i="18"/>
  <c r="D482" i="18" a="1"/>
  <c r="D482" i="18"/>
  <c r="C482" i="18" a="1"/>
  <c r="C482" i="18"/>
  <c r="B482" i="18" a="1"/>
  <c r="B482" i="18"/>
  <c r="N481" i="18" a="1"/>
  <c r="N481" i="18"/>
  <c r="L481" i="18" a="1"/>
  <c r="L481" i="18"/>
  <c r="M481" i="18" s="1"/>
  <c r="H481" i="18" a="1"/>
  <c r="H481" i="18"/>
  <c r="G481" i="18" a="1"/>
  <c r="G481" i="18"/>
  <c r="F481" i="18" a="1"/>
  <c r="F481" i="18"/>
  <c r="E481" i="18" a="1"/>
  <c r="E481" i="18"/>
  <c r="D481" i="18" a="1"/>
  <c r="D481" i="18"/>
  <c r="C481" i="18" a="1"/>
  <c r="C481" i="18"/>
  <c r="B481" i="18" a="1"/>
  <c r="B481" i="18"/>
  <c r="N480" i="18" a="1"/>
  <c r="N480" i="18"/>
  <c r="L480" i="18" a="1"/>
  <c r="L480" i="18"/>
  <c r="M480" i="18" s="1"/>
  <c r="H480" i="18" a="1"/>
  <c r="H480" i="18"/>
  <c r="G480" i="18" a="1"/>
  <c r="G480" i="18"/>
  <c r="F480" i="18" a="1"/>
  <c r="F480" i="18"/>
  <c r="E480" i="18" a="1"/>
  <c r="E480" i="18"/>
  <c r="D480" i="18" a="1"/>
  <c r="D480" i="18"/>
  <c r="C480" i="18" a="1"/>
  <c r="C480" i="18"/>
  <c r="B480" i="18" a="1"/>
  <c r="B480" i="18"/>
  <c r="N479" i="18" a="1"/>
  <c r="N479" i="18"/>
  <c r="L479" i="18" a="1"/>
  <c r="L479" i="18"/>
  <c r="M479" i="18" s="1"/>
  <c r="H479" i="18" a="1"/>
  <c r="H479" i="18"/>
  <c r="G479" i="18" a="1"/>
  <c r="G479" i="18"/>
  <c r="F479" i="18" a="1"/>
  <c r="F479" i="18"/>
  <c r="E479" i="18" a="1"/>
  <c r="E479" i="18"/>
  <c r="D479" i="18" a="1"/>
  <c r="D479" i="18"/>
  <c r="C479" i="18" a="1"/>
  <c r="C479" i="18"/>
  <c r="B479" i="18" a="1"/>
  <c r="B479" i="18"/>
  <c r="N478" i="18" a="1"/>
  <c r="N478" i="18"/>
  <c r="L478" i="18" a="1"/>
  <c r="L478" i="18"/>
  <c r="M478" i="18" s="1"/>
  <c r="H478" i="18" a="1"/>
  <c r="H478" i="18"/>
  <c r="G478" i="18" a="1"/>
  <c r="G478" i="18"/>
  <c r="F478" i="18" a="1"/>
  <c r="F478" i="18"/>
  <c r="E478" i="18" a="1"/>
  <c r="E478" i="18"/>
  <c r="D478" i="18" a="1"/>
  <c r="D478" i="18"/>
  <c r="C478" i="18" a="1"/>
  <c r="C478" i="18"/>
  <c r="B478" i="18" a="1"/>
  <c r="B478" i="18"/>
  <c r="N477" i="18" a="1"/>
  <c r="N477" i="18"/>
  <c r="L477" i="18" a="1"/>
  <c r="L477" i="18"/>
  <c r="M477" i="18" s="1"/>
  <c r="H477" i="18" a="1"/>
  <c r="H477" i="18"/>
  <c r="G477" i="18" a="1"/>
  <c r="G477" i="18"/>
  <c r="F477" i="18" a="1"/>
  <c r="F477" i="18"/>
  <c r="E477" i="18" a="1"/>
  <c r="E477" i="18"/>
  <c r="D477" i="18" a="1"/>
  <c r="D477" i="18"/>
  <c r="C477" i="18" a="1"/>
  <c r="C477" i="18"/>
  <c r="B477" i="18" a="1"/>
  <c r="B477" i="18"/>
  <c r="N476" i="18" a="1"/>
  <c r="N476" i="18"/>
  <c r="L476" i="18" a="1"/>
  <c r="L476" i="18"/>
  <c r="M476" i="18" s="1"/>
  <c r="H476" i="18" a="1"/>
  <c r="H476" i="18"/>
  <c r="G476" i="18" a="1"/>
  <c r="G476" i="18"/>
  <c r="F476" i="18" a="1"/>
  <c r="F476" i="18"/>
  <c r="E476" i="18" a="1"/>
  <c r="E476" i="18"/>
  <c r="D476" i="18" a="1"/>
  <c r="D476" i="18"/>
  <c r="C476" i="18" a="1"/>
  <c r="C476" i="18"/>
  <c r="B476" i="18" a="1"/>
  <c r="B476" i="18"/>
  <c r="N475" i="18" a="1"/>
  <c r="N475" i="18"/>
  <c r="L475" i="18" a="1"/>
  <c r="L475" i="18"/>
  <c r="M475" i="18" s="1"/>
  <c r="H475" i="18" a="1"/>
  <c r="H475" i="18"/>
  <c r="G475" i="18" a="1"/>
  <c r="G475" i="18"/>
  <c r="F475" i="18" a="1"/>
  <c r="F475" i="18"/>
  <c r="E475" i="18" a="1"/>
  <c r="E475" i="18"/>
  <c r="D475" i="18" a="1"/>
  <c r="D475" i="18"/>
  <c r="C475" i="18" a="1"/>
  <c r="C475" i="18"/>
  <c r="B475" i="18" a="1"/>
  <c r="B475" i="18"/>
  <c r="N474" i="18" a="1"/>
  <c r="N474" i="18"/>
  <c r="L474" i="18" a="1"/>
  <c r="L474" i="18"/>
  <c r="M474" i="18" s="1"/>
  <c r="H474" i="18" a="1"/>
  <c r="H474" i="18"/>
  <c r="G474" i="18" a="1"/>
  <c r="G474" i="18"/>
  <c r="F474" i="18" a="1"/>
  <c r="F474" i="18"/>
  <c r="E474" i="18" a="1"/>
  <c r="E474" i="18"/>
  <c r="D474" i="18" a="1"/>
  <c r="D474" i="18"/>
  <c r="C474" i="18" a="1"/>
  <c r="C474" i="18"/>
  <c r="B474" i="18" a="1"/>
  <c r="B474" i="18"/>
  <c r="N473" i="18" a="1"/>
  <c r="N473" i="18"/>
  <c r="L473" i="18" a="1"/>
  <c r="L473" i="18"/>
  <c r="M473" i="18" s="1"/>
  <c r="H473" i="18" a="1"/>
  <c r="H473" i="18"/>
  <c r="G473" i="18" a="1"/>
  <c r="G473" i="18"/>
  <c r="F473" i="18" a="1"/>
  <c r="F473" i="18"/>
  <c r="E473" i="18" a="1"/>
  <c r="E473" i="18"/>
  <c r="D473" i="18" a="1"/>
  <c r="D473" i="18"/>
  <c r="C473" i="18" a="1"/>
  <c r="C473" i="18"/>
  <c r="B473" i="18" a="1"/>
  <c r="B473" i="18"/>
  <c r="N472" i="18" a="1"/>
  <c r="N472" i="18"/>
  <c r="L472" i="18" a="1"/>
  <c r="L472" i="18"/>
  <c r="M472" i="18" s="1"/>
  <c r="H472" i="18" a="1"/>
  <c r="H472" i="18"/>
  <c r="G472" i="18" a="1"/>
  <c r="G472" i="18"/>
  <c r="F472" i="18" a="1"/>
  <c r="F472" i="18"/>
  <c r="E472" i="18" a="1"/>
  <c r="E472" i="18"/>
  <c r="D472" i="18" a="1"/>
  <c r="D472" i="18"/>
  <c r="C472" i="18" a="1"/>
  <c r="C472" i="18"/>
  <c r="B472" i="18" a="1"/>
  <c r="B472" i="18"/>
  <c r="N471" i="18" a="1"/>
  <c r="N471" i="18"/>
  <c r="L471" i="18" a="1"/>
  <c r="L471" i="18"/>
  <c r="M471" i="18" s="1"/>
  <c r="H471" i="18" a="1"/>
  <c r="H471" i="18"/>
  <c r="G471" i="18" a="1"/>
  <c r="G471" i="18"/>
  <c r="F471" i="18" a="1"/>
  <c r="F471" i="18"/>
  <c r="E471" i="18" a="1"/>
  <c r="E471" i="18"/>
  <c r="D471" i="18" a="1"/>
  <c r="D471" i="18"/>
  <c r="C471" i="18" a="1"/>
  <c r="C471" i="18"/>
  <c r="B471" i="18" a="1"/>
  <c r="B471" i="18"/>
  <c r="N470" i="18" a="1"/>
  <c r="N470" i="18"/>
  <c r="L470" i="18" a="1"/>
  <c r="L470" i="18"/>
  <c r="M470" i="18" s="1"/>
  <c r="H470" i="18" a="1"/>
  <c r="H470" i="18"/>
  <c r="G470" i="18" a="1"/>
  <c r="G470" i="18"/>
  <c r="F470" i="18" a="1"/>
  <c r="F470" i="18"/>
  <c r="E470" i="18" a="1"/>
  <c r="E470" i="18"/>
  <c r="D470" i="18" a="1"/>
  <c r="D470" i="18"/>
  <c r="C470" i="18" a="1"/>
  <c r="C470" i="18"/>
  <c r="B470" i="18" a="1"/>
  <c r="B470" i="18"/>
  <c r="N469" i="18" a="1"/>
  <c r="N469" i="18"/>
  <c r="L469" i="18" a="1"/>
  <c r="L469" i="18"/>
  <c r="M469" i="18" s="1"/>
  <c r="H469" i="18" a="1"/>
  <c r="H469" i="18"/>
  <c r="G469" i="18" a="1"/>
  <c r="G469" i="18"/>
  <c r="F469" i="18" a="1"/>
  <c r="F469" i="18"/>
  <c r="E469" i="18" a="1"/>
  <c r="E469" i="18"/>
  <c r="D469" i="18" a="1"/>
  <c r="D469" i="18"/>
  <c r="C469" i="18" a="1"/>
  <c r="C469" i="18"/>
  <c r="B469" i="18" a="1"/>
  <c r="B469" i="18"/>
  <c r="N468" i="18" a="1"/>
  <c r="N468" i="18"/>
  <c r="L468" i="18" a="1"/>
  <c r="L468" i="18"/>
  <c r="M468" i="18" s="1"/>
  <c r="H468" i="18" a="1"/>
  <c r="H468" i="18"/>
  <c r="G468" i="18" a="1"/>
  <c r="G468" i="18"/>
  <c r="F468" i="18" a="1"/>
  <c r="F468" i="18"/>
  <c r="E468" i="18" a="1"/>
  <c r="E468" i="18"/>
  <c r="D468" i="18" a="1"/>
  <c r="D468" i="18"/>
  <c r="C468" i="18" a="1"/>
  <c r="C468" i="18"/>
  <c r="B468" i="18" a="1"/>
  <c r="B468" i="18"/>
  <c r="N467" i="18" a="1"/>
  <c r="N467" i="18"/>
  <c r="L467" i="18" a="1"/>
  <c r="L467" i="18"/>
  <c r="M467" i="18" s="1"/>
  <c r="H467" i="18" a="1"/>
  <c r="H467" i="18"/>
  <c r="G467" i="18" a="1"/>
  <c r="G467" i="18"/>
  <c r="F467" i="18" a="1"/>
  <c r="F467" i="18"/>
  <c r="E467" i="18" a="1"/>
  <c r="E467" i="18"/>
  <c r="D467" i="18" a="1"/>
  <c r="D467" i="18"/>
  <c r="C467" i="18" a="1"/>
  <c r="C467" i="18"/>
  <c r="B467" i="18" a="1"/>
  <c r="B467" i="18"/>
  <c r="N466" i="18" a="1"/>
  <c r="N466" i="18"/>
  <c r="L466" i="18" a="1"/>
  <c r="L466" i="18"/>
  <c r="M466" i="18" s="1"/>
  <c r="H466" i="18" a="1"/>
  <c r="H466" i="18"/>
  <c r="G466" i="18" a="1"/>
  <c r="G466" i="18"/>
  <c r="F466" i="18" a="1"/>
  <c r="F466" i="18"/>
  <c r="E466" i="18" a="1"/>
  <c r="E466" i="18"/>
  <c r="D466" i="18" a="1"/>
  <c r="D466" i="18"/>
  <c r="C466" i="18" a="1"/>
  <c r="C466" i="18"/>
  <c r="B466" i="18" a="1"/>
  <c r="B466" i="18"/>
  <c r="N465" i="18" a="1"/>
  <c r="N465" i="18"/>
  <c r="L465" i="18" a="1"/>
  <c r="L465" i="18"/>
  <c r="M465" i="18" s="1"/>
  <c r="H465" i="18" a="1"/>
  <c r="H465" i="18"/>
  <c r="G465" i="18" a="1"/>
  <c r="G465" i="18"/>
  <c r="F465" i="18" a="1"/>
  <c r="F465" i="18"/>
  <c r="E465" i="18" a="1"/>
  <c r="E465" i="18"/>
  <c r="D465" i="18" a="1"/>
  <c r="D465" i="18"/>
  <c r="C465" i="18" a="1"/>
  <c r="C465" i="18"/>
  <c r="B465" i="18" a="1"/>
  <c r="B465" i="18"/>
  <c r="N464" i="18" a="1"/>
  <c r="N464" i="18"/>
  <c r="L464" i="18" a="1"/>
  <c r="L464" i="18"/>
  <c r="M464" i="18" s="1"/>
  <c r="H464" i="18" a="1"/>
  <c r="H464" i="18"/>
  <c r="G464" i="18" a="1"/>
  <c r="G464" i="18"/>
  <c r="F464" i="18" a="1"/>
  <c r="F464" i="18"/>
  <c r="E464" i="18" a="1"/>
  <c r="E464" i="18"/>
  <c r="D464" i="18" a="1"/>
  <c r="D464" i="18"/>
  <c r="C464" i="18" a="1"/>
  <c r="C464" i="18"/>
  <c r="B464" i="18" a="1"/>
  <c r="B464" i="18"/>
  <c r="N463" i="18" a="1"/>
  <c r="N463" i="18"/>
  <c r="L463" i="18" a="1"/>
  <c r="L463" i="18"/>
  <c r="M463" i="18" s="1"/>
  <c r="H463" i="18" a="1"/>
  <c r="H463" i="18"/>
  <c r="G463" i="18" a="1"/>
  <c r="G463" i="18"/>
  <c r="F463" i="18" a="1"/>
  <c r="F463" i="18"/>
  <c r="E463" i="18" a="1"/>
  <c r="E463" i="18"/>
  <c r="D463" i="18" a="1"/>
  <c r="D463" i="18"/>
  <c r="C463" i="18" a="1"/>
  <c r="C463" i="18"/>
  <c r="B463" i="18" a="1"/>
  <c r="B463" i="18"/>
  <c r="N462" i="18" a="1"/>
  <c r="N462" i="18"/>
  <c r="L462" i="18" a="1"/>
  <c r="L462" i="18"/>
  <c r="M462" i="18" s="1"/>
  <c r="H462" i="18" a="1"/>
  <c r="H462" i="18"/>
  <c r="G462" i="18" a="1"/>
  <c r="G462" i="18"/>
  <c r="F462" i="18" a="1"/>
  <c r="F462" i="18"/>
  <c r="E462" i="18" a="1"/>
  <c r="E462" i="18"/>
  <c r="D462" i="18" a="1"/>
  <c r="D462" i="18"/>
  <c r="C462" i="18" a="1"/>
  <c r="C462" i="18"/>
  <c r="B462" i="18" a="1"/>
  <c r="B462" i="18"/>
  <c r="N461" i="18" a="1"/>
  <c r="N461" i="18"/>
  <c r="L461" i="18" a="1"/>
  <c r="L461" i="18"/>
  <c r="M461" i="18" s="1"/>
  <c r="H461" i="18" a="1"/>
  <c r="H461" i="18"/>
  <c r="G461" i="18" a="1"/>
  <c r="G461" i="18"/>
  <c r="F461" i="18" a="1"/>
  <c r="F461" i="18"/>
  <c r="E461" i="18" a="1"/>
  <c r="E461" i="18"/>
  <c r="D461" i="18" a="1"/>
  <c r="D461" i="18"/>
  <c r="C461" i="18" a="1"/>
  <c r="C461" i="18"/>
  <c r="B461" i="18" a="1"/>
  <c r="B461" i="18"/>
  <c r="N460" i="18" a="1"/>
  <c r="N460" i="18"/>
  <c r="L460" i="18" a="1"/>
  <c r="L460" i="18"/>
  <c r="M460" i="18" s="1"/>
  <c r="H460" i="18" a="1"/>
  <c r="H460" i="18"/>
  <c r="G460" i="18" a="1"/>
  <c r="G460" i="18"/>
  <c r="F460" i="18" a="1"/>
  <c r="F460" i="18"/>
  <c r="E460" i="18" a="1"/>
  <c r="E460" i="18"/>
  <c r="D460" i="18" a="1"/>
  <c r="D460" i="18"/>
  <c r="C460" i="18" a="1"/>
  <c r="C460" i="18"/>
  <c r="B460" i="18" a="1"/>
  <c r="B460" i="18"/>
  <c r="N459" i="18" a="1"/>
  <c r="N459" i="18"/>
  <c r="L459" i="18" a="1"/>
  <c r="L459" i="18"/>
  <c r="M459" i="18" s="1"/>
  <c r="H459" i="18" a="1"/>
  <c r="H459" i="18"/>
  <c r="G459" i="18" a="1"/>
  <c r="G459" i="18"/>
  <c r="F459" i="18" a="1"/>
  <c r="F459" i="18"/>
  <c r="E459" i="18" a="1"/>
  <c r="E459" i="18"/>
  <c r="D459" i="18" a="1"/>
  <c r="D459" i="18"/>
  <c r="C459" i="18" a="1"/>
  <c r="C459" i="18"/>
  <c r="B459" i="18" a="1"/>
  <c r="B459" i="18"/>
  <c r="N458" i="18" a="1"/>
  <c r="N458" i="18"/>
  <c r="L458" i="18" a="1"/>
  <c r="L458" i="18"/>
  <c r="M458" i="18" s="1"/>
  <c r="H458" i="18" a="1"/>
  <c r="H458" i="18"/>
  <c r="G458" i="18" a="1"/>
  <c r="G458" i="18"/>
  <c r="F458" i="18" a="1"/>
  <c r="F458" i="18"/>
  <c r="E458" i="18" a="1"/>
  <c r="E458" i="18"/>
  <c r="D458" i="18" a="1"/>
  <c r="D458" i="18"/>
  <c r="C458" i="18" a="1"/>
  <c r="C458" i="18"/>
  <c r="B458" i="18" a="1"/>
  <c r="B458" i="18"/>
  <c r="N457" i="18" a="1"/>
  <c r="N457" i="18"/>
  <c r="L457" i="18" a="1"/>
  <c r="L457" i="18"/>
  <c r="M457" i="18" s="1"/>
  <c r="H457" i="18" a="1"/>
  <c r="H457" i="18"/>
  <c r="G457" i="18" a="1"/>
  <c r="G457" i="18"/>
  <c r="F457" i="18" a="1"/>
  <c r="F457" i="18"/>
  <c r="E457" i="18" a="1"/>
  <c r="E457" i="18"/>
  <c r="D457" i="18" a="1"/>
  <c r="D457" i="18"/>
  <c r="C457" i="18" a="1"/>
  <c r="C457" i="18"/>
  <c r="B457" i="18" a="1"/>
  <c r="B457" i="18"/>
  <c r="N456" i="18" a="1"/>
  <c r="N456" i="18"/>
  <c r="L456" i="18" a="1"/>
  <c r="L456" i="18"/>
  <c r="M456" i="18" s="1"/>
  <c r="H456" i="18" a="1"/>
  <c r="H456" i="18"/>
  <c r="G456" i="18" a="1"/>
  <c r="G456" i="18"/>
  <c r="F456" i="18" a="1"/>
  <c r="F456" i="18"/>
  <c r="E456" i="18" a="1"/>
  <c r="E456" i="18"/>
  <c r="D456" i="18" a="1"/>
  <c r="D456" i="18"/>
  <c r="C456" i="18" a="1"/>
  <c r="C456" i="18"/>
  <c r="B456" i="18" a="1"/>
  <c r="B456" i="18"/>
  <c r="N455" i="18" a="1"/>
  <c r="N455" i="18"/>
  <c r="L455" i="18" a="1"/>
  <c r="L455" i="18"/>
  <c r="M455" i="18" s="1"/>
  <c r="H455" i="18" a="1"/>
  <c r="H455" i="18"/>
  <c r="G455" i="18" a="1"/>
  <c r="G455" i="18"/>
  <c r="F455" i="18" a="1"/>
  <c r="F455" i="18"/>
  <c r="E455" i="18" a="1"/>
  <c r="E455" i="18"/>
  <c r="D455" i="18" a="1"/>
  <c r="D455" i="18"/>
  <c r="C455" i="18" a="1"/>
  <c r="C455" i="18"/>
  <c r="B455" i="18" a="1"/>
  <c r="B455" i="18"/>
  <c r="N454" i="18" a="1"/>
  <c r="N454" i="18"/>
  <c r="L454" i="18" a="1"/>
  <c r="L454" i="18"/>
  <c r="M454" i="18" s="1"/>
  <c r="H454" i="18" a="1"/>
  <c r="H454" i="18"/>
  <c r="G454" i="18" a="1"/>
  <c r="G454" i="18"/>
  <c r="F454" i="18" a="1"/>
  <c r="F454" i="18"/>
  <c r="E454" i="18" a="1"/>
  <c r="E454" i="18"/>
  <c r="D454" i="18" a="1"/>
  <c r="D454" i="18"/>
  <c r="C454" i="18" a="1"/>
  <c r="C454" i="18"/>
  <c r="B454" i="18" a="1"/>
  <c r="B454" i="18"/>
  <c r="N453" i="18" a="1"/>
  <c r="N453" i="18"/>
  <c r="L453" i="18" a="1"/>
  <c r="L453" i="18"/>
  <c r="M453" i="18" s="1"/>
  <c r="H453" i="18" a="1"/>
  <c r="H453" i="18"/>
  <c r="G453" i="18" a="1"/>
  <c r="G453" i="18"/>
  <c r="F453" i="18" a="1"/>
  <c r="F453" i="18"/>
  <c r="E453" i="18" a="1"/>
  <c r="E453" i="18"/>
  <c r="D453" i="18" a="1"/>
  <c r="D453" i="18"/>
  <c r="C453" i="18" a="1"/>
  <c r="C453" i="18"/>
  <c r="B453" i="18" a="1"/>
  <c r="B453" i="18"/>
  <c r="N452" i="18" a="1"/>
  <c r="N452" i="18"/>
  <c r="L452" i="18" a="1"/>
  <c r="L452" i="18"/>
  <c r="M452" i="18" s="1"/>
  <c r="H452" i="18" a="1"/>
  <c r="H452" i="18"/>
  <c r="G452" i="18" a="1"/>
  <c r="G452" i="18"/>
  <c r="F452" i="18" a="1"/>
  <c r="F452" i="18"/>
  <c r="E452" i="18" a="1"/>
  <c r="E452" i="18"/>
  <c r="D452" i="18" a="1"/>
  <c r="D452" i="18"/>
  <c r="C452" i="18" a="1"/>
  <c r="C452" i="18"/>
  <c r="B452" i="18" a="1"/>
  <c r="B452" i="18"/>
  <c r="N451" i="18" a="1"/>
  <c r="N451" i="18"/>
  <c r="L451" i="18" a="1"/>
  <c r="L451" i="18"/>
  <c r="M451" i="18" s="1"/>
  <c r="H451" i="18" a="1"/>
  <c r="H451" i="18"/>
  <c r="G451" i="18" a="1"/>
  <c r="G451" i="18"/>
  <c r="F451" i="18" a="1"/>
  <c r="F451" i="18"/>
  <c r="E451" i="18" a="1"/>
  <c r="E451" i="18"/>
  <c r="D451" i="18" a="1"/>
  <c r="D451" i="18"/>
  <c r="C451" i="18" a="1"/>
  <c r="C451" i="18"/>
  <c r="B451" i="18" a="1"/>
  <c r="B451" i="18"/>
  <c r="N450" i="18" a="1"/>
  <c r="N450" i="18"/>
  <c r="L450" i="18" a="1"/>
  <c r="L450" i="18"/>
  <c r="M450" i="18" s="1"/>
  <c r="H450" i="18" a="1"/>
  <c r="H450" i="18"/>
  <c r="G450" i="18" a="1"/>
  <c r="G450" i="18"/>
  <c r="F450" i="18" a="1"/>
  <c r="F450" i="18"/>
  <c r="E450" i="18" a="1"/>
  <c r="E450" i="18"/>
  <c r="D450" i="18" a="1"/>
  <c r="D450" i="18"/>
  <c r="C450" i="18" a="1"/>
  <c r="C450" i="18"/>
  <c r="B450" i="18" a="1"/>
  <c r="B450" i="18"/>
  <c r="N449" i="18" a="1"/>
  <c r="N449" i="18"/>
  <c r="L449" i="18" a="1"/>
  <c r="L449" i="18"/>
  <c r="M449" i="18" s="1"/>
  <c r="H449" i="18" a="1"/>
  <c r="H449" i="18"/>
  <c r="G449" i="18" a="1"/>
  <c r="G449" i="18"/>
  <c r="F449" i="18" a="1"/>
  <c r="F449" i="18"/>
  <c r="E449" i="18" a="1"/>
  <c r="E449" i="18"/>
  <c r="D449" i="18" a="1"/>
  <c r="D449" i="18"/>
  <c r="C449" i="18" a="1"/>
  <c r="C449" i="18"/>
  <c r="B449" i="18" a="1"/>
  <c r="B449" i="18"/>
  <c r="N448" i="18" a="1"/>
  <c r="N448" i="18"/>
  <c r="L448" i="18" a="1"/>
  <c r="L448" i="18"/>
  <c r="M448" i="18" s="1"/>
  <c r="H448" i="18" a="1"/>
  <c r="H448" i="18"/>
  <c r="G448" i="18" a="1"/>
  <c r="G448" i="18"/>
  <c r="F448" i="18" a="1"/>
  <c r="F448" i="18"/>
  <c r="E448" i="18" a="1"/>
  <c r="E448" i="18"/>
  <c r="D448" i="18" a="1"/>
  <c r="D448" i="18"/>
  <c r="C448" i="18" a="1"/>
  <c r="C448" i="18"/>
  <c r="B448" i="18" a="1"/>
  <c r="B448" i="18"/>
  <c r="N447" i="18" a="1"/>
  <c r="N447" i="18"/>
  <c r="L447" i="18" a="1"/>
  <c r="L447" i="18"/>
  <c r="M447" i="18" s="1"/>
  <c r="H447" i="18" a="1"/>
  <c r="H447" i="18"/>
  <c r="G447" i="18" a="1"/>
  <c r="G447" i="18"/>
  <c r="F447" i="18" a="1"/>
  <c r="F447" i="18"/>
  <c r="E447" i="18" a="1"/>
  <c r="E447" i="18"/>
  <c r="D447" i="18" a="1"/>
  <c r="D447" i="18"/>
  <c r="C447" i="18" a="1"/>
  <c r="C447" i="18"/>
  <c r="B447" i="18" a="1"/>
  <c r="B447" i="18"/>
  <c r="N446" i="18" a="1"/>
  <c r="N446" i="18"/>
  <c r="L446" i="18" a="1"/>
  <c r="L446" i="18"/>
  <c r="M446" i="18" s="1"/>
  <c r="H446" i="18" a="1"/>
  <c r="H446" i="18"/>
  <c r="G446" i="18" a="1"/>
  <c r="G446" i="18"/>
  <c r="F446" i="18" a="1"/>
  <c r="F446" i="18"/>
  <c r="E446" i="18" a="1"/>
  <c r="E446" i="18"/>
  <c r="D446" i="18" a="1"/>
  <c r="D446" i="18"/>
  <c r="C446" i="18" a="1"/>
  <c r="C446" i="18"/>
  <c r="B446" i="18" a="1"/>
  <c r="B446" i="18"/>
  <c r="N445" i="18" a="1"/>
  <c r="N445" i="18"/>
  <c r="L445" i="18" a="1"/>
  <c r="L445" i="18"/>
  <c r="M445" i="18" s="1"/>
  <c r="H445" i="18" a="1"/>
  <c r="H445" i="18"/>
  <c r="G445" i="18" a="1"/>
  <c r="G445" i="18"/>
  <c r="F445" i="18" a="1"/>
  <c r="F445" i="18"/>
  <c r="E445" i="18" a="1"/>
  <c r="E445" i="18"/>
  <c r="D445" i="18" a="1"/>
  <c r="D445" i="18"/>
  <c r="C445" i="18" a="1"/>
  <c r="C445" i="18"/>
  <c r="B445" i="18" a="1"/>
  <c r="B445" i="18"/>
  <c r="N444" i="18" a="1"/>
  <c r="N444" i="18"/>
  <c r="L444" i="18" a="1"/>
  <c r="L444" i="18"/>
  <c r="M444" i="18" s="1"/>
  <c r="H444" i="18" a="1"/>
  <c r="H444" i="18"/>
  <c r="G444" i="18" a="1"/>
  <c r="G444" i="18"/>
  <c r="F444" i="18" a="1"/>
  <c r="F444" i="18"/>
  <c r="E444" i="18" a="1"/>
  <c r="E444" i="18"/>
  <c r="D444" i="18" a="1"/>
  <c r="D444" i="18"/>
  <c r="C444" i="18" a="1"/>
  <c r="C444" i="18"/>
  <c r="B444" i="18" a="1"/>
  <c r="B444" i="18"/>
  <c r="N443" i="18" a="1"/>
  <c r="N443" i="18"/>
  <c r="L443" i="18" a="1"/>
  <c r="L443" i="18"/>
  <c r="M443" i="18" s="1"/>
  <c r="H443" i="18" a="1"/>
  <c r="H443" i="18"/>
  <c r="G443" i="18" a="1"/>
  <c r="G443" i="18"/>
  <c r="F443" i="18" a="1"/>
  <c r="F443" i="18"/>
  <c r="E443" i="18" a="1"/>
  <c r="E443" i="18"/>
  <c r="D443" i="18" a="1"/>
  <c r="D443" i="18"/>
  <c r="C443" i="18" a="1"/>
  <c r="C443" i="18"/>
  <c r="B443" i="18" a="1"/>
  <c r="B443" i="18"/>
  <c r="N442" i="18" a="1"/>
  <c r="N442" i="18"/>
  <c r="L442" i="18" a="1"/>
  <c r="L442" i="18"/>
  <c r="M442" i="18" s="1"/>
  <c r="H442" i="18" a="1"/>
  <c r="H442" i="18"/>
  <c r="G442" i="18" a="1"/>
  <c r="G442" i="18"/>
  <c r="F442" i="18" a="1"/>
  <c r="F442" i="18"/>
  <c r="E442" i="18" a="1"/>
  <c r="E442" i="18"/>
  <c r="D442" i="18" a="1"/>
  <c r="D442" i="18"/>
  <c r="C442" i="18" a="1"/>
  <c r="C442" i="18"/>
  <c r="B442" i="18" a="1"/>
  <c r="B442" i="18"/>
  <c r="N441" i="18" a="1"/>
  <c r="N441" i="18"/>
  <c r="L441" i="18" a="1"/>
  <c r="L441" i="18"/>
  <c r="M441" i="18" s="1"/>
  <c r="H441" i="18" a="1"/>
  <c r="H441" i="18"/>
  <c r="G441" i="18" a="1"/>
  <c r="G441" i="18"/>
  <c r="F441" i="18" a="1"/>
  <c r="F441" i="18"/>
  <c r="E441" i="18" a="1"/>
  <c r="E441" i="18"/>
  <c r="D441" i="18" a="1"/>
  <c r="D441" i="18"/>
  <c r="C441" i="18" a="1"/>
  <c r="C441" i="18"/>
  <c r="B441" i="18" a="1"/>
  <c r="B441" i="18"/>
  <c r="N440" i="18" a="1"/>
  <c r="N440" i="18"/>
  <c r="L440" i="18" a="1"/>
  <c r="L440" i="18"/>
  <c r="M440" i="18" s="1"/>
  <c r="H440" i="18" a="1"/>
  <c r="H440" i="18"/>
  <c r="G440" i="18" a="1"/>
  <c r="G440" i="18"/>
  <c r="F440" i="18" a="1"/>
  <c r="F440" i="18"/>
  <c r="E440" i="18" a="1"/>
  <c r="E440" i="18"/>
  <c r="D440" i="18" a="1"/>
  <c r="D440" i="18"/>
  <c r="C440" i="18" a="1"/>
  <c r="C440" i="18"/>
  <c r="B440" i="18" a="1"/>
  <c r="B440" i="18"/>
  <c r="N439" i="18" a="1"/>
  <c r="N439" i="18"/>
  <c r="L439" i="18" a="1"/>
  <c r="L439" i="18"/>
  <c r="M439" i="18" s="1"/>
  <c r="H439" i="18" a="1"/>
  <c r="H439" i="18"/>
  <c r="G439" i="18" a="1"/>
  <c r="G439" i="18"/>
  <c r="F439" i="18" a="1"/>
  <c r="F439" i="18"/>
  <c r="E439" i="18" a="1"/>
  <c r="E439" i="18"/>
  <c r="D439" i="18" a="1"/>
  <c r="D439" i="18"/>
  <c r="C439" i="18" a="1"/>
  <c r="C439" i="18"/>
  <c r="B439" i="18" a="1"/>
  <c r="B439" i="18"/>
  <c r="N438" i="18" a="1"/>
  <c r="N438" i="18"/>
  <c r="L438" i="18" a="1"/>
  <c r="L438" i="18"/>
  <c r="M438" i="18" s="1"/>
  <c r="H438" i="18" a="1"/>
  <c r="H438" i="18"/>
  <c r="G438" i="18" a="1"/>
  <c r="G438" i="18"/>
  <c r="F438" i="18" a="1"/>
  <c r="F438" i="18"/>
  <c r="E438" i="18" a="1"/>
  <c r="E438" i="18"/>
  <c r="D438" i="18" a="1"/>
  <c r="D438" i="18"/>
  <c r="C438" i="18" a="1"/>
  <c r="C438" i="18"/>
  <c r="B438" i="18" a="1"/>
  <c r="B438" i="18"/>
  <c r="N437" i="18" a="1"/>
  <c r="N437" i="18"/>
  <c r="L437" i="18" a="1"/>
  <c r="L437" i="18"/>
  <c r="M437" i="18" s="1"/>
  <c r="H437" i="18" a="1"/>
  <c r="H437" i="18"/>
  <c r="G437" i="18" a="1"/>
  <c r="G437" i="18"/>
  <c r="F437" i="18" a="1"/>
  <c r="F437" i="18"/>
  <c r="E437" i="18" a="1"/>
  <c r="E437" i="18"/>
  <c r="D437" i="18" a="1"/>
  <c r="D437" i="18"/>
  <c r="C437" i="18" a="1"/>
  <c r="C437" i="18"/>
  <c r="B437" i="18" a="1"/>
  <c r="B437" i="18"/>
  <c r="N436" i="18" a="1"/>
  <c r="N436" i="18"/>
  <c r="L436" i="18" a="1"/>
  <c r="L436" i="18"/>
  <c r="M436" i="18" s="1"/>
  <c r="H436" i="18" a="1"/>
  <c r="H436" i="18"/>
  <c r="G436" i="18" a="1"/>
  <c r="G436" i="18"/>
  <c r="F436" i="18" a="1"/>
  <c r="F436" i="18"/>
  <c r="E436" i="18" a="1"/>
  <c r="E436" i="18"/>
  <c r="D436" i="18" a="1"/>
  <c r="D436" i="18"/>
  <c r="C436" i="18" a="1"/>
  <c r="C436" i="18"/>
  <c r="B436" i="18" a="1"/>
  <c r="B436" i="18"/>
  <c r="N435" i="18" a="1"/>
  <c r="N435" i="18"/>
  <c r="L435" i="18" a="1"/>
  <c r="L435" i="18"/>
  <c r="M435" i="18" s="1"/>
  <c r="H435" i="18" a="1"/>
  <c r="H435" i="18"/>
  <c r="G435" i="18" a="1"/>
  <c r="G435" i="18"/>
  <c r="F435" i="18" a="1"/>
  <c r="F435" i="18"/>
  <c r="E435" i="18" a="1"/>
  <c r="E435" i="18"/>
  <c r="D435" i="18" a="1"/>
  <c r="D435" i="18"/>
  <c r="C435" i="18" a="1"/>
  <c r="C435" i="18"/>
  <c r="B435" i="18" a="1"/>
  <c r="B435" i="18"/>
  <c r="N434" i="18" a="1"/>
  <c r="N434" i="18"/>
  <c r="L434" i="18" a="1"/>
  <c r="L434" i="18"/>
  <c r="M434" i="18" s="1"/>
  <c r="H434" i="18" a="1"/>
  <c r="H434" i="18"/>
  <c r="G434" i="18" a="1"/>
  <c r="G434" i="18"/>
  <c r="F434" i="18" a="1"/>
  <c r="F434" i="18"/>
  <c r="E434" i="18" a="1"/>
  <c r="E434" i="18"/>
  <c r="D434" i="18" a="1"/>
  <c r="D434" i="18"/>
  <c r="C434" i="18" a="1"/>
  <c r="C434" i="18"/>
  <c r="B434" i="18" a="1"/>
  <c r="B434" i="18"/>
  <c r="N433" i="18" a="1"/>
  <c r="N433" i="18"/>
  <c r="L433" i="18" a="1"/>
  <c r="L433" i="18"/>
  <c r="M433" i="18" s="1"/>
  <c r="H433" i="18" a="1"/>
  <c r="H433" i="18"/>
  <c r="G433" i="18" a="1"/>
  <c r="G433" i="18"/>
  <c r="F433" i="18" a="1"/>
  <c r="F433" i="18"/>
  <c r="E433" i="18" a="1"/>
  <c r="E433" i="18"/>
  <c r="D433" i="18" a="1"/>
  <c r="D433" i="18"/>
  <c r="C433" i="18" a="1"/>
  <c r="C433" i="18"/>
  <c r="B433" i="18" a="1"/>
  <c r="B433" i="18"/>
  <c r="N432" i="18" a="1"/>
  <c r="N432" i="18"/>
  <c r="L432" i="18" a="1"/>
  <c r="L432" i="18"/>
  <c r="M432" i="18" s="1"/>
  <c r="H432" i="18" a="1"/>
  <c r="H432" i="18"/>
  <c r="G432" i="18" a="1"/>
  <c r="G432" i="18"/>
  <c r="F432" i="18" a="1"/>
  <c r="F432" i="18"/>
  <c r="E432" i="18" a="1"/>
  <c r="E432" i="18"/>
  <c r="D432" i="18" a="1"/>
  <c r="D432" i="18"/>
  <c r="C432" i="18" a="1"/>
  <c r="C432" i="18"/>
  <c r="B432" i="18" a="1"/>
  <c r="B432" i="18"/>
  <c r="N431" i="18" a="1"/>
  <c r="N431" i="18"/>
  <c r="L431" i="18" a="1"/>
  <c r="L431" i="18"/>
  <c r="M431" i="18" s="1"/>
  <c r="H431" i="18" a="1"/>
  <c r="H431" i="18"/>
  <c r="G431" i="18" a="1"/>
  <c r="G431" i="18"/>
  <c r="F431" i="18" a="1"/>
  <c r="F431" i="18"/>
  <c r="E431" i="18" a="1"/>
  <c r="E431" i="18"/>
  <c r="D431" i="18" a="1"/>
  <c r="D431" i="18"/>
  <c r="C431" i="18" a="1"/>
  <c r="C431" i="18"/>
  <c r="B431" i="18" a="1"/>
  <c r="B431" i="18"/>
  <c r="N430" i="18" a="1"/>
  <c r="N430" i="18"/>
  <c r="L430" i="18" a="1"/>
  <c r="L430" i="18"/>
  <c r="M430" i="18" s="1"/>
  <c r="H430" i="18" a="1"/>
  <c r="H430" i="18"/>
  <c r="G430" i="18" a="1"/>
  <c r="G430" i="18"/>
  <c r="F430" i="18" a="1"/>
  <c r="F430" i="18"/>
  <c r="E430" i="18" a="1"/>
  <c r="E430" i="18"/>
  <c r="D430" i="18" a="1"/>
  <c r="D430" i="18"/>
  <c r="C430" i="18" a="1"/>
  <c r="C430" i="18"/>
  <c r="B430" i="18" a="1"/>
  <c r="B430" i="18"/>
  <c r="N429" i="18" a="1"/>
  <c r="N429" i="18"/>
  <c r="L429" i="18" a="1"/>
  <c r="L429" i="18"/>
  <c r="M429" i="18" s="1"/>
  <c r="H429" i="18" a="1"/>
  <c r="H429" i="18"/>
  <c r="G429" i="18" a="1"/>
  <c r="G429" i="18"/>
  <c r="F429" i="18" a="1"/>
  <c r="F429" i="18"/>
  <c r="E429" i="18" a="1"/>
  <c r="E429" i="18"/>
  <c r="D429" i="18" a="1"/>
  <c r="D429" i="18"/>
  <c r="C429" i="18" a="1"/>
  <c r="C429" i="18"/>
  <c r="B429" i="18" a="1"/>
  <c r="B429" i="18"/>
  <c r="N428" i="18" a="1"/>
  <c r="N428" i="18"/>
  <c r="L428" i="18" a="1"/>
  <c r="L428" i="18"/>
  <c r="M428" i="18" s="1"/>
  <c r="H428" i="18" a="1"/>
  <c r="H428" i="18"/>
  <c r="G428" i="18" a="1"/>
  <c r="G428" i="18"/>
  <c r="F428" i="18" a="1"/>
  <c r="F428" i="18"/>
  <c r="E428" i="18" a="1"/>
  <c r="E428" i="18"/>
  <c r="D428" i="18" a="1"/>
  <c r="D428" i="18"/>
  <c r="C428" i="18" a="1"/>
  <c r="C428" i="18"/>
  <c r="B428" i="18" a="1"/>
  <c r="B428" i="18"/>
  <c r="N427" i="18" a="1"/>
  <c r="N427" i="18"/>
  <c r="L427" i="18" a="1"/>
  <c r="L427" i="18"/>
  <c r="M427" i="18" s="1"/>
  <c r="H427" i="18" a="1"/>
  <c r="H427" i="18"/>
  <c r="G427" i="18" a="1"/>
  <c r="G427" i="18"/>
  <c r="F427" i="18" a="1"/>
  <c r="F427" i="18"/>
  <c r="E427" i="18" a="1"/>
  <c r="E427" i="18"/>
  <c r="D427" i="18" a="1"/>
  <c r="D427" i="18"/>
  <c r="C427" i="18" a="1"/>
  <c r="C427" i="18"/>
  <c r="B427" i="18" a="1"/>
  <c r="B427" i="18"/>
  <c r="N426" i="18" a="1"/>
  <c r="N426" i="18"/>
  <c r="L426" i="18" a="1"/>
  <c r="L426" i="18"/>
  <c r="M426" i="18" s="1"/>
  <c r="H426" i="18" a="1"/>
  <c r="H426" i="18"/>
  <c r="G426" i="18" a="1"/>
  <c r="G426" i="18"/>
  <c r="F426" i="18" a="1"/>
  <c r="F426" i="18"/>
  <c r="E426" i="18" a="1"/>
  <c r="E426" i="18"/>
  <c r="D426" i="18" a="1"/>
  <c r="D426" i="18"/>
  <c r="C426" i="18" a="1"/>
  <c r="C426" i="18"/>
  <c r="B426" i="18" a="1"/>
  <c r="B426" i="18"/>
  <c r="N425" i="18" a="1"/>
  <c r="N425" i="18"/>
  <c r="L425" i="18" a="1"/>
  <c r="L425" i="18"/>
  <c r="M425" i="18" s="1"/>
  <c r="H425" i="18" a="1"/>
  <c r="H425" i="18"/>
  <c r="G425" i="18" a="1"/>
  <c r="G425" i="18"/>
  <c r="F425" i="18" a="1"/>
  <c r="F425" i="18"/>
  <c r="E425" i="18" a="1"/>
  <c r="E425" i="18"/>
  <c r="D425" i="18" a="1"/>
  <c r="D425" i="18"/>
  <c r="C425" i="18" a="1"/>
  <c r="C425" i="18"/>
  <c r="B425" i="18" a="1"/>
  <c r="B425" i="18"/>
  <c r="N424" i="18" a="1"/>
  <c r="N424" i="18"/>
  <c r="L424" i="18" a="1"/>
  <c r="L424" i="18"/>
  <c r="M424" i="18" s="1"/>
  <c r="H424" i="18" a="1"/>
  <c r="H424" i="18"/>
  <c r="G424" i="18" a="1"/>
  <c r="G424" i="18"/>
  <c r="F424" i="18" a="1"/>
  <c r="F424" i="18"/>
  <c r="E424" i="18" a="1"/>
  <c r="E424" i="18"/>
  <c r="D424" i="18" a="1"/>
  <c r="D424" i="18"/>
  <c r="C424" i="18" a="1"/>
  <c r="C424" i="18"/>
  <c r="B424" i="18" a="1"/>
  <c r="B424" i="18"/>
  <c r="N423" i="18" a="1"/>
  <c r="N423" i="18"/>
  <c r="L423" i="18" a="1"/>
  <c r="L423" i="18"/>
  <c r="M423" i="18" s="1"/>
  <c r="H423" i="18" a="1"/>
  <c r="H423" i="18"/>
  <c r="G423" i="18" a="1"/>
  <c r="G423" i="18"/>
  <c r="F423" i="18" a="1"/>
  <c r="F423" i="18"/>
  <c r="E423" i="18" a="1"/>
  <c r="E423" i="18"/>
  <c r="D423" i="18" a="1"/>
  <c r="D423" i="18"/>
  <c r="C423" i="18" a="1"/>
  <c r="C423" i="18"/>
  <c r="B423" i="18" a="1"/>
  <c r="B423" i="18"/>
  <c r="N422" i="18" a="1"/>
  <c r="N422" i="18"/>
  <c r="L422" i="18" a="1"/>
  <c r="L422" i="18"/>
  <c r="M422" i="18" s="1"/>
  <c r="H422" i="18" a="1"/>
  <c r="H422" i="18"/>
  <c r="G422" i="18" a="1"/>
  <c r="G422" i="18"/>
  <c r="F422" i="18" a="1"/>
  <c r="F422" i="18"/>
  <c r="E422" i="18" a="1"/>
  <c r="E422" i="18"/>
  <c r="D422" i="18" a="1"/>
  <c r="D422" i="18"/>
  <c r="C422" i="18" a="1"/>
  <c r="C422" i="18"/>
  <c r="B422" i="18" a="1"/>
  <c r="B422" i="18"/>
  <c r="N421" i="18" a="1"/>
  <c r="N421" i="18"/>
  <c r="L421" i="18" a="1"/>
  <c r="L421" i="18"/>
  <c r="M421" i="18" s="1"/>
  <c r="H421" i="18" a="1"/>
  <c r="H421" i="18"/>
  <c r="G421" i="18" a="1"/>
  <c r="G421" i="18"/>
  <c r="F421" i="18" a="1"/>
  <c r="F421" i="18"/>
  <c r="E421" i="18" a="1"/>
  <c r="E421" i="18"/>
  <c r="D421" i="18" a="1"/>
  <c r="D421" i="18"/>
  <c r="C421" i="18" a="1"/>
  <c r="C421" i="18"/>
  <c r="B421" i="18" a="1"/>
  <c r="B421" i="18"/>
  <c r="N420" i="18" a="1"/>
  <c r="N420" i="18"/>
  <c r="L420" i="18" a="1"/>
  <c r="L420" i="18"/>
  <c r="M420" i="18" s="1"/>
  <c r="H420" i="18" a="1"/>
  <c r="H420" i="18"/>
  <c r="G420" i="18" a="1"/>
  <c r="G420" i="18"/>
  <c r="F420" i="18" a="1"/>
  <c r="F420" i="18"/>
  <c r="E420" i="18" a="1"/>
  <c r="E420" i="18"/>
  <c r="D420" i="18" a="1"/>
  <c r="D420" i="18"/>
  <c r="C420" i="18" a="1"/>
  <c r="C420" i="18"/>
  <c r="B420" i="18" a="1"/>
  <c r="B420" i="18"/>
  <c r="N419" i="18" a="1"/>
  <c r="N419" i="18"/>
  <c r="L419" i="18" a="1"/>
  <c r="L419" i="18"/>
  <c r="M419" i="18" s="1"/>
  <c r="H419" i="18" a="1"/>
  <c r="H419" i="18"/>
  <c r="G419" i="18" a="1"/>
  <c r="G419" i="18"/>
  <c r="F419" i="18" a="1"/>
  <c r="F419" i="18"/>
  <c r="E419" i="18" a="1"/>
  <c r="E419" i="18"/>
  <c r="D419" i="18" a="1"/>
  <c r="D419" i="18"/>
  <c r="C419" i="18" a="1"/>
  <c r="C419" i="18"/>
  <c r="B419" i="18" a="1"/>
  <c r="B419" i="18"/>
  <c r="N418" i="18" a="1"/>
  <c r="N418" i="18"/>
  <c r="L418" i="18" a="1"/>
  <c r="L418" i="18"/>
  <c r="M418" i="18" s="1"/>
  <c r="H418" i="18" a="1"/>
  <c r="H418" i="18"/>
  <c r="G418" i="18" a="1"/>
  <c r="G418" i="18"/>
  <c r="F418" i="18" a="1"/>
  <c r="F418" i="18"/>
  <c r="E418" i="18" a="1"/>
  <c r="E418" i="18"/>
  <c r="D418" i="18" a="1"/>
  <c r="D418" i="18"/>
  <c r="C418" i="18" a="1"/>
  <c r="C418" i="18"/>
  <c r="B418" i="18" a="1"/>
  <c r="B418" i="18"/>
  <c r="N417" i="18" a="1"/>
  <c r="N417" i="18"/>
  <c r="L417" i="18" a="1"/>
  <c r="L417" i="18"/>
  <c r="M417" i="18" s="1"/>
  <c r="H417" i="18" a="1"/>
  <c r="H417" i="18"/>
  <c r="G417" i="18" a="1"/>
  <c r="G417" i="18"/>
  <c r="F417" i="18" a="1"/>
  <c r="F417" i="18"/>
  <c r="E417" i="18" a="1"/>
  <c r="E417" i="18"/>
  <c r="D417" i="18" a="1"/>
  <c r="D417" i="18"/>
  <c r="C417" i="18" a="1"/>
  <c r="C417" i="18"/>
  <c r="B417" i="18" a="1"/>
  <c r="B417" i="18"/>
  <c r="N416" i="18" a="1"/>
  <c r="N416" i="18"/>
  <c r="L416" i="18" a="1"/>
  <c r="L416" i="18"/>
  <c r="M416" i="18" s="1"/>
  <c r="H416" i="18" a="1"/>
  <c r="H416" i="18"/>
  <c r="G416" i="18" a="1"/>
  <c r="G416" i="18"/>
  <c r="F416" i="18" a="1"/>
  <c r="F416" i="18"/>
  <c r="E416" i="18" a="1"/>
  <c r="E416" i="18"/>
  <c r="D416" i="18" a="1"/>
  <c r="D416" i="18"/>
  <c r="C416" i="18" a="1"/>
  <c r="C416" i="18"/>
  <c r="B416" i="18" a="1"/>
  <c r="B416" i="18"/>
  <c r="N415" i="18" a="1"/>
  <c r="N415" i="18"/>
  <c r="L415" i="18" a="1"/>
  <c r="L415" i="18"/>
  <c r="M415" i="18" s="1"/>
  <c r="H415" i="18" a="1"/>
  <c r="H415" i="18"/>
  <c r="G415" i="18" a="1"/>
  <c r="G415" i="18"/>
  <c r="F415" i="18" a="1"/>
  <c r="F415" i="18"/>
  <c r="E415" i="18" a="1"/>
  <c r="E415" i="18"/>
  <c r="D415" i="18" a="1"/>
  <c r="D415" i="18"/>
  <c r="C415" i="18" a="1"/>
  <c r="C415" i="18"/>
  <c r="B415" i="18" a="1"/>
  <c r="B415" i="18"/>
  <c r="N414" i="18" a="1"/>
  <c r="N414" i="18"/>
  <c r="L414" i="18" a="1"/>
  <c r="L414" i="18"/>
  <c r="M414" i="18" s="1"/>
  <c r="H414" i="18" a="1"/>
  <c r="H414" i="18"/>
  <c r="G414" i="18" a="1"/>
  <c r="G414" i="18"/>
  <c r="F414" i="18" a="1"/>
  <c r="F414" i="18"/>
  <c r="E414" i="18" a="1"/>
  <c r="E414" i="18"/>
  <c r="D414" i="18" a="1"/>
  <c r="D414" i="18"/>
  <c r="C414" i="18" a="1"/>
  <c r="C414" i="18"/>
  <c r="B414" i="18" a="1"/>
  <c r="B414" i="18"/>
  <c r="N413" i="18" a="1"/>
  <c r="N413" i="18"/>
  <c r="L413" i="18" a="1"/>
  <c r="L413" i="18"/>
  <c r="M413" i="18" s="1"/>
  <c r="H413" i="18" a="1"/>
  <c r="H413" i="18"/>
  <c r="G413" i="18" a="1"/>
  <c r="G413" i="18"/>
  <c r="F413" i="18" a="1"/>
  <c r="F413" i="18"/>
  <c r="E413" i="18" a="1"/>
  <c r="E413" i="18"/>
  <c r="D413" i="18" a="1"/>
  <c r="D413" i="18"/>
  <c r="C413" i="18" a="1"/>
  <c r="C413" i="18"/>
  <c r="B413" i="18" a="1"/>
  <c r="B413" i="18"/>
  <c r="N412" i="18" a="1"/>
  <c r="N412" i="18"/>
  <c r="L412" i="18" a="1"/>
  <c r="L412" i="18"/>
  <c r="M412" i="18" s="1"/>
  <c r="H412" i="18" a="1"/>
  <c r="H412" i="18"/>
  <c r="G412" i="18" a="1"/>
  <c r="G412" i="18"/>
  <c r="F412" i="18" a="1"/>
  <c r="F412" i="18"/>
  <c r="E412" i="18" a="1"/>
  <c r="E412" i="18"/>
  <c r="D412" i="18" a="1"/>
  <c r="D412" i="18"/>
  <c r="C412" i="18" a="1"/>
  <c r="C412" i="18"/>
  <c r="B412" i="18" a="1"/>
  <c r="B412" i="18"/>
  <c r="N411" i="18" a="1"/>
  <c r="N411" i="18"/>
  <c r="L411" i="18" a="1"/>
  <c r="L411" i="18"/>
  <c r="M411" i="18" s="1"/>
  <c r="H411" i="18" a="1"/>
  <c r="H411" i="18"/>
  <c r="G411" i="18" a="1"/>
  <c r="G411" i="18"/>
  <c r="F411" i="18" a="1"/>
  <c r="F411" i="18"/>
  <c r="E411" i="18" a="1"/>
  <c r="E411" i="18"/>
  <c r="D411" i="18" a="1"/>
  <c r="D411" i="18"/>
  <c r="C411" i="18" a="1"/>
  <c r="C411" i="18"/>
  <c r="B411" i="18" a="1"/>
  <c r="B411" i="18"/>
  <c r="N410" i="18" a="1"/>
  <c r="N410" i="18"/>
  <c r="L410" i="18" a="1"/>
  <c r="L410" i="18"/>
  <c r="M410" i="18" s="1"/>
  <c r="H410" i="18" a="1"/>
  <c r="H410" i="18"/>
  <c r="G410" i="18" a="1"/>
  <c r="G410" i="18"/>
  <c r="F410" i="18" a="1"/>
  <c r="F410" i="18"/>
  <c r="E410" i="18" a="1"/>
  <c r="E410" i="18"/>
  <c r="D410" i="18" a="1"/>
  <c r="D410" i="18"/>
  <c r="C410" i="18" a="1"/>
  <c r="C410" i="18"/>
  <c r="B410" i="18" a="1"/>
  <c r="B410" i="18"/>
  <c r="N409" i="18" a="1"/>
  <c r="N409" i="18"/>
  <c r="L409" i="18" a="1"/>
  <c r="L409" i="18"/>
  <c r="M409" i="18" s="1"/>
  <c r="H409" i="18" a="1"/>
  <c r="H409" i="18"/>
  <c r="G409" i="18" a="1"/>
  <c r="G409" i="18"/>
  <c r="F409" i="18" a="1"/>
  <c r="F409" i="18"/>
  <c r="E409" i="18" a="1"/>
  <c r="E409" i="18"/>
  <c r="D409" i="18" a="1"/>
  <c r="D409" i="18"/>
  <c r="C409" i="18" a="1"/>
  <c r="C409" i="18"/>
  <c r="B409" i="18" a="1"/>
  <c r="B409" i="18"/>
  <c r="N408" i="18" a="1"/>
  <c r="N408" i="18"/>
  <c r="L408" i="18" a="1"/>
  <c r="L408" i="18"/>
  <c r="M408" i="18" s="1"/>
  <c r="H408" i="18" a="1"/>
  <c r="H408" i="18"/>
  <c r="G408" i="18" a="1"/>
  <c r="G408" i="18"/>
  <c r="F408" i="18" a="1"/>
  <c r="F408" i="18"/>
  <c r="E408" i="18" a="1"/>
  <c r="E408" i="18"/>
  <c r="D408" i="18" a="1"/>
  <c r="D408" i="18"/>
  <c r="C408" i="18" a="1"/>
  <c r="C408" i="18"/>
  <c r="B408" i="18" a="1"/>
  <c r="B408" i="18"/>
  <c r="N407" i="18" a="1"/>
  <c r="N407" i="18"/>
  <c r="L407" i="18" a="1"/>
  <c r="L407" i="18"/>
  <c r="M407" i="18" s="1"/>
  <c r="H407" i="18" a="1"/>
  <c r="H407" i="18"/>
  <c r="G407" i="18" a="1"/>
  <c r="G407" i="18"/>
  <c r="F407" i="18" a="1"/>
  <c r="F407" i="18"/>
  <c r="E407" i="18" a="1"/>
  <c r="E407" i="18"/>
  <c r="D407" i="18" a="1"/>
  <c r="D407" i="18"/>
  <c r="C407" i="18" a="1"/>
  <c r="C407" i="18"/>
  <c r="B407" i="18" a="1"/>
  <c r="B407" i="18"/>
  <c r="N406" i="18" a="1"/>
  <c r="N406" i="18"/>
  <c r="L406" i="18" a="1"/>
  <c r="L406" i="18"/>
  <c r="M406" i="18" s="1"/>
  <c r="H406" i="18" a="1"/>
  <c r="H406" i="18"/>
  <c r="G406" i="18" a="1"/>
  <c r="G406" i="18"/>
  <c r="F406" i="18" a="1"/>
  <c r="F406" i="18"/>
  <c r="E406" i="18" a="1"/>
  <c r="E406" i="18"/>
  <c r="D406" i="18" a="1"/>
  <c r="D406" i="18"/>
  <c r="C406" i="18" a="1"/>
  <c r="C406" i="18"/>
  <c r="B406" i="18" a="1"/>
  <c r="B406" i="18"/>
  <c r="N405" i="18" a="1"/>
  <c r="N405" i="18"/>
  <c r="L405" i="18" a="1"/>
  <c r="L405" i="18"/>
  <c r="M405" i="18" s="1"/>
  <c r="H405" i="18" a="1"/>
  <c r="H405" i="18"/>
  <c r="G405" i="18" a="1"/>
  <c r="G405" i="18"/>
  <c r="F405" i="18" a="1"/>
  <c r="F405" i="18"/>
  <c r="E405" i="18" a="1"/>
  <c r="E405" i="18"/>
  <c r="D405" i="18" a="1"/>
  <c r="D405" i="18"/>
  <c r="C405" i="18" a="1"/>
  <c r="C405" i="18"/>
  <c r="B405" i="18" a="1"/>
  <c r="B405" i="18"/>
  <c r="N404" i="18" a="1"/>
  <c r="N404" i="18"/>
  <c r="L404" i="18" a="1"/>
  <c r="L404" i="18"/>
  <c r="M404" i="18" s="1"/>
  <c r="H404" i="18" a="1"/>
  <c r="H404" i="18"/>
  <c r="G404" i="18" a="1"/>
  <c r="G404" i="18"/>
  <c r="F404" i="18" a="1"/>
  <c r="F404" i="18"/>
  <c r="E404" i="18" a="1"/>
  <c r="E404" i="18"/>
  <c r="D404" i="18" a="1"/>
  <c r="D404" i="18"/>
  <c r="C404" i="18" a="1"/>
  <c r="C404" i="18"/>
  <c r="B404" i="18" a="1"/>
  <c r="B404" i="18"/>
  <c r="N403" i="18" a="1"/>
  <c r="N403" i="18"/>
  <c r="L403" i="18" a="1"/>
  <c r="L403" i="18"/>
  <c r="M403" i="18" s="1"/>
  <c r="H403" i="18" a="1"/>
  <c r="H403" i="18"/>
  <c r="G403" i="18" a="1"/>
  <c r="G403" i="18"/>
  <c r="F403" i="18" a="1"/>
  <c r="F403" i="18"/>
  <c r="E403" i="18" a="1"/>
  <c r="E403" i="18"/>
  <c r="D403" i="18" a="1"/>
  <c r="D403" i="18"/>
  <c r="C403" i="18" a="1"/>
  <c r="C403" i="18"/>
  <c r="B403" i="18" a="1"/>
  <c r="B403" i="18"/>
  <c r="N402" i="18" a="1"/>
  <c r="N402" i="18"/>
  <c r="L402" i="18" a="1"/>
  <c r="L402" i="18"/>
  <c r="M402" i="18" s="1"/>
  <c r="H402" i="18" a="1"/>
  <c r="H402" i="18"/>
  <c r="G402" i="18" a="1"/>
  <c r="G402" i="18"/>
  <c r="F402" i="18" a="1"/>
  <c r="F402" i="18"/>
  <c r="E402" i="18" a="1"/>
  <c r="E402" i="18"/>
  <c r="D402" i="18" a="1"/>
  <c r="D402" i="18"/>
  <c r="C402" i="18" a="1"/>
  <c r="C402" i="18"/>
  <c r="B402" i="18" a="1"/>
  <c r="B402" i="18"/>
  <c r="N401" i="18" a="1"/>
  <c r="N401" i="18"/>
  <c r="L401" i="18" a="1"/>
  <c r="L401" i="18"/>
  <c r="M401" i="18" s="1"/>
  <c r="H401" i="18" a="1"/>
  <c r="H401" i="18"/>
  <c r="G401" i="18" a="1"/>
  <c r="G401" i="18"/>
  <c r="F401" i="18" a="1"/>
  <c r="F401" i="18"/>
  <c r="E401" i="18" a="1"/>
  <c r="E401" i="18"/>
  <c r="D401" i="18" a="1"/>
  <c r="D401" i="18"/>
  <c r="C401" i="18" a="1"/>
  <c r="C401" i="18"/>
  <c r="B401" i="18" a="1"/>
  <c r="B401" i="18"/>
  <c r="N400" i="18" a="1"/>
  <c r="N400" i="18"/>
  <c r="L400" i="18" a="1"/>
  <c r="L400" i="18"/>
  <c r="M400" i="18" s="1"/>
  <c r="H400" i="18" a="1"/>
  <c r="H400" i="18"/>
  <c r="G400" i="18" a="1"/>
  <c r="G400" i="18"/>
  <c r="F400" i="18" a="1"/>
  <c r="F400" i="18"/>
  <c r="E400" i="18" a="1"/>
  <c r="E400" i="18"/>
  <c r="D400" i="18" a="1"/>
  <c r="D400" i="18"/>
  <c r="C400" i="18" a="1"/>
  <c r="C400" i="18"/>
  <c r="B400" i="18" a="1"/>
  <c r="B400" i="18"/>
  <c r="N399" i="18" a="1"/>
  <c r="N399" i="18"/>
  <c r="L399" i="18" a="1"/>
  <c r="L399" i="18"/>
  <c r="M399" i="18" s="1"/>
  <c r="H399" i="18" a="1"/>
  <c r="H399" i="18"/>
  <c r="G399" i="18" a="1"/>
  <c r="G399" i="18"/>
  <c r="F399" i="18" a="1"/>
  <c r="F399" i="18"/>
  <c r="E399" i="18" a="1"/>
  <c r="E399" i="18"/>
  <c r="D399" i="18" a="1"/>
  <c r="D399" i="18"/>
  <c r="C399" i="18" a="1"/>
  <c r="C399" i="18"/>
  <c r="B399" i="18" a="1"/>
  <c r="B399" i="18"/>
  <c r="N398" i="18" a="1"/>
  <c r="N398" i="18"/>
  <c r="L398" i="18" a="1"/>
  <c r="L398" i="18"/>
  <c r="M398" i="18" s="1"/>
  <c r="H398" i="18" a="1"/>
  <c r="H398" i="18"/>
  <c r="G398" i="18" a="1"/>
  <c r="G398" i="18"/>
  <c r="F398" i="18" a="1"/>
  <c r="F398" i="18"/>
  <c r="E398" i="18" a="1"/>
  <c r="E398" i="18"/>
  <c r="D398" i="18" a="1"/>
  <c r="D398" i="18"/>
  <c r="C398" i="18" a="1"/>
  <c r="C398" i="18"/>
  <c r="B398" i="18" a="1"/>
  <c r="B398" i="18"/>
  <c r="N397" i="18" a="1"/>
  <c r="N397" i="18"/>
  <c r="L397" i="18" a="1"/>
  <c r="L397" i="18"/>
  <c r="M397" i="18" s="1"/>
  <c r="H397" i="18" a="1"/>
  <c r="H397" i="18"/>
  <c r="G397" i="18" a="1"/>
  <c r="G397" i="18"/>
  <c r="F397" i="18" a="1"/>
  <c r="F397" i="18"/>
  <c r="E397" i="18" a="1"/>
  <c r="E397" i="18"/>
  <c r="D397" i="18" a="1"/>
  <c r="D397" i="18"/>
  <c r="C397" i="18" a="1"/>
  <c r="C397" i="18"/>
  <c r="B397" i="18" a="1"/>
  <c r="B397" i="18"/>
  <c r="N396" i="18" a="1"/>
  <c r="N396" i="18"/>
  <c r="L396" i="18" a="1"/>
  <c r="L396" i="18"/>
  <c r="M396" i="18" s="1"/>
  <c r="H396" i="18" a="1"/>
  <c r="H396" i="18"/>
  <c r="G396" i="18" a="1"/>
  <c r="G396" i="18"/>
  <c r="F396" i="18" a="1"/>
  <c r="F396" i="18"/>
  <c r="E396" i="18" a="1"/>
  <c r="E396" i="18"/>
  <c r="D396" i="18" a="1"/>
  <c r="D396" i="18"/>
  <c r="C396" i="18" a="1"/>
  <c r="C396" i="18"/>
  <c r="B396" i="18" a="1"/>
  <c r="B396" i="18"/>
  <c r="N395" i="18" a="1"/>
  <c r="N395" i="18"/>
  <c r="L395" i="18" a="1"/>
  <c r="L395" i="18"/>
  <c r="M395" i="18" s="1"/>
  <c r="H395" i="18" a="1"/>
  <c r="H395" i="18"/>
  <c r="G395" i="18" a="1"/>
  <c r="G395" i="18"/>
  <c r="F395" i="18" a="1"/>
  <c r="F395" i="18"/>
  <c r="E395" i="18" a="1"/>
  <c r="E395" i="18"/>
  <c r="D395" i="18" a="1"/>
  <c r="D395" i="18"/>
  <c r="C395" i="18" a="1"/>
  <c r="C395" i="18"/>
  <c r="B395" i="18" a="1"/>
  <c r="B395" i="18"/>
  <c r="N394" i="18" a="1"/>
  <c r="N394" i="18"/>
  <c r="L394" i="18" a="1"/>
  <c r="L394" i="18"/>
  <c r="M394" i="18" s="1"/>
  <c r="H394" i="18" a="1"/>
  <c r="H394" i="18"/>
  <c r="G394" i="18" a="1"/>
  <c r="G394" i="18"/>
  <c r="F394" i="18" a="1"/>
  <c r="F394" i="18"/>
  <c r="E394" i="18" a="1"/>
  <c r="E394" i="18"/>
  <c r="D394" i="18" a="1"/>
  <c r="D394" i="18"/>
  <c r="C394" i="18" a="1"/>
  <c r="C394" i="18"/>
  <c r="B394" i="18" a="1"/>
  <c r="B394" i="18"/>
  <c r="N393" i="18" a="1"/>
  <c r="N393" i="18"/>
  <c r="L393" i="18" a="1"/>
  <c r="L393" i="18"/>
  <c r="M393" i="18" s="1"/>
  <c r="H393" i="18" a="1"/>
  <c r="H393" i="18"/>
  <c r="G393" i="18" a="1"/>
  <c r="G393" i="18"/>
  <c r="F393" i="18" a="1"/>
  <c r="F393" i="18"/>
  <c r="E393" i="18" a="1"/>
  <c r="E393" i="18"/>
  <c r="D393" i="18" a="1"/>
  <c r="D393" i="18"/>
  <c r="C393" i="18" a="1"/>
  <c r="C393" i="18"/>
  <c r="B393" i="18" a="1"/>
  <c r="B393" i="18"/>
  <c r="N392" i="18" a="1"/>
  <c r="N392" i="18"/>
  <c r="L392" i="18" a="1"/>
  <c r="L392" i="18"/>
  <c r="M392" i="18" s="1"/>
  <c r="H392" i="18" a="1"/>
  <c r="H392" i="18"/>
  <c r="G392" i="18" a="1"/>
  <c r="G392" i="18"/>
  <c r="F392" i="18" a="1"/>
  <c r="F392" i="18"/>
  <c r="E392" i="18" a="1"/>
  <c r="E392" i="18"/>
  <c r="D392" i="18" a="1"/>
  <c r="D392" i="18"/>
  <c r="C392" i="18" a="1"/>
  <c r="C392" i="18"/>
  <c r="B392" i="18" a="1"/>
  <c r="B392" i="18"/>
  <c r="N391" i="18" a="1"/>
  <c r="N391" i="18"/>
  <c r="L391" i="18" a="1"/>
  <c r="L391" i="18"/>
  <c r="M391" i="18" s="1"/>
  <c r="H391" i="18" a="1"/>
  <c r="H391" i="18"/>
  <c r="G391" i="18" a="1"/>
  <c r="G391" i="18"/>
  <c r="F391" i="18" a="1"/>
  <c r="F391" i="18"/>
  <c r="E391" i="18" a="1"/>
  <c r="E391" i="18"/>
  <c r="D391" i="18" a="1"/>
  <c r="D391" i="18"/>
  <c r="C391" i="18" a="1"/>
  <c r="C391" i="18"/>
  <c r="B391" i="18" a="1"/>
  <c r="B391" i="18"/>
  <c r="N390" i="18" a="1"/>
  <c r="N390" i="18"/>
  <c r="L390" i="18" a="1"/>
  <c r="L390" i="18"/>
  <c r="M390" i="18" s="1"/>
  <c r="H390" i="18" a="1"/>
  <c r="H390" i="18"/>
  <c r="G390" i="18" a="1"/>
  <c r="G390" i="18"/>
  <c r="F390" i="18" a="1"/>
  <c r="F390" i="18"/>
  <c r="E390" i="18" a="1"/>
  <c r="E390" i="18"/>
  <c r="D390" i="18" a="1"/>
  <c r="D390" i="18"/>
  <c r="C390" i="18" a="1"/>
  <c r="C390" i="18"/>
  <c r="B390" i="18" a="1"/>
  <c r="B390" i="18"/>
  <c r="N389" i="18" a="1"/>
  <c r="N389" i="18"/>
  <c r="L389" i="18" a="1"/>
  <c r="L389" i="18"/>
  <c r="M389" i="18" s="1"/>
  <c r="H389" i="18" a="1"/>
  <c r="H389" i="18"/>
  <c r="G389" i="18" a="1"/>
  <c r="G389" i="18"/>
  <c r="F389" i="18" a="1"/>
  <c r="F389" i="18"/>
  <c r="E389" i="18" a="1"/>
  <c r="E389" i="18"/>
  <c r="D389" i="18" a="1"/>
  <c r="D389" i="18"/>
  <c r="C389" i="18" a="1"/>
  <c r="C389" i="18"/>
  <c r="B389" i="18" a="1"/>
  <c r="B389" i="18"/>
  <c r="N388" i="18" a="1"/>
  <c r="N388" i="18"/>
  <c r="L388" i="18" a="1"/>
  <c r="L388" i="18"/>
  <c r="M388" i="18" s="1"/>
  <c r="H388" i="18" a="1"/>
  <c r="H388" i="18"/>
  <c r="G388" i="18" a="1"/>
  <c r="G388" i="18"/>
  <c r="F388" i="18" a="1"/>
  <c r="F388" i="18"/>
  <c r="E388" i="18" a="1"/>
  <c r="E388" i="18"/>
  <c r="D388" i="18" a="1"/>
  <c r="D388" i="18"/>
  <c r="C388" i="18" a="1"/>
  <c r="C388" i="18"/>
  <c r="B388" i="18" a="1"/>
  <c r="B388" i="18"/>
  <c r="N387" i="18" a="1"/>
  <c r="N387" i="18"/>
  <c r="L387" i="18" a="1"/>
  <c r="L387" i="18"/>
  <c r="M387" i="18" s="1"/>
  <c r="H387" i="18" a="1"/>
  <c r="H387" i="18"/>
  <c r="G387" i="18" a="1"/>
  <c r="G387" i="18"/>
  <c r="F387" i="18" a="1"/>
  <c r="F387" i="18"/>
  <c r="E387" i="18" a="1"/>
  <c r="E387" i="18"/>
  <c r="D387" i="18" a="1"/>
  <c r="D387" i="18"/>
  <c r="C387" i="18" a="1"/>
  <c r="C387" i="18"/>
  <c r="B387" i="18" a="1"/>
  <c r="B387" i="18"/>
  <c r="N386" i="18" a="1"/>
  <c r="N386" i="18"/>
  <c r="L386" i="18" a="1"/>
  <c r="L386" i="18"/>
  <c r="M386" i="18" s="1"/>
  <c r="H386" i="18" a="1"/>
  <c r="H386" i="18"/>
  <c r="G386" i="18" a="1"/>
  <c r="G386" i="18"/>
  <c r="F386" i="18" a="1"/>
  <c r="F386" i="18"/>
  <c r="E386" i="18" a="1"/>
  <c r="E386" i="18"/>
  <c r="D386" i="18" a="1"/>
  <c r="D386" i="18"/>
  <c r="C386" i="18" a="1"/>
  <c r="C386" i="18"/>
  <c r="B386" i="18" a="1"/>
  <c r="B386" i="18"/>
  <c r="N385" i="18" a="1"/>
  <c r="N385" i="18"/>
  <c r="L385" i="18" a="1"/>
  <c r="L385" i="18"/>
  <c r="M385" i="18" s="1"/>
  <c r="H385" i="18" a="1"/>
  <c r="H385" i="18"/>
  <c r="G385" i="18" a="1"/>
  <c r="G385" i="18"/>
  <c r="F385" i="18" a="1"/>
  <c r="F385" i="18"/>
  <c r="E385" i="18" a="1"/>
  <c r="E385" i="18"/>
  <c r="D385" i="18" a="1"/>
  <c r="D385" i="18"/>
  <c r="C385" i="18" a="1"/>
  <c r="C385" i="18"/>
  <c r="B385" i="18" a="1"/>
  <c r="B385" i="18"/>
  <c r="N384" i="18" a="1"/>
  <c r="N384" i="18"/>
  <c r="L384" i="18" a="1"/>
  <c r="L384" i="18"/>
  <c r="M384" i="18" s="1"/>
  <c r="H384" i="18" a="1"/>
  <c r="H384" i="18"/>
  <c r="G384" i="18" a="1"/>
  <c r="G384" i="18"/>
  <c r="F384" i="18" a="1"/>
  <c r="F384" i="18"/>
  <c r="E384" i="18" a="1"/>
  <c r="E384" i="18"/>
  <c r="D384" i="18" a="1"/>
  <c r="D384" i="18"/>
  <c r="C384" i="18" a="1"/>
  <c r="C384" i="18"/>
  <c r="B384" i="18" a="1"/>
  <c r="B384" i="18"/>
  <c r="N383" i="18" a="1"/>
  <c r="N383" i="18"/>
  <c r="L383" i="18" a="1"/>
  <c r="L383" i="18"/>
  <c r="M383" i="18" s="1"/>
  <c r="H383" i="18" a="1"/>
  <c r="H383" i="18"/>
  <c r="G383" i="18" a="1"/>
  <c r="G383" i="18"/>
  <c r="F383" i="18" a="1"/>
  <c r="F383" i="18"/>
  <c r="E383" i="18" a="1"/>
  <c r="E383" i="18"/>
  <c r="D383" i="18" a="1"/>
  <c r="D383" i="18"/>
  <c r="C383" i="18" a="1"/>
  <c r="C383" i="18"/>
  <c r="B383" i="18" a="1"/>
  <c r="B383" i="18"/>
  <c r="N382" i="18" a="1"/>
  <c r="N382" i="18"/>
  <c r="L382" i="18" a="1"/>
  <c r="L382" i="18"/>
  <c r="M382" i="18" s="1"/>
  <c r="H382" i="18" a="1"/>
  <c r="H382" i="18"/>
  <c r="G382" i="18" a="1"/>
  <c r="G382" i="18"/>
  <c r="F382" i="18" a="1"/>
  <c r="F382" i="18"/>
  <c r="E382" i="18" a="1"/>
  <c r="E382" i="18"/>
  <c r="D382" i="18" a="1"/>
  <c r="D382" i="18"/>
  <c r="C382" i="18" a="1"/>
  <c r="C382" i="18"/>
  <c r="B382" i="18" a="1"/>
  <c r="B382" i="18"/>
  <c r="N381" i="18" a="1"/>
  <c r="N381" i="18"/>
  <c r="L381" i="18" a="1"/>
  <c r="L381" i="18"/>
  <c r="M381" i="18" s="1"/>
  <c r="H381" i="18" a="1"/>
  <c r="H381" i="18"/>
  <c r="G381" i="18" a="1"/>
  <c r="G381" i="18"/>
  <c r="F381" i="18" a="1"/>
  <c r="F381" i="18"/>
  <c r="E381" i="18" a="1"/>
  <c r="E381" i="18"/>
  <c r="D381" i="18" a="1"/>
  <c r="D381" i="18"/>
  <c r="C381" i="18" a="1"/>
  <c r="C381" i="18"/>
  <c r="B381" i="18" a="1"/>
  <c r="B381" i="18"/>
  <c r="N380" i="18" a="1"/>
  <c r="N380" i="18"/>
  <c r="L380" i="18" a="1"/>
  <c r="L380" i="18"/>
  <c r="M380" i="18" s="1"/>
  <c r="H380" i="18" a="1"/>
  <c r="H380" i="18"/>
  <c r="G380" i="18" a="1"/>
  <c r="G380" i="18"/>
  <c r="F380" i="18" a="1"/>
  <c r="F380" i="18"/>
  <c r="E380" i="18" a="1"/>
  <c r="E380" i="18"/>
  <c r="D380" i="18" a="1"/>
  <c r="D380" i="18"/>
  <c r="C380" i="18" a="1"/>
  <c r="C380" i="18"/>
  <c r="B380" i="18" a="1"/>
  <c r="B380" i="18"/>
  <c r="N379" i="18" a="1"/>
  <c r="N379" i="18"/>
  <c r="L379" i="18" a="1"/>
  <c r="L379" i="18"/>
  <c r="M379" i="18" s="1"/>
  <c r="H379" i="18" a="1"/>
  <c r="H379" i="18"/>
  <c r="G379" i="18" a="1"/>
  <c r="G379" i="18"/>
  <c r="F379" i="18" a="1"/>
  <c r="F379" i="18"/>
  <c r="E379" i="18" a="1"/>
  <c r="E379" i="18"/>
  <c r="D379" i="18" a="1"/>
  <c r="D379" i="18"/>
  <c r="C379" i="18" a="1"/>
  <c r="C379" i="18"/>
  <c r="B379" i="18" a="1"/>
  <c r="B379" i="18"/>
  <c r="N378" i="18" a="1"/>
  <c r="N378" i="18"/>
  <c r="L378" i="18" a="1"/>
  <c r="L378" i="18"/>
  <c r="M378" i="18" s="1"/>
  <c r="H378" i="18" a="1"/>
  <c r="H378" i="18"/>
  <c r="G378" i="18" a="1"/>
  <c r="G378" i="18"/>
  <c r="F378" i="18" a="1"/>
  <c r="F378" i="18"/>
  <c r="E378" i="18" a="1"/>
  <c r="E378" i="18"/>
  <c r="D378" i="18" a="1"/>
  <c r="D378" i="18"/>
  <c r="C378" i="18" a="1"/>
  <c r="C378" i="18"/>
  <c r="B378" i="18" a="1"/>
  <c r="B378" i="18"/>
  <c r="N377" i="18" a="1"/>
  <c r="N377" i="18"/>
  <c r="L377" i="18" a="1"/>
  <c r="L377" i="18"/>
  <c r="M377" i="18" s="1"/>
  <c r="H377" i="18" a="1"/>
  <c r="H377" i="18"/>
  <c r="G377" i="18" a="1"/>
  <c r="G377" i="18"/>
  <c r="F377" i="18" a="1"/>
  <c r="F377" i="18"/>
  <c r="E377" i="18" a="1"/>
  <c r="E377" i="18"/>
  <c r="D377" i="18" a="1"/>
  <c r="D377" i="18"/>
  <c r="C377" i="18" a="1"/>
  <c r="C377" i="18"/>
  <c r="B377" i="18" a="1"/>
  <c r="B377" i="18"/>
  <c r="N376" i="18" a="1"/>
  <c r="N376" i="18"/>
  <c r="L376" i="18" a="1"/>
  <c r="L376" i="18"/>
  <c r="M376" i="18" s="1"/>
  <c r="H376" i="18" a="1"/>
  <c r="H376" i="18"/>
  <c r="G376" i="18" a="1"/>
  <c r="G376" i="18"/>
  <c r="F376" i="18" a="1"/>
  <c r="F376" i="18"/>
  <c r="E376" i="18" a="1"/>
  <c r="E376" i="18"/>
  <c r="D376" i="18" a="1"/>
  <c r="D376" i="18"/>
  <c r="C376" i="18" a="1"/>
  <c r="C376" i="18"/>
  <c r="B376" i="18" a="1"/>
  <c r="B376" i="18"/>
  <c r="N375" i="18" a="1"/>
  <c r="N375" i="18"/>
  <c r="L375" i="18" a="1"/>
  <c r="L375" i="18"/>
  <c r="M375" i="18" s="1"/>
  <c r="H375" i="18" a="1"/>
  <c r="H375" i="18"/>
  <c r="G375" i="18" a="1"/>
  <c r="G375" i="18"/>
  <c r="F375" i="18" a="1"/>
  <c r="F375" i="18"/>
  <c r="E375" i="18" a="1"/>
  <c r="E375" i="18"/>
  <c r="D375" i="18" a="1"/>
  <c r="D375" i="18"/>
  <c r="C375" i="18" a="1"/>
  <c r="C375" i="18"/>
  <c r="B375" i="18" a="1"/>
  <c r="B375" i="18"/>
  <c r="N374" i="18" a="1"/>
  <c r="N374" i="18"/>
  <c r="L374" i="18" a="1"/>
  <c r="L374" i="18"/>
  <c r="M374" i="18" s="1"/>
  <c r="H374" i="18" a="1"/>
  <c r="H374" i="18"/>
  <c r="G374" i="18" a="1"/>
  <c r="G374" i="18"/>
  <c r="F374" i="18" a="1"/>
  <c r="F374" i="18"/>
  <c r="E374" i="18" a="1"/>
  <c r="E374" i="18"/>
  <c r="D374" i="18" a="1"/>
  <c r="D374" i="18"/>
  <c r="C374" i="18" a="1"/>
  <c r="C374" i="18"/>
  <c r="B374" i="18" a="1"/>
  <c r="B374" i="18"/>
  <c r="N373" i="18" a="1"/>
  <c r="N373" i="18"/>
  <c r="L373" i="18" a="1"/>
  <c r="L373" i="18"/>
  <c r="M373" i="18" s="1"/>
  <c r="H373" i="18" a="1"/>
  <c r="H373" i="18"/>
  <c r="G373" i="18" a="1"/>
  <c r="G373" i="18"/>
  <c r="F373" i="18" a="1"/>
  <c r="F373" i="18"/>
  <c r="E373" i="18" a="1"/>
  <c r="E373" i="18"/>
  <c r="D373" i="18" a="1"/>
  <c r="D373" i="18"/>
  <c r="C373" i="18" a="1"/>
  <c r="C373" i="18"/>
  <c r="B373" i="18" a="1"/>
  <c r="B373" i="18"/>
  <c r="N372" i="18" a="1"/>
  <c r="N372" i="18"/>
  <c r="L372" i="18" a="1"/>
  <c r="L372" i="18"/>
  <c r="M372" i="18" s="1"/>
  <c r="H372" i="18" a="1"/>
  <c r="H372" i="18"/>
  <c r="G372" i="18" a="1"/>
  <c r="G372" i="18"/>
  <c r="F372" i="18" a="1"/>
  <c r="F372" i="18"/>
  <c r="E372" i="18" a="1"/>
  <c r="E372" i="18"/>
  <c r="D372" i="18" a="1"/>
  <c r="D372" i="18"/>
  <c r="C372" i="18" a="1"/>
  <c r="C372" i="18"/>
  <c r="B372" i="18" a="1"/>
  <c r="B372" i="18"/>
  <c r="N371" i="18" a="1"/>
  <c r="N371" i="18"/>
  <c r="L371" i="18" a="1"/>
  <c r="L371" i="18"/>
  <c r="M371" i="18" s="1"/>
  <c r="H371" i="18" a="1"/>
  <c r="H371" i="18"/>
  <c r="G371" i="18" a="1"/>
  <c r="G371" i="18"/>
  <c r="F371" i="18" a="1"/>
  <c r="F371" i="18"/>
  <c r="E371" i="18" a="1"/>
  <c r="E371" i="18"/>
  <c r="D371" i="18" a="1"/>
  <c r="D371" i="18"/>
  <c r="C371" i="18" a="1"/>
  <c r="C371" i="18"/>
  <c r="B371" i="18" a="1"/>
  <c r="B371" i="18"/>
  <c r="N370" i="18" a="1"/>
  <c r="N370" i="18"/>
  <c r="L370" i="18" a="1"/>
  <c r="L370" i="18"/>
  <c r="M370" i="18" s="1"/>
  <c r="H370" i="18" a="1"/>
  <c r="H370" i="18"/>
  <c r="G370" i="18" a="1"/>
  <c r="G370" i="18"/>
  <c r="F370" i="18" a="1"/>
  <c r="F370" i="18"/>
  <c r="E370" i="18" a="1"/>
  <c r="E370" i="18"/>
  <c r="D370" i="18" a="1"/>
  <c r="D370" i="18"/>
  <c r="C370" i="18" a="1"/>
  <c r="C370" i="18"/>
  <c r="B370" i="18" a="1"/>
  <c r="B370" i="18"/>
  <c r="N369" i="18" a="1"/>
  <c r="N369" i="18"/>
  <c r="L369" i="18" a="1"/>
  <c r="L369" i="18"/>
  <c r="M369" i="18" s="1"/>
  <c r="H369" i="18" a="1"/>
  <c r="H369" i="18"/>
  <c r="G369" i="18" a="1"/>
  <c r="G369" i="18"/>
  <c r="F369" i="18" a="1"/>
  <c r="F369" i="18"/>
  <c r="E369" i="18" a="1"/>
  <c r="E369" i="18"/>
  <c r="D369" i="18" a="1"/>
  <c r="D369" i="18"/>
  <c r="C369" i="18" a="1"/>
  <c r="C369" i="18"/>
  <c r="B369" i="18" a="1"/>
  <c r="B369" i="18"/>
  <c r="N368" i="18" a="1"/>
  <c r="N368" i="18"/>
  <c r="L368" i="18" a="1"/>
  <c r="L368" i="18"/>
  <c r="M368" i="18" s="1"/>
  <c r="H368" i="18" a="1"/>
  <c r="H368" i="18"/>
  <c r="G368" i="18" a="1"/>
  <c r="G368" i="18"/>
  <c r="F368" i="18" a="1"/>
  <c r="F368" i="18"/>
  <c r="E368" i="18" a="1"/>
  <c r="E368" i="18"/>
  <c r="D368" i="18" a="1"/>
  <c r="D368" i="18"/>
  <c r="C368" i="18" a="1"/>
  <c r="C368" i="18"/>
  <c r="B368" i="18" a="1"/>
  <c r="B368" i="18"/>
  <c r="N367" i="18" a="1"/>
  <c r="N367" i="18"/>
  <c r="L367" i="18" a="1"/>
  <c r="L367" i="18"/>
  <c r="M367" i="18" s="1"/>
  <c r="H367" i="18" a="1"/>
  <c r="H367" i="18"/>
  <c r="G367" i="18" a="1"/>
  <c r="G367" i="18"/>
  <c r="F367" i="18" a="1"/>
  <c r="F367" i="18"/>
  <c r="E367" i="18" a="1"/>
  <c r="E367" i="18"/>
  <c r="D367" i="18" a="1"/>
  <c r="D367" i="18"/>
  <c r="C367" i="18" a="1"/>
  <c r="C367" i="18"/>
  <c r="B367" i="18" a="1"/>
  <c r="B367" i="18"/>
  <c r="N366" i="18" a="1"/>
  <c r="N366" i="18"/>
  <c r="L366" i="18" a="1"/>
  <c r="L366" i="18"/>
  <c r="M366" i="18" s="1"/>
  <c r="H366" i="18" a="1"/>
  <c r="H366" i="18"/>
  <c r="G366" i="18" a="1"/>
  <c r="G366" i="18"/>
  <c r="F366" i="18" a="1"/>
  <c r="F366" i="18"/>
  <c r="E366" i="18" a="1"/>
  <c r="E366" i="18"/>
  <c r="D366" i="18" a="1"/>
  <c r="D366" i="18"/>
  <c r="C366" i="18" a="1"/>
  <c r="C366" i="18"/>
  <c r="B366" i="18" a="1"/>
  <c r="B366" i="18"/>
  <c r="N365" i="18" a="1"/>
  <c r="N365" i="18"/>
  <c r="L365" i="18" a="1"/>
  <c r="L365" i="18"/>
  <c r="M365" i="18" s="1"/>
  <c r="H365" i="18" a="1"/>
  <c r="H365" i="18"/>
  <c r="G365" i="18" a="1"/>
  <c r="G365" i="18"/>
  <c r="F365" i="18" a="1"/>
  <c r="F365" i="18"/>
  <c r="E365" i="18" a="1"/>
  <c r="E365" i="18"/>
  <c r="D365" i="18" a="1"/>
  <c r="D365" i="18"/>
  <c r="C365" i="18" a="1"/>
  <c r="C365" i="18"/>
  <c r="B365" i="18" a="1"/>
  <c r="B365" i="18"/>
  <c r="N364" i="18" a="1"/>
  <c r="N364" i="18"/>
  <c r="L364" i="18" a="1"/>
  <c r="L364" i="18"/>
  <c r="M364" i="18" s="1"/>
  <c r="H364" i="18" a="1"/>
  <c r="H364" i="18"/>
  <c r="G364" i="18" a="1"/>
  <c r="G364" i="18"/>
  <c r="F364" i="18" a="1"/>
  <c r="F364" i="18"/>
  <c r="E364" i="18" a="1"/>
  <c r="E364" i="18"/>
  <c r="D364" i="18" a="1"/>
  <c r="D364" i="18"/>
  <c r="C364" i="18" a="1"/>
  <c r="C364" i="18"/>
  <c r="B364" i="18" a="1"/>
  <c r="B364" i="18"/>
  <c r="N363" i="18" a="1"/>
  <c r="N363" i="18"/>
  <c r="L363" i="18" a="1"/>
  <c r="L363" i="18"/>
  <c r="M363" i="18" s="1"/>
  <c r="H363" i="18" a="1"/>
  <c r="H363" i="18"/>
  <c r="G363" i="18" a="1"/>
  <c r="G363" i="18"/>
  <c r="F363" i="18" a="1"/>
  <c r="F363" i="18"/>
  <c r="E363" i="18" a="1"/>
  <c r="E363" i="18"/>
  <c r="D363" i="18" a="1"/>
  <c r="D363" i="18"/>
  <c r="C363" i="18" a="1"/>
  <c r="C363" i="18"/>
  <c r="B363" i="18" a="1"/>
  <c r="B363" i="18"/>
  <c r="N362" i="18" a="1"/>
  <c r="N362" i="18"/>
  <c r="L362" i="18" a="1"/>
  <c r="L362" i="18"/>
  <c r="M362" i="18" s="1"/>
  <c r="H362" i="18" a="1"/>
  <c r="H362" i="18"/>
  <c r="G362" i="18" a="1"/>
  <c r="G362" i="18"/>
  <c r="F362" i="18" a="1"/>
  <c r="F362" i="18"/>
  <c r="E362" i="18" a="1"/>
  <c r="E362" i="18"/>
  <c r="D362" i="18" a="1"/>
  <c r="D362" i="18"/>
  <c r="C362" i="18" a="1"/>
  <c r="C362" i="18"/>
  <c r="B362" i="18" a="1"/>
  <c r="B362" i="18"/>
  <c r="N361" i="18" a="1"/>
  <c r="N361" i="18"/>
  <c r="L361" i="18" a="1"/>
  <c r="L361" i="18"/>
  <c r="M361" i="18" s="1"/>
  <c r="H361" i="18" a="1"/>
  <c r="H361" i="18"/>
  <c r="G361" i="18" a="1"/>
  <c r="G361" i="18"/>
  <c r="F361" i="18" a="1"/>
  <c r="F361" i="18"/>
  <c r="E361" i="18" a="1"/>
  <c r="E361" i="18"/>
  <c r="D361" i="18" a="1"/>
  <c r="D361" i="18"/>
  <c r="C361" i="18" a="1"/>
  <c r="C361" i="18"/>
  <c r="B361" i="18" a="1"/>
  <c r="B361" i="18"/>
  <c r="N360" i="18" a="1"/>
  <c r="N360" i="18"/>
  <c r="L360" i="18" a="1"/>
  <c r="L360" i="18"/>
  <c r="M360" i="18" s="1"/>
  <c r="H360" i="18" a="1"/>
  <c r="H360" i="18"/>
  <c r="G360" i="18" a="1"/>
  <c r="G360" i="18"/>
  <c r="F360" i="18" a="1"/>
  <c r="F360" i="18"/>
  <c r="E360" i="18" a="1"/>
  <c r="E360" i="18"/>
  <c r="D360" i="18" a="1"/>
  <c r="D360" i="18"/>
  <c r="C360" i="18" a="1"/>
  <c r="C360" i="18"/>
  <c r="B360" i="18" a="1"/>
  <c r="B360" i="18"/>
  <c r="N359" i="18" a="1"/>
  <c r="N359" i="18"/>
  <c r="L359" i="18" a="1"/>
  <c r="L359" i="18"/>
  <c r="M359" i="18" s="1"/>
  <c r="H359" i="18" a="1"/>
  <c r="H359" i="18"/>
  <c r="G359" i="18" a="1"/>
  <c r="G359" i="18"/>
  <c r="F359" i="18" a="1"/>
  <c r="F359" i="18"/>
  <c r="E359" i="18" a="1"/>
  <c r="E359" i="18"/>
  <c r="D359" i="18" a="1"/>
  <c r="D359" i="18"/>
  <c r="C359" i="18" a="1"/>
  <c r="C359" i="18"/>
  <c r="B359" i="18" a="1"/>
  <c r="B359" i="18"/>
  <c r="N358" i="18" a="1"/>
  <c r="N358" i="18"/>
  <c r="L358" i="18" a="1"/>
  <c r="L358" i="18"/>
  <c r="M358" i="18" s="1"/>
  <c r="H358" i="18" a="1"/>
  <c r="H358" i="18"/>
  <c r="G358" i="18" a="1"/>
  <c r="G358" i="18"/>
  <c r="F358" i="18" a="1"/>
  <c r="F358" i="18"/>
  <c r="E358" i="18" a="1"/>
  <c r="E358" i="18"/>
  <c r="D358" i="18" a="1"/>
  <c r="D358" i="18"/>
  <c r="C358" i="18" a="1"/>
  <c r="C358" i="18"/>
  <c r="B358" i="18" a="1"/>
  <c r="B358" i="18"/>
  <c r="N357" i="18" a="1"/>
  <c r="N357" i="18"/>
  <c r="L357" i="18" a="1"/>
  <c r="L357" i="18"/>
  <c r="M357" i="18" s="1"/>
  <c r="H357" i="18" a="1"/>
  <c r="H357" i="18"/>
  <c r="G357" i="18" a="1"/>
  <c r="G357" i="18"/>
  <c r="F357" i="18" a="1"/>
  <c r="F357" i="18"/>
  <c r="E357" i="18" a="1"/>
  <c r="E357" i="18"/>
  <c r="D357" i="18" a="1"/>
  <c r="D357" i="18"/>
  <c r="C357" i="18" a="1"/>
  <c r="C357" i="18"/>
  <c r="B357" i="18" a="1"/>
  <c r="B357" i="18"/>
  <c r="N356" i="18" a="1"/>
  <c r="N356" i="18"/>
  <c r="L356" i="18" a="1"/>
  <c r="L356" i="18"/>
  <c r="M356" i="18" s="1"/>
  <c r="H356" i="18" a="1"/>
  <c r="H356" i="18"/>
  <c r="G356" i="18" a="1"/>
  <c r="G356" i="18"/>
  <c r="F356" i="18" a="1"/>
  <c r="F356" i="18"/>
  <c r="E356" i="18" a="1"/>
  <c r="E356" i="18"/>
  <c r="D356" i="18" a="1"/>
  <c r="D356" i="18"/>
  <c r="C356" i="18" a="1"/>
  <c r="C356" i="18"/>
  <c r="B356" i="18" a="1"/>
  <c r="B356" i="18"/>
  <c r="N355" i="18" a="1"/>
  <c r="N355" i="18"/>
  <c r="L355" i="18" a="1"/>
  <c r="L355" i="18"/>
  <c r="M355" i="18" s="1"/>
  <c r="H355" i="18" a="1"/>
  <c r="H355" i="18"/>
  <c r="G355" i="18" a="1"/>
  <c r="G355" i="18"/>
  <c r="F355" i="18" a="1"/>
  <c r="F355" i="18"/>
  <c r="E355" i="18" a="1"/>
  <c r="E355" i="18"/>
  <c r="D355" i="18" a="1"/>
  <c r="D355" i="18"/>
  <c r="C355" i="18" a="1"/>
  <c r="C355" i="18"/>
  <c r="B355" i="18" a="1"/>
  <c r="B355" i="18"/>
  <c r="N354" i="18" a="1"/>
  <c r="N354" i="18"/>
  <c r="L354" i="18" a="1"/>
  <c r="L354" i="18"/>
  <c r="M354" i="18" s="1"/>
  <c r="H354" i="18" a="1"/>
  <c r="H354" i="18"/>
  <c r="G354" i="18" a="1"/>
  <c r="G354" i="18"/>
  <c r="F354" i="18" a="1"/>
  <c r="F354" i="18"/>
  <c r="E354" i="18" a="1"/>
  <c r="E354" i="18"/>
  <c r="D354" i="18" a="1"/>
  <c r="D354" i="18"/>
  <c r="C354" i="18" a="1"/>
  <c r="C354" i="18"/>
  <c r="B354" i="18" a="1"/>
  <c r="B354" i="18"/>
  <c r="N353" i="18" a="1"/>
  <c r="N353" i="18"/>
  <c r="L353" i="18" a="1"/>
  <c r="L353" i="18"/>
  <c r="M353" i="18" s="1"/>
  <c r="H353" i="18" a="1"/>
  <c r="H353" i="18"/>
  <c r="G353" i="18" a="1"/>
  <c r="G353" i="18"/>
  <c r="F353" i="18" a="1"/>
  <c r="F353" i="18"/>
  <c r="E353" i="18" a="1"/>
  <c r="E353" i="18"/>
  <c r="D353" i="18" a="1"/>
  <c r="D353" i="18"/>
  <c r="C353" i="18" a="1"/>
  <c r="C353" i="18"/>
  <c r="B353" i="18" a="1"/>
  <c r="B353" i="18"/>
  <c r="N352" i="18" a="1"/>
  <c r="N352" i="18"/>
  <c r="L352" i="18" a="1"/>
  <c r="L352" i="18"/>
  <c r="M352" i="18" s="1"/>
  <c r="H352" i="18" a="1"/>
  <c r="H352" i="18"/>
  <c r="G352" i="18" a="1"/>
  <c r="G352" i="18"/>
  <c r="F352" i="18" a="1"/>
  <c r="F352" i="18"/>
  <c r="E352" i="18" a="1"/>
  <c r="E352" i="18"/>
  <c r="D352" i="18" a="1"/>
  <c r="D352" i="18"/>
  <c r="C352" i="18" a="1"/>
  <c r="C352" i="18"/>
  <c r="B352" i="18" a="1"/>
  <c r="B352" i="18"/>
  <c r="N351" i="18" a="1"/>
  <c r="N351" i="18"/>
  <c r="L351" i="18" a="1"/>
  <c r="L351" i="18"/>
  <c r="M351" i="18" s="1"/>
  <c r="H351" i="18" a="1"/>
  <c r="H351" i="18"/>
  <c r="G351" i="18" a="1"/>
  <c r="G351" i="18"/>
  <c r="F351" i="18" a="1"/>
  <c r="F351" i="18"/>
  <c r="E351" i="18" a="1"/>
  <c r="E351" i="18"/>
  <c r="D351" i="18" a="1"/>
  <c r="D351" i="18"/>
  <c r="C351" i="18" a="1"/>
  <c r="C351" i="18"/>
  <c r="B351" i="18" a="1"/>
  <c r="B351" i="18"/>
  <c r="N350" i="18" a="1"/>
  <c r="N350" i="18"/>
  <c r="L350" i="18" a="1"/>
  <c r="L350" i="18"/>
  <c r="M350" i="18" s="1"/>
  <c r="H350" i="18" a="1"/>
  <c r="H350" i="18"/>
  <c r="G350" i="18" a="1"/>
  <c r="G350" i="18"/>
  <c r="F350" i="18" a="1"/>
  <c r="F350" i="18"/>
  <c r="E350" i="18" a="1"/>
  <c r="E350" i="18"/>
  <c r="D350" i="18" a="1"/>
  <c r="D350" i="18"/>
  <c r="C350" i="18" a="1"/>
  <c r="C350" i="18"/>
  <c r="B350" i="18" a="1"/>
  <c r="B350" i="18"/>
  <c r="N349" i="18" a="1"/>
  <c r="N349" i="18"/>
  <c r="L349" i="18" a="1"/>
  <c r="L349" i="18"/>
  <c r="M349" i="18" s="1"/>
  <c r="H349" i="18" a="1"/>
  <c r="H349" i="18"/>
  <c r="G349" i="18" a="1"/>
  <c r="G349" i="18"/>
  <c r="F349" i="18" a="1"/>
  <c r="F349" i="18"/>
  <c r="E349" i="18" a="1"/>
  <c r="E349" i="18"/>
  <c r="D349" i="18" a="1"/>
  <c r="D349" i="18"/>
  <c r="C349" i="18" a="1"/>
  <c r="C349" i="18"/>
  <c r="B349" i="18" a="1"/>
  <c r="B349" i="18"/>
  <c r="N348" i="18" a="1"/>
  <c r="N348" i="18"/>
  <c r="L348" i="18" a="1"/>
  <c r="L348" i="18"/>
  <c r="M348" i="18" s="1"/>
  <c r="H348" i="18" a="1"/>
  <c r="H348" i="18"/>
  <c r="G348" i="18" a="1"/>
  <c r="G348" i="18"/>
  <c r="F348" i="18" a="1"/>
  <c r="F348" i="18"/>
  <c r="E348" i="18" a="1"/>
  <c r="E348" i="18"/>
  <c r="D348" i="18" a="1"/>
  <c r="D348" i="18"/>
  <c r="C348" i="18" a="1"/>
  <c r="C348" i="18"/>
  <c r="B348" i="18" a="1"/>
  <c r="B348" i="18"/>
  <c r="N347" i="18" a="1"/>
  <c r="N347" i="18"/>
  <c r="L347" i="18" a="1"/>
  <c r="L347" i="18"/>
  <c r="M347" i="18" s="1"/>
  <c r="H347" i="18" a="1"/>
  <c r="H347" i="18"/>
  <c r="G347" i="18" a="1"/>
  <c r="G347" i="18"/>
  <c r="F347" i="18" a="1"/>
  <c r="F347" i="18"/>
  <c r="E347" i="18" a="1"/>
  <c r="E347" i="18"/>
  <c r="D347" i="18" a="1"/>
  <c r="D347" i="18"/>
  <c r="C347" i="18" a="1"/>
  <c r="C347" i="18"/>
  <c r="B347" i="18" a="1"/>
  <c r="B347" i="18"/>
  <c r="N346" i="18" a="1"/>
  <c r="N346" i="18"/>
  <c r="L346" i="18" a="1"/>
  <c r="L346" i="18"/>
  <c r="M346" i="18" s="1"/>
  <c r="H346" i="18" a="1"/>
  <c r="H346" i="18"/>
  <c r="G346" i="18" a="1"/>
  <c r="G346" i="18"/>
  <c r="F346" i="18" a="1"/>
  <c r="F346" i="18"/>
  <c r="E346" i="18" a="1"/>
  <c r="E346" i="18"/>
  <c r="D346" i="18" a="1"/>
  <c r="D346" i="18"/>
  <c r="C346" i="18" a="1"/>
  <c r="C346" i="18"/>
  <c r="B346" i="18" a="1"/>
  <c r="B346" i="18"/>
  <c r="N345" i="18" a="1"/>
  <c r="N345" i="18"/>
  <c r="L345" i="18" a="1"/>
  <c r="L345" i="18"/>
  <c r="M345" i="18" s="1"/>
  <c r="H345" i="18" a="1"/>
  <c r="H345" i="18"/>
  <c r="G345" i="18" a="1"/>
  <c r="G345" i="18"/>
  <c r="F345" i="18" a="1"/>
  <c r="F345" i="18"/>
  <c r="E345" i="18" a="1"/>
  <c r="E345" i="18"/>
  <c r="D345" i="18" a="1"/>
  <c r="D345" i="18"/>
  <c r="C345" i="18" a="1"/>
  <c r="C345" i="18"/>
  <c r="B345" i="18" a="1"/>
  <c r="B345" i="18"/>
  <c r="N344" i="18" a="1"/>
  <c r="N344" i="18"/>
  <c r="L344" i="18" a="1"/>
  <c r="L344" i="18"/>
  <c r="M344" i="18" s="1"/>
  <c r="H344" i="18" a="1"/>
  <c r="H344" i="18"/>
  <c r="G344" i="18" a="1"/>
  <c r="G344" i="18"/>
  <c r="F344" i="18" a="1"/>
  <c r="F344" i="18"/>
  <c r="E344" i="18" a="1"/>
  <c r="E344" i="18"/>
  <c r="D344" i="18" a="1"/>
  <c r="D344" i="18"/>
  <c r="C344" i="18" a="1"/>
  <c r="C344" i="18"/>
  <c r="B344" i="18" a="1"/>
  <c r="B344" i="18"/>
  <c r="N343" i="18" a="1"/>
  <c r="N343" i="18"/>
  <c r="L343" i="18" a="1"/>
  <c r="L343" i="18"/>
  <c r="M343" i="18" s="1"/>
  <c r="H343" i="18" a="1"/>
  <c r="H343" i="18"/>
  <c r="G343" i="18" a="1"/>
  <c r="G343" i="18"/>
  <c r="F343" i="18" a="1"/>
  <c r="F343" i="18"/>
  <c r="E343" i="18" a="1"/>
  <c r="E343" i="18"/>
  <c r="D343" i="18" a="1"/>
  <c r="D343" i="18"/>
  <c r="C343" i="18" a="1"/>
  <c r="C343" i="18"/>
  <c r="B343" i="18" a="1"/>
  <c r="B343" i="18"/>
  <c r="N342" i="18" a="1"/>
  <c r="N342" i="18"/>
  <c r="L342" i="18" a="1"/>
  <c r="L342" i="18"/>
  <c r="M342" i="18" s="1"/>
  <c r="H342" i="18" a="1"/>
  <c r="H342" i="18"/>
  <c r="G342" i="18" a="1"/>
  <c r="G342" i="18"/>
  <c r="F342" i="18" a="1"/>
  <c r="F342" i="18"/>
  <c r="E342" i="18" a="1"/>
  <c r="E342" i="18"/>
  <c r="D342" i="18" a="1"/>
  <c r="D342" i="18"/>
  <c r="C342" i="18" a="1"/>
  <c r="C342" i="18"/>
  <c r="B342" i="18" a="1"/>
  <c r="B342" i="18"/>
  <c r="N341" i="18" a="1"/>
  <c r="N341" i="18"/>
  <c r="L341" i="18" a="1"/>
  <c r="L341" i="18"/>
  <c r="M341" i="18" s="1"/>
  <c r="H341" i="18" a="1"/>
  <c r="H341" i="18"/>
  <c r="G341" i="18" a="1"/>
  <c r="G341" i="18"/>
  <c r="F341" i="18" a="1"/>
  <c r="F341" i="18"/>
  <c r="E341" i="18" a="1"/>
  <c r="E341" i="18"/>
  <c r="D341" i="18" a="1"/>
  <c r="D341" i="18"/>
  <c r="C341" i="18" a="1"/>
  <c r="C341" i="18"/>
  <c r="B341" i="18" a="1"/>
  <c r="B341" i="18"/>
  <c r="N340" i="18" a="1"/>
  <c r="N340" i="18"/>
  <c r="L340" i="18" a="1"/>
  <c r="L340" i="18"/>
  <c r="M340" i="18" s="1"/>
  <c r="H340" i="18" a="1"/>
  <c r="H340" i="18"/>
  <c r="G340" i="18" a="1"/>
  <c r="G340" i="18"/>
  <c r="F340" i="18" a="1"/>
  <c r="F340" i="18"/>
  <c r="E340" i="18" a="1"/>
  <c r="E340" i="18"/>
  <c r="D340" i="18" a="1"/>
  <c r="D340" i="18"/>
  <c r="C340" i="18" a="1"/>
  <c r="C340" i="18"/>
  <c r="B340" i="18" a="1"/>
  <c r="B340" i="18"/>
  <c r="N339" i="18" a="1"/>
  <c r="N339" i="18"/>
  <c r="L339" i="18" a="1"/>
  <c r="L339" i="18"/>
  <c r="M339" i="18" s="1"/>
  <c r="H339" i="18" a="1"/>
  <c r="H339" i="18"/>
  <c r="G339" i="18" a="1"/>
  <c r="G339" i="18"/>
  <c r="F339" i="18" a="1"/>
  <c r="F339" i="18"/>
  <c r="E339" i="18" a="1"/>
  <c r="E339" i="18"/>
  <c r="D339" i="18" a="1"/>
  <c r="D339" i="18"/>
  <c r="C339" i="18" a="1"/>
  <c r="C339" i="18"/>
  <c r="B339" i="18" a="1"/>
  <c r="B339" i="18"/>
  <c r="N338" i="18" a="1"/>
  <c r="N338" i="18"/>
  <c r="L338" i="18" a="1"/>
  <c r="L338" i="18"/>
  <c r="M338" i="18" s="1"/>
  <c r="H338" i="18" a="1"/>
  <c r="H338" i="18"/>
  <c r="G338" i="18" a="1"/>
  <c r="G338" i="18"/>
  <c r="F338" i="18" a="1"/>
  <c r="F338" i="18"/>
  <c r="E338" i="18" a="1"/>
  <c r="E338" i="18"/>
  <c r="D338" i="18" a="1"/>
  <c r="D338" i="18"/>
  <c r="C338" i="18" a="1"/>
  <c r="C338" i="18"/>
  <c r="B338" i="18" a="1"/>
  <c r="B338" i="18"/>
  <c r="N337" i="18" a="1"/>
  <c r="N337" i="18"/>
  <c r="L337" i="18" a="1"/>
  <c r="L337" i="18"/>
  <c r="M337" i="18" s="1"/>
  <c r="H337" i="18" a="1"/>
  <c r="H337" i="18"/>
  <c r="G337" i="18" a="1"/>
  <c r="G337" i="18"/>
  <c r="F337" i="18" a="1"/>
  <c r="F337" i="18"/>
  <c r="E337" i="18" a="1"/>
  <c r="E337" i="18"/>
  <c r="D337" i="18" a="1"/>
  <c r="D337" i="18"/>
  <c r="C337" i="18" a="1"/>
  <c r="C337" i="18"/>
  <c r="B337" i="18" a="1"/>
  <c r="B337" i="18"/>
  <c r="N336" i="18" a="1"/>
  <c r="N336" i="18"/>
  <c r="L336" i="18" a="1"/>
  <c r="L336" i="18"/>
  <c r="M336" i="18" s="1"/>
  <c r="H336" i="18" a="1"/>
  <c r="H336" i="18"/>
  <c r="G336" i="18" a="1"/>
  <c r="G336" i="18"/>
  <c r="F336" i="18" a="1"/>
  <c r="F336" i="18"/>
  <c r="E336" i="18" a="1"/>
  <c r="E336" i="18"/>
  <c r="D336" i="18" a="1"/>
  <c r="D336" i="18"/>
  <c r="C336" i="18" a="1"/>
  <c r="C336" i="18"/>
  <c r="B336" i="18" a="1"/>
  <c r="B336" i="18"/>
  <c r="N335" i="18" a="1"/>
  <c r="N335" i="18"/>
  <c r="L335" i="18" a="1"/>
  <c r="L335" i="18"/>
  <c r="M335" i="18" s="1"/>
  <c r="H335" i="18" a="1"/>
  <c r="H335" i="18"/>
  <c r="G335" i="18" a="1"/>
  <c r="G335" i="18"/>
  <c r="F335" i="18" a="1"/>
  <c r="F335" i="18"/>
  <c r="E335" i="18" a="1"/>
  <c r="E335" i="18"/>
  <c r="D335" i="18" a="1"/>
  <c r="D335" i="18"/>
  <c r="C335" i="18" a="1"/>
  <c r="C335" i="18"/>
  <c r="B335" i="18" a="1"/>
  <c r="B335" i="18"/>
  <c r="N334" i="18" a="1"/>
  <c r="N334" i="18"/>
  <c r="L334" i="18" a="1"/>
  <c r="L334" i="18"/>
  <c r="M334" i="18" s="1"/>
  <c r="H334" i="18" a="1"/>
  <c r="H334" i="18"/>
  <c r="G334" i="18" a="1"/>
  <c r="G334" i="18"/>
  <c r="F334" i="18" a="1"/>
  <c r="F334" i="18"/>
  <c r="E334" i="18" a="1"/>
  <c r="E334" i="18"/>
  <c r="D334" i="18" a="1"/>
  <c r="D334" i="18"/>
  <c r="C334" i="18" a="1"/>
  <c r="C334" i="18"/>
  <c r="B334" i="18" a="1"/>
  <c r="B334" i="18"/>
  <c r="N333" i="18" a="1"/>
  <c r="N333" i="18"/>
  <c r="L333" i="18" a="1"/>
  <c r="L333" i="18"/>
  <c r="M333" i="18" s="1"/>
  <c r="H333" i="18" a="1"/>
  <c r="H333" i="18"/>
  <c r="G333" i="18" a="1"/>
  <c r="G333" i="18"/>
  <c r="F333" i="18" a="1"/>
  <c r="F333" i="18"/>
  <c r="E333" i="18" a="1"/>
  <c r="E333" i="18"/>
  <c r="D333" i="18" a="1"/>
  <c r="D333" i="18"/>
  <c r="C333" i="18" a="1"/>
  <c r="C333" i="18"/>
  <c r="B333" i="18" a="1"/>
  <c r="B333" i="18"/>
  <c r="N332" i="18" a="1"/>
  <c r="N332" i="18"/>
  <c r="L332" i="18" a="1"/>
  <c r="L332" i="18"/>
  <c r="M332" i="18" s="1"/>
  <c r="H332" i="18" a="1"/>
  <c r="H332" i="18"/>
  <c r="G332" i="18" a="1"/>
  <c r="G332" i="18"/>
  <c r="F332" i="18" a="1"/>
  <c r="F332" i="18"/>
  <c r="E332" i="18" a="1"/>
  <c r="E332" i="18"/>
  <c r="D332" i="18" a="1"/>
  <c r="D332" i="18"/>
  <c r="C332" i="18" a="1"/>
  <c r="C332" i="18"/>
  <c r="B332" i="18" a="1"/>
  <c r="B332" i="18"/>
  <c r="N331" i="18" a="1"/>
  <c r="N331" i="18"/>
  <c r="L331" i="18" a="1"/>
  <c r="L331" i="18"/>
  <c r="M331" i="18" s="1"/>
  <c r="H331" i="18" a="1"/>
  <c r="H331" i="18"/>
  <c r="G331" i="18" a="1"/>
  <c r="G331" i="18"/>
  <c r="F331" i="18" a="1"/>
  <c r="F331" i="18"/>
  <c r="E331" i="18" a="1"/>
  <c r="E331" i="18"/>
  <c r="D331" i="18" a="1"/>
  <c r="D331" i="18"/>
  <c r="C331" i="18" a="1"/>
  <c r="C331" i="18"/>
  <c r="B331" i="18" a="1"/>
  <c r="B331" i="18"/>
  <c r="N330" i="18" a="1"/>
  <c r="N330" i="18"/>
  <c r="L330" i="18" a="1"/>
  <c r="L330" i="18"/>
  <c r="M330" i="18" s="1"/>
  <c r="H330" i="18" a="1"/>
  <c r="H330" i="18"/>
  <c r="G330" i="18" a="1"/>
  <c r="G330" i="18"/>
  <c r="F330" i="18" a="1"/>
  <c r="F330" i="18"/>
  <c r="E330" i="18" a="1"/>
  <c r="E330" i="18"/>
  <c r="D330" i="18" a="1"/>
  <c r="D330" i="18"/>
  <c r="C330" i="18" a="1"/>
  <c r="C330" i="18"/>
  <c r="B330" i="18" a="1"/>
  <c r="B330" i="18"/>
  <c r="N329" i="18" a="1"/>
  <c r="N329" i="18"/>
  <c r="L329" i="18" a="1"/>
  <c r="L329" i="18"/>
  <c r="M329" i="18" s="1"/>
  <c r="H329" i="18" a="1"/>
  <c r="H329" i="18"/>
  <c r="G329" i="18" a="1"/>
  <c r="G329" i="18"/>
  <c r="F329" i="18" a="1"/>
  <c r="F329" i="18"/>
  <c r="E329" i="18" a="1"/>
  <c r="E329" i="18"/>
  <c r="D329" i="18" a="1"/>
  <c r="D329" i="18"/>
  <c r="C329" i="18" a="1"/>
  <c r="C329" i="18"/>
  <c r="B329" i="18" a="1"/>
  <c r="B329" i="18"/>
  <c r="N328" i="18" a="1"/>
  <c r="N328" i="18"/>
  <c r="L328" i="18" a="1"/>
  <c r="L328" i="18"/>
  <c r="M328" i="18" s="1"/>
  <c r="H328" i="18" a="1"/>
  <c r="H328" i="18"/>
  <c r="G328" i="18" a="1"/>
  <c r="G328" i="18"/>
  <c r="F328" i="18" a="1"/>
  <c r="F328" i="18"/>
  <c r="E328" i="18" a="1"/>
  <c r="E328" i="18"/>
  <c r="D328" i="18" a="1"/>
  <c r="D328" i="18"/>
  <c r="C328" i="18" a="1"/>
  <c r="C328" i="18"/>
  <c r="B328" i="18" a="1"/>
  <c r="B328" i="18"/>
  <c r="N327" i="18" a="1"/>
  <c r="N327" i="18"/>
  <c r="L327" i="18" a="1"/>
  <c r="L327" i="18"/>
  <c r="M327" i="18" s="1"/>
  <c r="H327" i="18" a="1"/>
  <c r="H327" i="18"/>
  <c r="G327" i="18" a="1"/>
  <c r="G327" i="18"/>
  <c r="F327" i="18" a="1"/>
  <c r="F327" i="18"/>
  <c r="E327" i="18" a="1"/>
  <c r="E327" i="18"/>
  <c r="D327" i="18" a="1"/>
  <c r="D327" i="18"/>
  <c r="C327" i="18" a="1"/>
  <c r="C327" i="18"/>
  <c r="B327" i="18" a="1"/>
  <c r="B327" i="18"/>
  <c r="N326" i="18" a="1"/>
  <c r="N326" i="18"/>
  <c r="L326" i="18" a="1"/>
  <c r="L326" i="18"/>
  <c r="M326" i="18" s="1"/>
  <c r="H326" i="18" a="1"/>
  <c r="H326" i="18"/>
  <c r="G326" i="18" a="1"/>
  <c r="G326" i="18"/>
  <c r="F326" i="18" a="1"/>
  <c r="F326" i="18"/>
  <c r="E326" i="18" a="1"/>
  <c r="E326" i="18"/>
  <c r="D326" i="18" a="1"/>
  <c r="D326" i="18"/>
  <c r="C326" i="18" a="1"/>
  <c r="C326" i="18"/>
  <c r="B326" i="18" a="1"/>
  <c r="B326" i="18"/>
  <c r="N325" i="18" a="1"/>
  <c r="N325" i="18"/>
  <c r="L325" i="18" a="1"/>
  <c r="L325" i="18"/>
  <c r="M325" i="18" s="1"/>
  <c r="H325" i="18" a="1"/>
  <c r="H325" i="18"/>
  <c r="G325" i="18" a="1"/>
  <c r="G325" i="18"/>
  <c r="F325" i="18" a="1"/>
  <c r="F325" i="18"/>
  <c r="E325" i="18" a="1"/>
  <c r="E325" i="18"/>
  <c r="D325" i="18" a="1"/>
  <c r="D325" i="18"/>
  <c r="C325" i="18" a="1"/>
  <c r="C325" i="18"/>
  <c r="B325" i="18" a="1"/>
  <c r="B325" i="18"/>
  <c r="N324" i="18" a="1"/>
  <c r="N324" i="18"/>
  <c r="L324" i="18" a="1"/>
  <c r="L324" i="18"/>
  <c r="M324" i="18" s="1"/>
  <c r="H324" i="18" a="1"/>
  <c r="H324" i="18"/>
  <c r="G324" i="18" a="1"/>
  <c r="G324" i="18"/>
  <c r="F324" i="18" a="1"/>
  <c r="F324" i="18"/>
  <c r="E324" i="18" a="1"/>
  <c r="E324" i="18"/>
  <c r="D324" i="18" a="1"/>
  <c r="D324" i="18"/>
  <c r="C324" i="18" a="1"/>
  <c r="C324" i="18"/>
  <c r="B324" i="18" a="1"/>
  <c r="B324" i="18"/>
  <c r="N323" i="18" a="1"/>
  <c r="N323" i="18"/>
  <c r="L323" i="18" a="1"/>
  <c r="L323" i="18"/>
  <c r="M323" i="18" s="1"/>
  <c r="H323" i="18" a="1"/>
  <c r="H323" i="18"/>
  <c r="G323" i="18" a="1"/>
  <c r="G323" i="18"/>
  <c r="F323" i="18" a="1"/>
  <c r="F323" i="18"/>
  <c r="E323" i="18" a="1"/>
  <c r="E323" i="18"/>
  <c r="D323" i="18" a="1"/>
  <c r="D323" i="18"/>
  <c r="C323" i="18" a="1"/>
  <c r="C323" i="18"/>
  <c r="B323" i="18" a="1"/>
  <c r="B323" i="18"/>
  <c r="N322" i="18" a="1"/>
  <c r="N322" i="18"/>
  <c r="L322" i="18" a="1"/>
  <c r="L322" i="18"/>
  <c r="M322" i="18" s="1"/>
  <c r="H322" i="18" a="1"/>
  <c r="H322" i="18"/>
  <c r="G322" i="18" a="1"/>
  <c r="G322" i="18"/>
  <c r="F322" i="18" a="1"/>
  <c r="F322" i="18"/>
  <c r="E322" i="18" a="1"/>
  <c r="E322" i="18"/>
  <c r="D322" i="18" a="1"/>
  <c r="D322" i="18"/>
  <c r="C322" i="18" a="1"/>
  <c r="C322" i="18"/>
  <c r="B322" i="18" a="1"/>
  <c r="B322" i="18"/>
  <c r="N321" i="18" a="1"/>
  <c r="N321" i="18"/>
  <c r="L321" i="18" a="1"/>
  <c r="L321" i="18"/>
  <c r="M321" i="18" s="1"/>
  <c r="H321" i="18" a="1"/>
  <c r="H321" i="18"/>
  <c r="G321" i="18" a="1"/>
  <c r="G321" i="18"/>
  <c r="F321" i="18" a="1"/>
  <c r="F321" i="18"/>
  <c r="E321" i="18" a="1"/>
  <c r="E321" i="18"/>
  <c r="D321" i="18" a="1"/>
  <c r="D321" i="18"/>
  <c r="C321" i="18" a="1"/>
  <c r="C321" i="18"/>
  <c r="B321" i="18" a="1"/>
  <c r="B321" i="18"/>
  <c r="N320" i="18" a="1"/>
  <c r="N320" i="18"/>
  <c r="L320" i="18" a="1"/>
  <c r="L320" i="18"/>
  <c r="M320" i="18" s="1"/>
  <c r="H320" i="18" a="1"/>
  <c r="H320" i="18"/>
  <c r="G320" i="18" a="1"/>
  <c r="G320" i="18"/>
  <c r="F320" i="18" a="1"/>
  <c r="F320" i="18"/>
  <c r="E320" i="18" a="1"/>
  <c r="E320" i="18"/>
  <c r="D320" i="18" a="1"/>
  <c r="D320" i="18"/>
  <c r="C320" i="18" a="1"/>
  <c r="C320" i="18"/>
  <c r="B320" i="18" a="1"/>
  <c r="B320" i="18"/>
  <c r="N319" i="18" a="1"/>
  <c r="N319" i="18"/>
  <c r="L319" i="18" a="1"/>
  <c r="L319" i="18"/>
  <c r="M319" i="18" s="1"/>
  <c r="H319" i="18" a="1"/>
  <c r="H319" i="18"/>
  <c r="G319" i="18" a="1"/>
  <c r="G319" i="18"/>
  <c r="F319" i="18" a="1"/>
  <c r="F319" i="18"/>
  <c r="E319" i="18" a="1"/>
  <c r="E319" i="18"/>
  <c r="D319" i="18" a="1"/>
  <c r="D319" i="18"/>
  <c r="C319" i="18" a="1"/>
  <c r="C319" i="18"/>
  <c r="B319" i="18" a="1"/>
  <c r="B319" i="18"/>
  <c r="N318" i="18" a="1"/>
  <c r="N318" i="18"/>
  <c r="L318" i="18" a="1"/>
  <c r="L318" i="18"/>
  <c r="M318" i="18" s="1"/>
  <c r="H318" i="18" a="1"/>
  <c r="H318" i="18"/>
  <c r="G318" i="18" a="1"/>
  <c r="G318" i="18"/>
  <c r="F318" i="18" a="1"/>
  <c r="F318" i="18"/>
  <c r="E318" i="18" a="1"/>
  <c r="E318" i="18"/>
  <c r="D318" i="18" a="1"/>
  <c r="D318" i="18"/>
  <c r="C318" i="18" a="1"/>
  <c r="C318" i="18"/>
  <c r="B318" i="18" a="1"/>
  <c r="B318" i="18"/>
  <c r="N317" i="18" a="1"/>
  <c r="N317" i="18"/>
  <c r="L317" i="18" a="1"/>
  <c r="L317" i="18"/>
  <c r="M317" i="18" s="1"/>
  <c r="H317" i="18" a="1"/>
  <c r="H317" i="18"/>
  <c r="G317" i="18" a="1"/>
  <c r="G317" i="18"/>
  <c r="F317" i="18" a="1"/>
  <c r="F317" i="18"/>
  <c r="E317" i="18" a="1"/>
  <c r="E317" i="18"/>
  <c r="D317" i="18" a="1"/>
  <c r="D317" i="18"/>
  <c r="C317" i="18" a="1"/>
  <c r="C317" i="18"/>
  <c r="B317" i="18" a="1"/>
  <c r="B317" i="18"/>
  <c r="N316" i="18" a="1"/>
  <c r="N316" i="18"/>
  <c r="L316" i="18" a="1"/>
  <c r="L316" i="18"/>
  <c r="M316" i="18" s="1"/>
  <c r="H316" i="18" a="1"/>
  <c r="H316" i="18"/>
  <c r="G316" i="18" a="1"/>
  <c r="G316" i="18"/>
  <c r="F316" i="18" a="1"/>
  <c r="F316" i="18"/>
  <c r="E316" i="18" a="1"/>
  <c r="E316" i="18"/>
  <c r="D316" i="18" a="1"/>
  <c r="D316" i="18"/>
  <c r="C316" i="18" a="1"/>
  <c r="C316" i="18"/>
  <c r="B316" i="18" a="1"/>
  <c r="B316" i="18"/>
  <c r="N315" i="18" a="1"/>
  <c r="N315" i="18"/>
  <c r="L315" i="18" a="1"/>
  <c r="L315" i="18"/>
  <c r="M315" i="18" s="1"/>
  <c r="H315" i="18" a="1"/>
  <c r="H315" i="18"/>
  <c r="G315" i="18" a="1"/>
  <c r="G315" i="18"/>
  <c r="F315" i="18" a="1"/>
  <c r="F315" i="18"/>
  <c r="E315" i="18" a="1"/>
  <c r="E315" i="18"/>
  <c r="D315" i="18" a="1"/>
  <c r="D315" i="18"/>
  <c r="C315" i="18" a="1"/>
  <c r="C315" i="18"/>
  <c r="B315" i="18" a="1"/>
  <c r="B315" i="18"/>
  <c r="N314" i="18" a="1"/>
  <c r="N314" i="18"/>
  <c r="L314" i="18" a="1"/>
  <c r="L314" i="18"/>
  <c r="M314" i="18" s="1"/>
  <c r="H314" i="18" a="1"/>
  <c r="H314" i="18"/>
  <c r="G314" i="18" a="1"/>
  <c r="G314" i="18"/>
  <c r="F314" i="18" a="1"/>
  <c r="F314" i="18"/>
  <c r="E314" i="18" a="1"/>
  <c r="E314" i="18"/>
  <c r="D314" i="18" a="1"/>
  <c r="D314" i="18"/>
  <c r="C314" i="18" a="1"/>
  <c r="C314" i="18"/>
  <c r="B314" i="18" a="1"/>
  <c r="B314" i="18"/>
  <c r="N313" i="18" a="1"/>
  <c r="N313" i="18"/>
  <c r="L313" i="18" a="1"/>
  <c r="L313" i="18"/>
  <c r="M313" i="18" s="1"/>
  <c r="H313" i="18" a="1"/>
  <c r="H313" i="18"/>
  <c r="G313" i="18" a="1"/>
  <c r="G313" i="18"/>
  <c r="F313" i="18" a="1"/>
  <c r="F313" i="18"/>
  <c r="E313" i="18" a="1"/>
  <c r="E313" i="18"/>
  <c r="D313" i="18" a="1"/>
  <c r="D313" i="18"/>
  <c r="C313" i="18" a="1"/>
  <c r="C313" i="18"/>
  <c r="B313" i="18" a="1"/>
  <c r="B313" i="18"/>
  <c r="N312" i="18" a="1"/>
  <c r="N312" i="18"/>
  <c r="L312" i="18" a="1"/>
  <c r="L312" i="18"/>
  <c r="M312" i="18" s="1"/>
  <c r="H312" i="18" a="1"/>
  <c r="H312" i="18"/>
  <c r="G312" i="18" a="1"/>
  <c r="G312" i="18"/>
  <c r="F312" i="18" a="1"/>
  <c r="F312" i="18"/>
  <c r="E312" i="18" a="1"/>
  <c r="E312" i="18"/>
  <c r="D312" i="18" a="1"/>
  <c r="D312" i="18"/>
  <c r="C312" i="18" a="1"/>
  <c r="C312" i="18"/>
  <c r="B312" i="18" a="1"/>
  <c r="B312" i="18"/>
  <c r="N311" i="18" a="1"/>
  <c r="N311" i="18"/>
  <c r="L311" i="18" a="1"/>
  <c r="L311" i="18"/>
  <c r="M311" i="18" s="1"/>
  <c r="H311" i="18" a="1"/>
  <c r="H311" i="18"/>
  <c r="G311" i="18" a="1"/>
  <c r="G311" i="18"/>
  <c r="F311" i="18" a="1"/>
  <c r="F311" i="18"/>
  <c r="E311" i="18" a="1"/>
  <c r="E311" i="18"/>
  <c r="D311" i="18" a="1"/>
  <c r="D311" i="18"/>
  <c r="C311" i="18" a="1"/>
  <c r="C311" i="18"/>
  <c r="B311" i="18" a="1"/>
  <c r="B311" i="18"/>
  <c r="N310" i="18" a="1"/>
  <c r="N310" i="18"/>
  <c r="L310" i="18" a="1"/>
  <c r="L310" i="18"/>
  <c r="M310" i="18" s="1"/>
  <c r="H310" i="18" a="1"/>
  <c r="H310" i="18"/>
  <c r="G310" i="18" a="1"/>
  <c r="G310" i="18"/>
  <c r="F310" i="18" a="1"/>
  <c r="F310" i="18"/>
  <c r="E310" i="18" a="1"/>
  <c r="E310" i="18"/>
  <c r="D310" i="18" a="1"/>
  <c r="D310" i="18"/>
  <c r="C310" i="18" a="1"/>
  <c r="C310" i="18"/>
  <c r="B310" i="18" a="1"/>
  <c r="B310" i="18"/>
  <c r="N309" i="18" a="1"/>
  <c r="N309" i="18"/>
  <c r="L309" i="18" a="1"/>
  <c r="L309" i="18"/>
  <c r="M309" i="18" s="1"/>
  <c r="H309" i="18" a="1"/>
  <c r="H309" i="18"/>
  <c r="G309" i="18" a="1"/>
  <c r="G309" i="18"/>
  <c r="F309" i="18" a="1"/>
  <c r="F309" i="18"/>
  <c r="E309" i="18" a="1"/>
  <c r="E309" i="18"/>
  <c r="D309" i="18" a="1"/>
  <c r="D309" i="18"/>
  <c r="C309" i="18" a="1"/>
  <c r="C309" i="18"/>
  <c r="B309" i="18" a="1"/>
  <c r="B309" i="18"/>
  <c r="N308" i="18" a="1"/>
  <c r="N308" i="18"/>
  <c r="L308" i="18" a="1"/>
  <c r="L308" i="18"/>
  <c r="M308" i="18" s="1"/>
  <c r="H308" i="18" a="1"/>
  <c r="H308" i="18"/>
  <c r="G308" i="18" a="1"/>
  <c r="G308" i="18"/>
  <c r="F308" i="18" a="1"/>
  <c r="F308" i="18"/>
  <c r="E308" i="18" a="1"/>
  <c r="E308" i="18"/>
  <c r="D308" i="18" a="1"/>
  <c r="D308" i="18"/>
  <c r="C308" i="18" a="1"/>
  <c r="C308" i="18"/>
  <c r="B308" i="18" a="1"/>
  <c r="B308" i="18"/>
  <c r="N307" i="18" a="1"/>
  <c r="N307" i="18"/>
  <c r="L307" i="18" a="1"/>
  <c r="L307" i="18"/>
  <c r="M307" i="18" s="1"/>
  <c r="H307" i="18" a="1"/>
  <c r="H307" i="18"/>
  <c r="G307" i="18" a="1"/>
  <c r="G307" i="18"/>
  <c r="F307" i="18" a="1"/>
  <c r="F307" i="18"/>
  <c r="E307" i="18" a="1"/>
  <c r="E307" i="18"/>
  <c r="D307" i="18" a="1"/>
  <c r="D307" i="18"/>
  <c r="C307" i="18" a="1"/>
  <c r="C307" i="18"/>
  <c r="B307" i="18" a="1"/>
  <c r="B307" i="18"/>
  <c r="N306" i="18" a="1"/>
  <c r="N306" i="18"/>
  <c r="L306" i="18" a="1"/>
  <c r="L306" i="18"/>
  <c r="M306" i="18" s="1"/>
  <c r="H306" i="18" a="1"/>
  <c r="H306" i="18"/>
  <c r="G306" i="18" a="1"/>
  <c r="G306" i="18"/>
  <c r="F306" i="18" a="1"/>
  <c r="F306" i="18"/>
  <c r="E306" i="18" a="1"/>
  <c r="E306" i="18"/>
  <c r="D306" i="18" a="1"/>
  <c r="D306" i="18"/>
  <c r="C306" i="18" a="1"/>
  <c r="C306" i="18"/>
  <c r="B306" i="18" a="1"/>
  <c r="B306" i="18"/>
  <c r="N305" i="18" a="1"/>
  <c r="N305" i="18"/>
  <c r="L305" i="18" a="1"/>
  <c r="L305" i="18"/>
  <c r="M305" i="18" s="1"/>
  <c r="H305" i="18" a="1"/>
  <c r="H305" i="18"/>
  <c r="G305" i="18" a="1"/>
  <c r="G305" i="18"/>
  <c r="F305" i="18" a="1"/>
  <c r="F305" i="18"/>
  <c r="E305" i="18" a="1"/>
  <c r="E305" i="18"/>
  <c r="D305" i="18" a="1"/>
  <c r="D305" i="18"/>
  <c r="C305" i="18" a="1"/>
  <c r="C305" i="18"/>
  <c r="B305" i="18" a="1"/>
  <c r="B305" i="18"/>
  <c r="N304" i="18" a="1"/>
  <c r="N304" i="18"/>
  <c r="L304" i="18" a="1"/>
  <c r="L304" i="18"/>
  <c r="M304" i="18" s="1"/>
  <c r="H304" i="18" a="1"/>
  <c r="H304" i="18"/>
  <c r="G304" i="18" a="1"/>
  <c r="G304" i="18"/>
  <c r="F304" i="18" a="1"/>
  <c r="F304" i="18"/>
  <c r="E304" i="18" a="1"/>
  <c r="E304" i="18"/>
  <c r="D304" i="18" a="1"/>
  <c r="D304" i="18"/>
  <c r="C304" i="18" a="1"/>
  <c r="C304" i="18"/>
  <c r="B304" i="18" a="1"/>
  <c r="B304" i="18"/>
  <c r="N303" i="18" a="1"/>
  <c r="N303" i="18"/>
  <c r="L303" i="18" a="1"/>
  <c r="L303" i="18"/>
  <c r="M303" i="18" s="1"/>
  <c r="H303" i="18" a="1"/>
  <c r="H303" i="18"/>
  <c r="G303" i="18" a="1"/>
  <c r="G303" i="18"/>
  <c r="F303" i="18" a="1"/>
  <c r="F303" i="18"/>
  <c r="E303" i="18" a="1"/>
  <c r="E303" i="18"/>
  <c r="D303" i="18" a="1"/>
  <c r="D303" i="18"/>
  <c r="C303" i="18" a="1"/>
  <c r="C303" i="18"/>
  <c r="B303" i="18" a="1"/>
  <c r="B303" i="18"/>
  <c r="N302" i="18" a="1"/>
  <c r="N302" i="18"/>
  <c r="L302" i="18" a="1"/>
  <c r="L302" i="18"/>
  <c r="M302" i="18" s="1"/>
  <c r="H302" i="18" a="1"/>
  <c r="H302" i="18"/>
  <c r="G302" i="18" a="1"/>
  <c r="G302" i="18"/>
  <c r="F302" i="18" a="1"/>
  <c r="F302" i="18"/>
  <c r="E302" i="18" a="1"/>
  <c r="E302" i="18"/>
  <c r="D302" i="18" a="1"/>
  <c r="D302" i="18"/>
  <c r="C302" i="18" a="1"/>
  <c r="C302" i="18"/>
  <c r="B302" i="18" a="1"/>
  <c r="B302" i="18"/>
  <c r="N301" i="18" a="1"/>
  <c r="N301" i="18"/>
  <c r="L301" i="18" a="1"/>
  <c r="L301" i="18"/>
  <c r="M301" i="18" s="1"/>
  <c r="H301" i="18" a="1"/>
  <c r="H301" i="18"/>
  <c r="G301" i="18" a="1"/>
  <c r="G301" i="18"/>
  <c r="F301" i="18" a="1"/>
  <c r="F301" i="18"/>
  <c r="E301" i="18" a="1"/>
  <c r="E301" i="18"/>
  <c r="D301" i="18" a="1"/>
  <c r="D301" i="18"/>
  <c r="C301" i="18" a="1"/>
  <c r="C301" i="18"/>
  <c r="B301" i="18" a="1"/>
  <c r="B301" i="18"/>
  <c r="N300" i="18" a="1"/>
  <c r="N300" i="18"/>
  <c r="L300" i="18" a="1"/>
  <c r="L300" i="18"/>
  <c r="M300" i="18" s="1"/>
  <c r="H300" i="18" a="1"/>
  <c r="H300" i="18"/>
  <c r="G300" i="18" a="1"/>
  <c r="G300" i="18"/>
  <c r="F300" i="18" a="1"/>
  <c r="F300" i="18"/>
  <c r="E300" i="18" a="1"/>
  <c r="E300" i="18"/>
  <c r="D300" i="18" a="1"/>
  <c r="D300" i="18"/>
  <c r="C300" i="18" a="1"/>
  <c r="C300" i="18"/>
  <c r="B300" i="18" a="1"/>
  <c r="B300" i="18"/>
  <c r="N299" i="18" a="1"/>
  <c r="N299" i="18"/>
  <c r="L299" i="18" a="1"/>
  <c r="L299" i="18"/>
  <c r="M299" i="18" s="1"/>
  <c r="H299" i="18" a="1"/>
  <c r="H299" i="18"/>
  <c r="G299" i="18" a="1"/>
  <c r="G299" i="18"/>
  <c r="F299" i="18" a="1"/>
  <c r="F299" i="18"/>
  <c r="E299" i="18" a="1"/>
  <c r="E299" i="18"/>
  <c r="D299" i="18" a="1"/>
  <c r="D299" i="18"/>
  <c r="C299" i="18" a="1"/>
  <c r="C299" i="18"/>
  <c r="B299" i="18" a="1"/>
  <c r="B299" i="18"/>
  <c r="N298" i="18" a="1"/>
  <c r="N298" i="18"/>
  <c r="L298" i="18" a="1"/>
  <c r="L298" i="18"/>
  <c r="M298" i="18" s="1"/>
  <c r="H298" i="18" a="1"/>
  <c r="H298" i="18"/>
  <c r="G298" i="18" a="1"/>
  <c r="G298" i="18"/>
  <c r="F298" i="18" a="1"/>
  <c r="F298" i="18"/>
  <c r="E298" i="18" a="1"/>
  <c r="E298" i="18"/>
  <c r="D298" i="18" a="1"/>
  <c r="D298" i="18"/>
  <c r="C298" i="18" a="1"/>
  <c r="C298" i="18"/>
  <c r="B298" i="18" a="1"/>
  <c r="B298" i="18"/>
  <c r="N297" i="18" a="1"/>
  <c r="N297" i="18"/>
  <c r="L297" i="18" a="1"/>
  <c r="L297" i="18"/>
  <c r="M297" i="18" s="1"/>
  <c r="H297" i="18" a="1"/>
  <c r="H297" i="18"/>
  <c r="G297" i="18" a="1"/>
  <c r="G297" i="18"/>
  <c r="F297" i="18" a="1"/>
  <c r="F297" i="18"/>
  <c r="E297" i="18" a="1"/>
  <c r="E297" i="18"/>
  <c r="D297" i="18" a="1"/>
  <c r="D297" i="18"/>
  <c r="C297" i="18" a="1"/>
  <c r="C297" i="18"/>
  <c r="B297" i="18" a="1"/>
  <c r="B297" i="18"/>
  <c r="N296" i="18" a="1"/>
  <c r="N296" i="18"/>
  <c r="L296" i="18" a="1"/>
  <c r="L296" i="18"/>
  <c r="M296" i="18" s="1"/>
  <c r="H296" i="18" a="1"/>
  <c r="H296" i="18"/>
  <c r="G296" i="18" a="1"/>
  <c r="G296" i="18"/>
  <c r="F296" i="18" a="1"/>
  <c r="F296" i="18"/>
  <c r="E296" i="18" a="1"/>
  <c r="E296" i="18"/>
  <c r="D296" i="18" a="1"/>
  <c r="D296" i="18"/>
  <c r="C296" i="18" a="1"/>
  <c r="C296" i="18"/>
  <c r="B296" i="18" a="1"/>
  <c r="B296" i="18"/>
  <c r="N295" i="18" a="1"/>
  <c r="N295" i="18"/>
  <c r="L295" i="18" a="1"/>
  <c r="L295" i="18"/>
  <c r="M295" i="18" s="1"/>
  <c r="H295" i="18" a="1"/>
  <c r="H295" i="18"/>
  <c r="G295" i="18" a="1"/>
  <c r="G295" i="18"/>
  <c r="F295" i="18" a="1"/>
  <c r="F295" i="18"/>
  <c r="E295" i="18" a="1"/>
  <c r="E295" i="18"/>
  <c r="D295" i="18" a="1"/>
  <c r="D295" i="18"/>
  <c r="C295" i="18" a="1"/>
  <c r="C295" i="18"/>
  <c r="B295" i="18" a="1"/>
  <c r="B295" i="18"/>
  <c r="N294" i="18" a="1"/>
  <c r="N294" i="18"/>
  <c r="L294" i="18" a="1"/>
  <c r="L294" i="18"/>
  <c r="M294" i="18" s="1"/>
  <c r="H294" i="18" a="1"/>
  <c r="H294" i="18"/>
  <c r="G294" i="18" a="1"/>
  <c r="G294" i="18"/>
  <c r="F294" i="18" a="1"/>
  <c r="F294" i="18"/>
  <c r="E294" i="18" a="1"/>
  <c r="E294" i="18"/>
  <c r="D294" i="18" a="1"/>
  <c r="D294" i="18"/>
  <c r="C294" i="18" a="1"/>
  <c r="C294" i="18"/>
  <c r="B294" i="18" a="1"/>
  <c r="B294" i="18"/>
  <c r="N293" i="18" a="1"/>
  <c r="N293" i="18"/>
  <c r="L293" i="18" a="1"/>
  <c r="L293" i="18"/>
  <c r="M293" i="18" s="1"/>
  <c r="H293" i="18" a="1"/>
  <c r="H293" i="18"/>
  <c r="G293" i="18" a="1"/>
  <c r="G293" i="18"/>
  <c r="F293" i="18" a="1"/>
  <c r="F293" i="18"/>
  <c r="E293" i="18" a="1"/>
  <c r="E293" i="18"/>
  <c r="D293" i="18" a="1"/>
  <c r="D293" i="18"/>
  <c r="C293" i="18" a="1"/>
  <c r="C293" i="18"/>
  <c r="B293" i="18" a="1"/>
  <c r="B293" i="18"/>
  <c r="N292" i="18" a="1"/>
  <c r="N292" i="18"/>
  <c r="L292" i="18" a="1"/>
  <c r="L292" i="18"/>
  <c r="M292" i="18" s="1"/>
  <c r="H292" i="18" a="1"/>
  <c r="H292" i="18"/>
  <c r="G292" i="18" a="1"/>
  <c r="G292" i="18"/>
  <c r="F292" i="18" a="1"/>
  <c r="F292" i="18"/>
  <c r="E292" i="18" a="1"/>
  <c r="E292" i="18"/>
  <c r="D292" i="18" a="1"/>
  <c r="D292" i="18"/>
  <c r="C292" i="18" a="1"/>
  <c r="C292" i="18"/>
  <c r="B292" i="18" a="1"/>
  <c r="B292" i="18"/>
  <c r="N291" i="18" a="1"/>
  <c r="N291" i="18"/>
  <c r="L291" i="18" a="1"/>
  <c r="L291" i="18"/>
  <c r="M291" i="18" s="1"/>
  <c r="H291" i="18" a="1"/>
  <c r="H291" i="18"/>
  <c r="G291" i="18" a="1"/>
  <c r="G291" i="18"/>
  <c r="F291" i="18" a="1"/>
  <c r="F291" i="18"/>
  <c r="E291" i="18" a="1"/>
  <c r="E291" i="18"/>
  <c r="D291" i="18" a="1"/>
  <c r="D291" i="18"/>
  <c r="C291" i="18" a="1"/>
  <c r="C291" i="18"/>
  <c r="B291" i="18" a="1"/>
  <c r="B291" i="18"/>
  <c r="N290" i="18" a="1"/>
  <c r="N290" i="18"/>
  <c r="L290" i="18" a="1"/>
  <c r="L290" i="18"/>
  <c r="M290" i="18" s="1"/>
  <c r="H290" i="18" a="1"/>
  <c r="H290" i="18"/>
  <c r="G290" i="18" a="1"/>
  <c r="G290" i="18"/>
  <c r="F290" i="18" a="1"/>
  <c r="F290" i="18"/>
  <c r="E290" i="18" a="1"/>
  <c r="E290" i="18"/>
  <c r="D290" i="18" a="1"/>
  <c r="D290" i="18"/>
  <c r="C290" i="18" a="1"/>
  <c r="C290" i="18"/>
  <c r="B290" i="18" a="1"/>
  <c r="B290" i="18"/>
  <c r="N289" i="18" a="1"/>
  <c r="N289" i="18"/>
  <c r="L289" i="18" a="1"/>
  <c r="L289" i="18"/>
  <c r="M289" i="18" s="1"/>
  <c r="H289" i="18" a="1"/>
  <c r="H289" i="18"/>
  <c r="G289" i="18" a="1"/>
  <c r="G289" i="18"/>
  <c r="F289" i="18" a="1"/>
  <c r="F289" i="18"/>
  <c r="E289" i="18" a="1"/>
  <c r="E289" i="18"/>
  <c r="D289" i="18" a="1"/>
  <c r="D289" i="18"/>
  <c r="C289" i="18" a="1"/>
  <c r="C289" i="18"/>
  <c r="B289" i="18" a="1"/>
  <c r="B289" i="18"/>
  <c r="N288" i="18" a="1"/>
  <c r="N288" i="18"/>
  <c r="L288" i="18" a="1"/>
  <c r="L288" i="18"/>
  <c r="M288" i="18" s="1"/>
  <c r="H288" i="18" a="1"/>
  <c r="H288" i="18"/>
  <c r="G288" i="18" a="1"/>
  <c r="G288" i="18"/>
  <c r="F288" i="18" a="1"/>
  <c r="F288" i="18"/>
  <c r="E288" i="18" a="1"/>
  <c r="E288" i="18"/>
  <c r="D288" i="18" a="1"/>
  <c r="D288" i="18"/>
  <c r="C288" i="18" a="1"/>
  <c r="C288" i="18"/>
  <c r="B288" i="18" a="1"/>
  <c r="B288" i="18"/>
  <c r="N287" i="18" a="1"/>
  <c r="N287" i="18"/>
  <c r="L287" i="18" a="1"/>
  <c r="L287" i="18"/>
  <c r="M287" i="18" s="1"/>
  <c r="H287" i="18" a="1"/>
  <c r="H287" i="18"/>
  <c r="G287" i="18" a="1"/>
  <c r="G287" i="18"/>
  <c r="F287" i="18" a="1"/>
  <c r="F287" i="18"/>
  <c r="E287" i="18" a="1"/>
  <c r="E287" i="18"/>
  <c r="D287" i="18" a="1"/>
  <c r="D287" i="18"/>
  <c r="C287" i="18" a="1"/>
  <c r="C287" i="18"/>
  <c r="B287" i="18" a="1"/>
  <c r="B287" i="18"/>
  <c r="N286" i="18" a="1"/>
  <c r="N286" i="18"/>
  <c r="L286" i="18" a="1"/>
  <c r="L286" i="18"/>
  <c r="M286" i="18" s="1"/>
  <c r="H286" i="18" a="1"/>
  <c r="H286" i="18"/>
  <c r="G286" i="18" a="1"/>
  <c r="G286" i="18"/>
  <c r="F286" i="18" a="1"/>
  <c r="F286" i="18"/>
  <c r="E286" i="18" a="1"/>
  <c r="E286" i="18"/>
  <c r="D286" i="18" a="1"/>
  <c r="D286" i="18"/>
  <c r="C286" i="18" a="1"/>
  <c r="C286" i="18"/>
  <c r="B286" i="18" a="1"/>
  <c r="B286" i="18"/>
  <c r="N285" i="18" a="1"/>
  <c r="N285" i="18"/>
  <c r="L285" i="18" a="1"/>
  <c r="L285" i="18"/>
  <c r="M285" i="18" s="1"/>
  <c r="H285" i="18" a="1"/>
  <c r="H285" i="18"/>
  <c r="G285" i="18" a="1"/>
  <c r="G285" i="18"/>
  <c r="F285" i="18" a="1"/>
  <c r="F285" i="18"/>
  <c r="E285" i="18" a="1"/>
  <c r="E285" i="18"/>
  <c r="D285" i="18" a="1"/>
  <c r="D285" i="18"/>
  <c r="C285" i="18" a="1"/>
  <c r="C285" i="18"/>
  <c r="B285" i="18" a="1"/>
  <c r="B285" i="18"/>
  <c r="N284" i="18" a="1"/>
  <c r="N284" i="18"/>
  <c r="L284" i="18" a="1"/>
  <c r="L284" i="18"/>
  <c r="M284" i="18" s="1"/>
  <c r="H284" i="18" a="1"/>
  <c r="H284" i="18"/>
  <c r="G284" i="18" a="1"/>
  <c r="G284" i="18"/>
  <c r="F284" i="18" a="1"/>
  <c r="F284" i="18"/>
  <c r="E284" i="18" a="1"/>
  <c r="E284" i="18"/>
  <c r="D284" i="18" a="1"/>
  <c r="D284" i="18"/>
  <c r="C284" i="18" a="1"/>
  <c r="C284" i="18"/>
  <c r="B284" i="18" a="1"/>
  <c r="B284" i="18"/>
  <c r="N283" i="18" a="1"/>
  <c r="N283" i="18"/>
  <c r="L283" i="18" a="1"/>
  <c r="L283" i="18"/>
  <c r="M283" i="18" s="1"/>
  <c r="H283" i="18" a="1"/>
  <c r="H283" i="18"/>
  <c r="G283" i="18" a="1"/>
  <c r="G283" i="18"/>
  <c r="F283" i="18" a="1"/>
  <c r="F283" i="18"/>
  <c r="E283" i="18" a="1"/>
  <c r="E283" i="18"/>
  <c r="D283" i="18" a="1"/>
  <c r="D283" i="18"/>
  <c r="C283" i="18" a="1"/>
  <c r="C283" i="18"/>
  <c r="B283" i="18" a="1"/>
  <c r="B283" i="18"/>
  <c r="N282" i="18" a="1"/>
  <c r="N282" i="18"/>
  <c r="L282" i="18" a="1"/>
  <c r="L282" i="18"/>
  <c r="M282" i="18" s="1"/>
  <c r="H282" i="18" a="1"/>
  <c r="H282" i="18"/>
  <c r="G282" i="18" a="1"/>
  <c r="G282" i="18"/>
  <c r="F282" i="18" a="1"/>
  <c r="F282" i="18"/>
  <c r="E282" i="18" a="1"/>
  <c r="E282" i="18"/>
  <c r="D282" i="18" a="1"/>
  <c r="D282" i="18"/>
  <c r="C282" i="18" a="1"/>
  <c r="C282" i="18"/>
  <c r="B282" i="18" a="1"/>
  <c r="B282" i="18"/>
  <c r="N281" i="18" a="1"/>
  <c r="N281" i="18"/>
  <c r="L281" i="18" a="1"/>
  <c r="L281" i="18"/>
  <c r="M281" i="18" s="1"/>
  <c r="H281" i="18" a="1"/>
  <c r="H281" i="18"/>
  <c r="G281" i="18" a="1"/>
  <c r="G281" i="18"/>
  <c r="F281" i="18" a="1"/>
  <c r="F281" i="18"/>
  <c r="E281" i="18" a="1"/>
  <c r="E281" i="18"/>
  <c r="D281" i="18" a="1"/>
  <c r="D281" i="18"/>
  <c r="C281" i="18" a="1"/>
  <c r="C281" i="18"/>
  <c r="B281" i="18" a="1"/>
  <c r="B281" i="18"/>
  <c r="N280" i="18" a="1"/>
  <c r="N280" i="18"/>
  <c r="L280" i="18" a="1"/>
  <c r="L280" i="18"/>
  <c r="M280" i="18" s="1"/>
  <c r="H280" i="18" a="1"/>
  <c r="H280" i="18"/>
  <c r="G280" i="18" a="1"/>
  <c r="G280" i="18"/>
  <c r="F280" i="18" a="1"/>
  <c r="F280" i="18"/>
  <c r="E280" i="18" a="1"/>
  <c r="E280" i="18"/>
  <c r="D280" i="18" a="1"/>
  <c r="D280" i="18"/>
  <c r="C280" i="18" a="1"/>
  <c r="C280" i="18"/>
  <c r="B280" i="18" a="1"/>
  <c r="B280" i="18"/>
  <c r="N279" i="18" a="1"/>
  <c r="N279" i="18"/>
  <c r="L279" i="18" a="1"/>
  <c r="L279" i="18"/>
  <c r="M279" i="18" s="1"/>
  <c r="H279" i="18" a="1"/>
  <c r="H279" i="18"/>
  <c r="G279" i="18" a="1"/>
  <c r="G279" i="18"/>
  <c r="F279" i="18" a="1"/>
  <c r="F279" i="18"/>
  <c r="E279" i="18" a="1"/>
  <c r="E279" i="18"/>
  <c r="D279" i="18" a="1"/>
  <c r="D279" i="18"/>
  <c r="C279" i="18" a="1"/>
  <c r="C279" i="18"/>
  <c r="B279" i="18" a="1"/>
  <c r="B279" i="18"/>
  <c r="N278" i="18" a="1"/>
  <c r="N278" i="18"/>
  <c r="L278" i="18" a="1"/>
  <c r="L278" i="18"/>
  <c r="M278" i="18" s="1"/>
  <c r="H278" i="18" a="1"/>
  <c r="H278" i="18"/>
  <c r="G278" i="18" a="1"/>
  <c r="G278" i="18"/>
  <c r="F278" i="18" a="1"/>
  <c r="F278" i="18"/>
  <c r="E278" i="18" a="1"/>
  <c r="E278" i="18"/>
  <c r="D278" i="18" a="1"/>
  <c r="D278" i="18"/>
  <c r="C278" i="18" a="1"/>
  <c r="C278" i="18"/>
  <c r="B278" i="18" a="1"/>
  <c r="B278" i="18"/>
  <c r="N277" i="18" a="1"/>
  <c r="N277" i="18"/>
  <c r="L277" i="18" a="1"/>
  <c r="L277" i="18"/>
  <c r="M277" i="18" s="1"/>
  <c r="H277" i="18" a="1"/>
  <c r="H277" i="18"/>
  <c r="G277" i="18" a="1"/>
  <c r="G277" i="18"/>
  <c r="F277" i="18" a="1"/>
  <c r="F277" i="18"/>
  <c r="E277" i="18" a="1"/>
  <c r="E277" i="18"/>
  <c r="D277" i="18" a="1"/>
  <c r="D277" i="18"/>
  <c r="C277" i="18" a="1"/>
  <c r="C277" i="18"/>
  <c r="B277" i="18" a="1"/>
  <c r="B277" i="18"/>
  <c r="N276" i="18" a="1"/>
  <c r="N276" i="18"/>
  <c r="L276" i="18" a="1"/>
  <c r="L276" i="18"/>
  <c r="M276" i="18" s="1"/>
  <c r="H276" i="18" a="1"/>
  <c r="H276" i="18"/>
  <c r="G276" i="18" a="1"/>
  <c r="G276" i="18"/>
  <c r="F276" i="18" a="1"/>
  <c r="F276" i="18"/>
  <c r="E276" i="18" a="1"/>
  <c r="E276" i="18"/>
  <c r="D276" i="18" a="1"/>
  <c r="D276" i="18"/>
  <c r="C276" i="18" a="1"/>
  <c r="C276" i="18"/>
  <c r="B276" i="18" a="1"/>
  <c r="B276" i="18"/>
  <c r="N275" i="18" a="1"/>
  <c r="N275" i="18"/>
  <c r="L275" i="18" a="1"/>
  <c r="L275" i="18"/>
  <c r="M275" i="18" s="1"/>
  <c r="H275" i="18" a="1"/>
  <c r="H275" i="18"/>
  <c r="G275" i="18" a="1"/>
  <c r="G275" i="18"/>
  <c r="F275" i="18" a="1"/>
  <c r="F275" i="18"/>
  <c r="E275" i="18" a="1"/>
  <c r="E275" i="18"/>
  <c r="D275" i="18" a="1"/>
  <c r="D275" i="18"/>
  <c r="C275" i="18" a="1"/>
  <c r="C275" i="18"/>
  <c r="B275" i="18" a="1"/>
  <c r="B275" i="18"/>
  <c r="N274" i="18" a="1"/>
  <c r="N274" i="18"/>
  <c r="L274" i="18" a="1"/>
  <c r="L274" i="18"/>
  <c r="M274" i="18" s="1"/>
  <c r="H274" i="18" a="1"/>
  <c r="H274" i="18"/>
  <c r="G274" i="18" a="1"/>
  <c r="G274" i="18"/>
  <c r="F274" i="18" a="1"/>
  <c r="F274" i="18"/>
  <c r="E274" i="18" a="1"/>
  <c r="E274" i="18"/>
  <c r="D274" i="18" a="1"/>
  <c r="D274" i="18"/>
  <c r="C274" i="18" a="1"/>
  <c r="C274" i="18"/>
  <c r="B274" i="18" a="1"/>
  <c r="B274" i="18"/>
  <c r="N273" i="18" a="1"/>
  <c r="N273" i="18"/>
  <c r="L273" i="18" a="1"/>
  <c r="L273" i="18"/>
  <c r="M273" i="18" s="1"/>
  <c r="H273" i="18" a="1"/>
  <c r="H273" i="18"/>
  <c r="G273" i="18" a="1"/>
  <c r="G273" i="18"/>
  <c r="F273" i="18" a="1"/>
  <c r="F273" i="18"/>
  <c r="E273" i="18" a="1"/>
  <c r="E273" i="18"/>
  <c r="D273" i="18" a="1"/>
  <c r="D273" i="18"/>
  <c r="C273" i="18" a="1"/>
  <c r="C273" i="18"/>
  <c r="B273" i="18" a="1"/>
  <c r="B273" i="18"/>
  <c r="N272" i="18" a="1"/>
  <c r="N272" i="18"/>
  <c r="L272" i="18" a="1"/>
  <c r="L272" i="18"/>
  <c r="M272" i="18" s="1"/>
  <c r="H272" i="18" a="1"/>
  <c r="H272" i="18"/>
  <c r="G272" i="18" a="1"/>
  <c r="G272" i="18"/>
  <c r="F272" i="18" a="1"/>
  <c r="F272" i="18"/>
  <c r="E272" i="18" a="1"/>
  <c r="E272" i="18"/>
  <c r="D272" i="18" a="1"/>
  <c r="D272" i="18"/>
  <c r="C272" i="18" a="1"/>
  <c r="C272" i="18"/>
  <c r="B272" i="18" a="1"/>
  <c r="B272" i="18"/>
  <c r="N271" i="18" a="1"/>
  <c r="N271" i="18"/>
  <c r="L271" i="18" a="1"/>
  <c r="L271" i="18"/>
  <c r="M271" i="18" s="1"/>
  <c r="H271" i="18" a="1"/>
  <c r="H271" i="18"/>
  <c r="G271" i="18" a="1"/>
  <c r="G271" i="18"/>
  <c r="F271" i="18" a="1"/>
  <c r="F271" i="18"/>
  <c r="E271" i="18" a="1"/>
  <c r="E271" i="18"/>
  <c r="D271" i="18" a="1"/>
  <c r="D271" i="18"/>
  <c r="C271" i="18" a="1"/>
  <c r="C271" i="18"/>
  <c r="B271" i="18" a="1"/>
  <c r="B271" i="18"/>
  <c r="N270" i="18" a="1"/>
  <c r="N270" i="18"/>
  <c r="L270" i="18" a="1"/>
  <c r="L270" i="18"/>
  <c r="M270" i="18" s="1"/>
  <c r="H270" i="18" a="1"/>
  <c r="H270" i="18"/>
  <c r="G270" i="18" a="1"/>
  <c r="G270" i="18"/>
  <c r="F270" i="18" a="1"/>
  <c r="F270" i="18"/>
  <c r="E270" i="18" a="1"/>
  <c r="E270" i="18"/>
  <c r="D270" i="18" a="1"/>
  <c r="D270" i="18"/>
  <c r="C270" i="18" a="1"/>
  <c r="C270" i="18"/>
  <c r="B270" i="18" a="1"/>
  <c r="B270" i="18"/>
  <c r="N269" i="18" a="1"/>
  <c r="N269" i="18"/>
  <c r="L269" i="18" a="1"/>
  <c r="L269" i="18"/>
  <c r="M269" i="18" s="1"/>
  <c r="H269" i="18" a="1"/>
  <c r="H269" i="18"/>
  <c r="G269" i="18" a="1"/>
  <c r="G269" i="18"/>
  <c r="F269" i="18" a="1"/>
  <c r="F269" i="18"/>
  <c r="E269" i="18" a="1"/>
  <c r="E269" i="18"/>
  <c r="D269" i="18" a="1"/>
  <c r="D269" i="18"/>
  <c r="C269" i="18" a="1"/>
  <c r="C269" i="18"/>
  <c r="B269" i="18" a="1"/>
  <c r="B269" i="18"/>
  <c r="N268" i="18" a="1"/>
  <c r="N268" i="18"/>
  <c r="L268" i="18" a="1"/>
  <c r="L268" i="18"/>
  <c r="M268" i="18" s="1"/>
  <c r="H268" i="18" a="1"/>
  <c r="H268" i="18"/>
  <c r="G268" i="18" a="1"/>
  <c r="G268" i="18"/>
  <c r="F268" i="18" a="1"/>
  <c r="F268" i="18"/>
  <c r="E268" i="18" a="1"/>
  <c r="E268" i="18"/>
  <c r="D268" i="18" a="1"/>
  <c r="D268" i="18"/>
  <c r="C268" i="18" a="1"/>
  <c r="C268" i="18"/>
  <c r="B268" i="18" a="1"/>
  <c r="B268" i="18"/>
  <c r="N267" i="18" a="1"/>
  <c r="N267" i="18"/>
  <c r="L267" i="18" a="1"/>
  <c r="L267" i="18"/>
  <c r="M267" i="18" s="1"/>
  <c r="H267" i="18" a="1"/>
  <c r="H267" i="18"/>
  <c r="G267" i="18" a="1"/>
  <c r="G267" i="18"/>
  <c r="F267" i="18" a="1"/>
  <c r="F267" i="18"/>
  <c r="E267" i="18" a="1"/>
  <c r="E267" i="18"/>
  <c r="D267" i="18" a="1"/>
  <c r="D267" i="18"/>
  <c r="C267" i="18" a="1"/>
  <c r="C267" i="18"/>
  <c r="B267" i="18" a="1"/>
  <c r="B267" i="18"/>
  <c r="N266" i="18" a="1"/>
  <c r="N266" i="18"/>
  <c r="L266" i="18" a="1"/>
  <c r="L266" i="18"/>
  <c r="M266" i="18" s="1"/>
  <c r="H266" i="18" a="1"/>
  <c r="H266" i="18"/>
  <c r="G266" i="18" a="1"/>
  <c r="G266" i="18"/>
  <c r="F266" i="18" a="1"/>
  <c r="F266" i="18"/>
  <c r="E266" i="18" a="1"/>
  <c r="E266" i="18"/>
  <c r="D266" i="18" a="1"/>
  <c r="D266" i="18"/>
  <c r="C266" i="18" a="1"/>
  <c r="C266" i="18"/>
  <c r="B266" i="18" a="1"/>
  <c r="B266" i="18"/>
  <c r="N265" i="18" a="1"/>
  <c r="N265" i="18"/>
  <c r="L265" i="18" a="1"/>
  <c r="L265" i="18"/>
  <c r="M265" i="18" s="1"/>
  <c r="H265" i="18" a="1"/>
  <c r="H265" i="18"/>
  <c r="G265" i="18" a="1"/>
  <c r="G265" i="18"/>
  <c r="F265" i="18" a="1"/>
  <c r="F265" i="18"/>
  <c r="E265" i="18" a="1"/>
  <c r="E265" i="18"/>
  <c r="D265" i="18" a="1"/>
  <c r="D265" i="18"/>
  <c r="C265" i="18" a="1"/>
  <c r="C265" i="18"/>
  <c r="B265" i="18" a="1"/>
  <c r="B265" i="18"/>
  <c r="N264" i="18" a="1"/>
  <c r="N264" i="18"/>
  <c r="L264" i="18" a="1"/>
  <c r="L264" i="18"/>
  <c r="M264" i="18" s="1"/>
  <c r="H264" i="18" a="1"/>
  <c r="H264" i="18"/>
  <c r="G264" i="18" a="1"/>
  <c r="G264" i="18"/>
  <c r="F264" i="18" a="1"/>
  <c r="F264" i="18"/>
  <c r="E264" i="18" a="1"/>
  <c r="E264" i="18"/>
  <c r="D264" i="18" a="1"/>
  <c r="D264" i="18"/>
  <c r="C264" i="18" a="1"/>
  <c r="C264" i="18"/>
  <c r="B264" i="18" a="1"/>
  <c r="B264" i="18"/>
  <c r="N263" i="18" a="1"/>
  <c r="N263" i="18"/>
  <c r="L263" i="18" a="1"/>
  <c r="L263" i="18"/>
  <c r="M263" i="18" s="1"/>
  <c r="H263" i="18" a="1"/>
  <c r="H263" i="18"/>
  <c r="G263" i="18" a="1"/>
  <c r="G263" i="18"/>
  <c r="F263" i="18" a="1"/>
  <c r="F263" i="18"/>
  <c r="E263" i="18" a="1"/>
  <c r="E263" i="18"/>
  <c r="D263" i="18" a="1"/>
  <c r="D263" i="18"/>
  <c r="C263" i="18" a="1"/>
  <c r="C263" i="18"/>
  <c r="B263" i="18" a="1"/>
  <c r="B263" i="18"/>
  <c r="N262" i="18" a="1"/>
  <c r="N262" i="18"/>
  <c r="L262" i="18" a="1"/>
  <c r="L262" i="18"/>
  <c r="M262" i="18" s="1"/>
  <c r="H262" i="18" a="1"/>
  <c r="H262" i="18"/>
  <c r="G262" i="18" a="1"/>
  <c r="G262" i="18"/>
  <c r="F262" i="18" a="1"/>
  <c r="F262" i="18"/>
  <c r="E262" i="18" a="1"/>
  <c r="E262" i="18"/>
  <c r="D262" i="18" a="1"/>
  <c r="D262" i="18"/>
  <c r="C262" i="18" a="1"/>
  <c r="C262" i="18"/>
  <c r="B262" i="18" a="1"/>
  <c r="B262" i="18"/>
  <c r="N261" i="18" a="1"/>
  <c r="N261" i="18"/>
  <c r="L261" i="18" a="1"/>
  <c r="L261" i="18"/>
  <c r="M261" i="18" s="1"/>
  <c r="H261" i="18" a="1"/>
  <c r="H261" i="18"/>
  <c r="G261" i="18" a="1"/>
  <c r="G261" i="18"/>
  <c r="F261" i="18" a="1"/>
  <c r="F261" i="18"/>
  <c r="E261" i="18" a="1"/>
  <c r="E261" i="18"/>
  <c r="D261" i="18" a="1"/>
  <c r="D261" i="18"/>
  <c r="C261" i="18" a="1"/>
  <c r="C261" i="18"/>
  <c r="B261" i="18" a="1"/>
  <c r="B261" i="18"/>
  <c r="N260" i="18" a="1"/>
  <c r="N260" i="18"/>
  <c r="L260" i="18" a="1"/>
  <c r="L260" i="18"/>
  <c r="M260" i="18" s="1"/>
  <c r="H260" i="18" a="1"/>
  <c r="H260" i="18"/>
  <c r="G260" i="18" a="1"/>
  <c r="G260" i="18"/>
  <c r="F260" i="18" a="1"/>
  <c r="F260" i="18"/>
  <c r="E260" i="18" a="1"/>
  <c r="E260" i="18"/>
  <c r="D260" i="18" a="1"/>
  <c r="D260" i="18"/>
  <c r="C260" i="18" a="1"/>
  <c r="C260" i="18"/>
  <c r="B260" i="18" a="1"/>
  <c r="B260" i="18"/>
  <c r="N259" i="18" a="1"/>
  <c r="N259" i="18"/>
  <c r="L259" i="18" a="1"/>
  <c r="L259" i="18"/>
  <c r="M259" i="18" s="1"/>
  <c r="H259" i="18" a="1"/>
  <c r="H259" i="18"/>
  <c r="G259" i="18" a="1"/>
  <c r="G259" i="18"/>
  <c r="F259" i="18" a="1"/>
  <c r="F259" i="18"/>
  <c r="E259" i="18" a="1"/>
  <c r="E259" i="18"/>
  <c r="D259" i="18" a="1"/>
  <c r="D259" i="18"/>
  <c r="C259" i="18" a="1"/>
  <c r="C259" i="18"/>
  <c r="B259" i="18" a="1"/>
  <c r="B259" i="18"/>
  <c r="N258" i="18" a="1"/>
  <c r="N258" i="18"/>
  <c r="L258" i="18" a="1"/>
  <c r="L258" i="18"/>
  <c r="M258" i="18" s="1"/>
  <c r="H258" i="18" a="1"/>
  <c r="H258" i="18"/>
  <c r="G258" i="18" a="1"/>
  <c r="G258" i="18"/>
  <c r="F258" i="18" a="1"/>
  <c r="F258" i="18"/>
  <c r="E258" i="18" a="1"/>
  <c r="E258" i="18"/>
  <c r="D258" i="18" a="1"/>
  <c r="D258" i="18"/>
  <c r="C258" i="18" a="1"/>
  <c r="C258" i="18"/>
  <c r="B258" i="18" a="1"/>
  <c r="B258" i="18"/>
  <c r="N257" i="18" a="1"/>
  <c r="N257" i="18"/>
  <c r="L257" i="18" a="1"/>
  <c r="L257" i="18"/>
  <c r="M257" i="18" s="1"/>
  <c r="H257" i="18" a="1"/>
  <c r="H257" i="18"/>
  <c r="G257" i="18" a="1"/>
  <c r="G257" i="18"/>
  <c r="F257" i="18" a="1"/>
  <c r="F257" i="18"/>
  <c r="E257" i="18" a="1"/>
  <c r="E257" i="18"/>
  <c r="D257" i="18" a="1"/>
  <c r="D257" i="18"/>
  <c r="C257" i="18" a="1"/>
  <c r="C257" i="18"/>
  <c r="B257" i="18" a="1"/>
  <c r="B257" i="18"/>
  <c r="N256" i="18" a="1"/>
  <c r="N256" i="18"/>
  <c r="L256" i="18" a="1"/>
  <c r="L256" i="18"/>
  <c r="M256" i="18" s="1"/>
  <c r="H256" i="18" a="1"/>
  <c r="H256" i="18"/>
  <c r="G256" i="18" a="1"/>
  <c r="G256" i="18"/>
  <c r="F256" i="18" a="1"/>
  <c r="F256" i="18"/>
  <c r="E256" i="18" a="1"/>
  <c r="E256" i="18"/>
  <c r="D256" i="18" a="1"/>
  <c r="D256" i="18"/>
  <c r="C256" i="18" a="1"/>
  <c r="C256" i="18"/>
  <c r="B256" i="18" a="1"/>
  <c r="B256" i="18"/>
  <c r="N255" i="18" a="1"/>
  <c r="N255" i="18"/>
  <c r="L255" i="18" a="1"/>
  <c r="L255" i="18"/>
  <c r="M255" i="18" s="1"/>
  <c r="H255" i="18" a="1"/>
  <c r="H255" i="18"/>
  <c r="G255" i="18" a="1"/>
  <c r="G255" i="18"/>
  <c r="F255" i="18" a="1"/>
  <c r="F255" i="18"/>
  <c r="E255" i="18" a="1"/>
  <c r="E255" i="18"/>
  <c r="D255" i="18" a="1"/>
  <c r="D255" i="18"/>
  <c r="C255" i="18" a="1"/>
  <c r="C255" i="18"/>
  <c r="B255" i="18" a="1"/>
  <c r="B255" i="18"/>
  <c r="N254" i="18" a="1"/>
  <c r="N254" i="18"/>
  <c r="L254" i="18" a="1"/>
  <c r="L254" i="18"/>
  <c r="M254" i="18" s="1"/>
  <c r="H254" i="18" a="1"/>
  <c r="H254" i="18"/>
  <c r="G254" i="18" a="1"/>
  <c r="G254" i="18"/>
  <c r="F254" i="18" a="1"/>
  <c r="F254" i="18"/>
  <c r="E254" i="18" a="1"/>
  <c r="E254" i="18"/>
  <c r="D254" i="18" a="1"/>
  <c r="D254" i="18"/>
  <c r="C254" i="18" a="1"/>
  <c r="C254" i="18"/>
  <c r="B254" i="18" a="1"/>
  <c r="B254" i="18"/>
  <c r="N253" i="18" a="1"/>
  <c r="N253" i="18"/>
  <c r="L253" i="18" a="1"/>
  <c r="L253" i="18"/>
  <c r="M253" i="18" s="1"/>
  <c r="H253" i="18" a="1"/>
  <c r="H253" i="18"/>
  <c r="G253" i="18" a="1"/>
  <c r="G253" i="18"/>
  <c r="F253" i="18" a="1"/>
  <c r="F253" i="18"/>
  <c r="E253" i="18" a="1"/>
  <c r="E253" i="18"/>
  <c r="D253" i="18" a="1"/>
  <c r="D253" i="18"/>
  <c r="C253" i="18" a="1"/>
  <c r="C253" i="18"/>
  <c r="B253" i="18" a="1"/>
  <c r="B253" i="18"/>
  <c r="N252" i="18" a="1"/>
  <c r="N252" i="18"/>
  <c r="L252" i="18" a="1"/>
  <c r="L252" i="18"/>
  <c r="M252" i="18" s="1"/>
  <c r="H252" i="18" a="1"/>
  <c r="H252" i="18"/>
  <c r="G252" i="18" a="1"/>
  <c r="G252" i="18"/>
  <c r="F252" i="18" a="1"/>
  <c r="F252" i="18"/>
  <c r="E252" i="18" a="1"/>
  <c r="E252" i="18"/>
  <c r="D252" i="18" a="1"/>
  <c r="D252" i="18"/>
  <c r="C252" i="18" a="1"/>
  <c r="C252" i="18"/>
  <c r="B252" i="18" a="1"/>
  <c r="B252" i="18"/>
  <c r="N251" i="18" a="1"/>
  <c r="N251" i="18"/>
  <c r="L251" i="18" a="1"/>
  <c r="L251" i="18"/>
  <c r="M251" i="18" s="1"/>
  <c r="H251" i="18" a="1"/>
  <c r="H251" i="18"/>
  <c r="G251" i="18" a="1"/>
  <c r="G251" i="18"/>
  <c r="F251" i="18" a="1"/>
  <c r="F251" i="18"/>
  <c r="E251" i="18" a="1"/>
  <c r="E251" i="18"/>
  <c r="D251" i="18" a="1"/>
  <c r="D251" i="18"/>
  <c r="C251" i="18" a="1"/>
  <c r="C251" i="18"/>
  <c r="B251" i="18" a="1"/>
  <c r="B251" i="18"/>
  <c r="N250" i="18" a="1"/>
  <c r="N250" i="18"/>
  <c r="L250" i="18" a="1"/>
  <c r="L250" i="18"/>
  <c r="M250" i="18" s="1"/>
  <c r="H250" i="18" a="1"/>
  <c r="H250" i="18"/>
  <c r="G250" i="18" a="1"/>
  <c r="G250" i="18"/>
  <c r="F250" i="18" a="1"/>
  <c r="F250" i="18"/>
  <c r="E250" i="18" a="1"/>
  <c r="E250" i="18"/>
  <c r="D250" i="18" a="1"/>
  <c r="D250" i="18"/>
  <c r="C250" i="18" a="1"/>
  <c r="C250" i="18"/>
  <c r="B250" i="18" a="1"/>
  <c r="B250" i="18"/>
  <c r="N249" i="18" a="1"/>
  <c r="N249" i="18"/>
  <c r="L249" i="18" a="1"/>
  <c r="L249" i="18"/>
  <c r="M249" i="18" s="1"/>
  <c r="H249" i="18" a="1"/>
  <c r="H249" i="18"/>
  <c r="G249" i="18" a="1"/>
  <c r="G249" i="18"/>
  <c r="F249" i="18" a="1"/>
  <c r="F249" i="18"/>
  <c r="E249" i="18" a="1"/>
  <c r="E249" i="18"/>
  <c r="D249" i="18" a="1"/>
  <c r="D249" i="18"/>
  <c r="C249" i="18" a="1"/>
  <c r="C249" i="18"/>
  <c r="B249" i="18" a="1"/>
  <c r="B249" i="18"/>
  <c r="N248" i="18" a="1"/>
  <c r="N248" i="18"/>
  <c r="L248" i="18" a="1"/>
  <c r="L248" i="18"/>
  <c r="M248" i="18" s="1"/>
  <c r="H248" i="18" a="1"/>
  <c r="H248" i="18"/>
  <c r="G248" i="18" a="1"/>
  <c r="G248" i="18"/>
  <c r="F248" i="18" a="1"/>
  <c r="F248" i="18"/>
  <c r="E248" i="18" a="1"/>
  <c r="E248" i="18"/>
  <c r="D248" i="18" a="1"/>
  <c r="D248" i="18"/>
  <c r="C248" i="18" a="1"/>
  <c r="C248" i="18"/>
  <c r="B248" i="18" a="1"/>
  <c r="B248" i="18"/>
  <c r="N247" i="18" a="1"/>
  <c r="N247" i="18"/>
  <c r="L247" i="18" a="1"/>
  <c r="L247" i="18"/>
  <c r="M247" i="18" s="1"/>
  <c r="H247" i="18" a="1"/>
  <c r="H247" i="18"/>
  <c r="G247" i="18" a="1"/>
  <c r="G247" i="18"/>
  <c r="F247" i="18" a="1"/>
  <c r="F247" i="18"/>
  <c r="E247" i="18" a="1"/>
  <c r="E247" i="18"/>
  <c r="D247" i="18" a="1"/>
  <c r="D247" i="18"/>
  <c r="C247" i="18" a="1"/>
  <c r="C247" i="18"/>
  <c r="B247" i="18" a="1"/>
  <c r="B247" i="18"/>
  <c r="N246" i="18" a="1"/>
  <c r="N246" i="18"/>
  <c r="L246" i="18" a="1"/>
  <c r="L246" i="18"/>
  <c r="M246" i="18" s="1"/>
  <c r="H246" i="18" a="1"/>
  <c r="H246" i="18"/>
  <c r="G246" i="18" a="1"/>
  <c r="G246" i="18"/>
  <c r="F246" i="18" a="1"/>
  <c r="F246" i="18"/>
  <c r="E246" i="18" a="1"/>
  <c r="E246" i="18"/>
  <c r="D246" i="18" a="1"/>
  <c r="D246" i="18"/>
  <c r="C246" i="18" a="1"/>
  <c r="C246" i="18"/>
  <c r="B246" i="18" a="1"/>
  <c r="B246" i="18"/>
  <c r="N245" i="18" a="1"/>
  <c r="N245" i="18"/>
  <c r="L245" i="18" a="1"/>
  <c r="L245" i="18"/>
  <c r="M245" i="18" s="1"/>
  <c r="H245" i="18" a="1"/>
  <c r="H245" i="18"/>
  <c r="G245" i="18" a="1"/>
  <c r="G245" i="18"/>
  <c r="F245" i="18" a="1"/>
  <c r="F245" i="18"/>
  <c r="E245" i="18" a="1"/>
  <c r="E245" i="18"/>
  <c r="D245" i="18" a="1"/>
  <c r="D245" i="18"/>
  <c r="C245" i="18" a="1"/>
  <c r="C245" i="18"/>
  <c r="B245" i="18" a="1"/>
  <c r="B245" i="18"/>
  <c r="N244" i="18" a="1"/>
  <c r="N244" i="18"/>
  <c r="L244" i="18" a="1"/>
  <c r="L244" i="18"/>
  <c r="M244" i="18" s="1"/>
  <c r="H244" i="18" a="1"/>
  <c r="H244" i="18"/>
  <c r="G244" i="18" a="1"/>
  <c r="G244" i="18"/>
  <c r="F244" i="18" a="1"/>
  <c r="F244" i="18"/>
  <c r="E244" i="18" a="1"/>
  <c r="E244" i="18"/>
  <c r="D244" i="18" a="1"/>
  <c r="D244" i="18"/>
  <c r="C244" i="18" a="1"/>
  <c r="C244" i="18"/>
  <c r="B244" i="18" a="1"/>
  <c r="B244" i="18"/>
  <c r="N243" i="18" a="1"/>
  <c r="N243" i="18"/>
  <c r="L243" i="18" a="1"/>
  <c r="L243" i="18"/>
  <c r="M243" i="18" s="1"/>
  <c r="H243" i="18" a="1"/>
  <c r="H243" i="18"/>
  <c r="G243" i="18" a="1"/>
  <c r="G243" i="18"/>
  <c r="F243" i="18" a="1"/>
  <c r="F243" i="18"/>
  <c r="E243" i="18" a="1"/>
  <c r="E243" i="18"/>
  <c r="D243" i="18" a="1"/>
  <c r="D243" i="18"/>
  <c r="C243" i="18" a="1"/>
  <c r="C243" i="18"/>
  <c r="B243" i="18" a="1"/>
  <c r="B243" i="18"/>
  <c r="N242" i="18" a="1"/>
  <c r="N242" i="18"/>
  <c r="L242" i="18" a="1"/>
  <c r="L242" i="18"/>
  <c r="M242" i="18" s="1"/>
  <c r="H242" i="18" a="1"/>
  <c r="H242" i="18"/>
  <c r="G242" i="18" a="1"/>
  <c r="G242" i="18"/>
  <c r="F242" i="18" a="1"/>
  <c r="F242" i="18"/>
  <c r="E242" i="18" a="1"/>
  <c r="E242" i="18"/>
  <c r="D242" i="18" a="1"/>
  <c r="D242" i="18"/>
  <c r="C242" i="18" a="1"/>
  <c r="C242" i="18"/>
  <c r="B242" i="18" a="1"/>
  <c r="B242" i="18"/>
  <c r="N241" i="18" a="1"/>
  <c r="N241" i="18"/>
  <c r="L241" i="18" a="1"/>
  <c r="L241" i="18"/>
  <c r="M241" i="18" s="1"/>
  <c r="H241" i="18" a="1"/>
  <c r="H241" i="18"/>
  <c r="G241" i="18" a="1"/>
  <c r="G241" i="18"/>
  <c r="F241" i="18" a="1"/>
  <c r="F241" i="18"/>
  <c r="E241" i="18" a="1"/>
  <c r="E241" i="18"/>
  <c r="D241" i="18" a="1"/>
  <c r="D241" i="18"/>
  <c r="C241" i="18" a="1"/>
  <c r="C241" i="18"/>
  <c r="B241" i="18" a="1"/>
  <c r="B241" i="18"/>
  <c r="N240" i="18" a="1"/>
  <c r="N240" i="18"/>
  <c r="L240" i="18" a="1"/>
  <c r="L240" i="18"/>
  <c r="M240" i="18" s="1"/>
  <c r="H240" i="18" a="1"/>
  <c r="H240" i="18"/>
  <c r="G240" i="18" a="1"/>
  <c r="G240" i="18"/>
  <c r="F240" i="18" a="1"/>
  <c r="F240" i="18"/>
  <c r="E240" i="18" a="1"/>
  <c r="E240" i="18"/>
  <c r="D240" i="18" a="1"/>
  <c r="D240" i="18"/>
  <c r="C240" i="18" a="1"/>
  <c r="C240" i="18"/>
  <c r="B240" i="18" a="1"/>
  <c r="B240" i="18"/>
  <c r="N239" i="18" a="1"/>
  <c r="N239" i="18"/>
  <c r="L239" i="18" a="1"/>
  <c r="L239" i="18"/>
  <c r="M239" i="18" s="1"/>
  <c r="H239" i="18" a="1"/>
  <c r="H239" i="18"/>
  <c r="G239" i="18" a="1"/>
  <c r="G239" i="18"/>
  <c r="F239" i="18" a="1"/>
  <c r="F239" i="18"/>
  <c r="E239" i="18" a="1"/>
  <c r="E239" i="18"/>
  <c r="D239" i="18" a="1"/>
  <c r="D239" i="18"/>
  <c r="C239" i="18" a="1"/>
  <c r="C239" i="18"/>
  <c r="B239" i="18" a="1"/>
  <c r="B239" i="18"/>
  <c r="N238" i="18" a="1"/>
  <c r="N238" i="18"/>
  <c r="L238" i="18" a="1"/>
  <c r="L238" i="18"/>
  <c r="M238" i="18" s="1"/>
  <c r="H238" i="18" a="1"/>
  <c r="H238" i="18"/>
  <c r="G238" i="18" a="1"/>
  <c r="G238" i="18"/>
  <c r="F238" i="18" a="1"/>
  <c r="F238" i="18"/>
  <c r="E238" i="18" a="1"/>
  <c r="E238" i="18"/>
  <c r="D238" i="18" a="1"/>
  <c r="D238" i="18"/>
  <c r="C238" i="18" a="1"/>
  <c r="C238" i="18"/>
  <c r="B238" i="18" a="1"/>
  <c r="B238" i="18"/>
  <c r="N237" i="18" a="1"/>
  <c r="N237" i="18"/>
  <c r="L237" i="18" a="1"/>
  <c r="L237" i="18"/>
  <c r="M237" i="18" s="1"/>
  <c r="H237" i="18" a="1"/>
  <c r="H237" i="18"/>
  <c r="G237" i="18" a="1"/>
  <c r="G237" i="18"/>
  <c r="F237" i="18" a="1"/>
  <c r="F237" i="18"/>
  <c r="E237" i="18" a="1"/>
  <c r="E237" i="18"/>
  <c r="D237" i="18" a="1"/>
  <c r="D237" i="18"/>
  <c r="C237" i="18" a="1"/>
  <c r="C237" i="18"/>
  <c r="B237" i="18" a="1"/>
  <c r="B237" i="18"/>
  <c r="N236" i="18" a="1"/>
  <c r="N236" i="18"/>
  <c r="L236" i="18" a="1"/>
  <c r="L236" i="18"/>
  <c r="M236" i="18" s="1"/>
  <c r="H236" i="18" a="1"/>
  <c r="H236" i="18"/>
  <c r="G236" i="18" a="1"/>
  <c r="G236" i="18"/>
  <c r="F236" i="18" a="1"/>
  <c r="F236" i="18"/>
  <c r="E236" i="18" a="1"/>
  <c r="E236" i="18"/>
  <c r="D236" i="18" a="1"/>
  <c r="D236" i="18"/>
  <c r="C236" i="18" a="1"/>
  <c r="C236" i="18"/>
  <c r="B236" i="18" a="1"/>
  <c r="B236" i="18"/>
  <c r="N235" i="18" a="1"/>
  <c r="N235" i="18"/>
  <c r="L235" i="18" a="1"/>
  <c r="L235" i="18"/>
  <c r="M235" i="18" s="1"/>
  <c r="H235" i="18" a="1"/>
  <c r="H235" i="18"/>
  <c r="G235" i="18" a="1"/>
  <c r="G235" i="18"/>
  <c r="F235" i="18" a="1"/>
  <c r="F235" i="18"/>
  <c r="E235" i="18" a="1"/>
  <c r="E235" i="18"/>
  <c r="D235" i="18" a="1"/>
  <c r="D235" i="18"/>
  <c r="C235" i="18" a="1"/>
  <c r="C235" i="18"/>
  <c r="B235" i="18" a="1"/>
  <c r="B235" i="18"/>
  <c r="N234" i="18" a="1"/>
  <c r="N234" i="18"/>
  <c r="L234" i="18" a="1"/>
  <c r="L234" i="18"/>
  <c r="M234" i="18" s="1"/>
  <c r="H234" i="18" a="1"/>
  <c r="H234" i="18"/>
  <c r="G234" i="18" a="1"/>
  <c r="G234" i="18"/>
  <c r="F234" i="18" a="1"/>
  <c r="F234" i="18"/>
  <c r="E234" i="18" a="1"/>
  <c r="E234" i="18"/>
  <c r="D234" i="18" a="1"/>
  <c r="D234" i="18"/>
  <c r="C234" i="18" a="1"/>
  <c r="C234" i="18"/>
  <c r="B234" i="18" a="1"/>
  <c r="B234" i="18"/>
  <c r="N233" i="18" a="1"/>
  <c r="N233" i="18"/>
  <c r="L233" i="18" a="1"/>
  <c r="L233" i="18"/>
  <c r="M233" i="18" s="1"/>
  <c r="H233" i="18" a="1"/>
  <c r="H233" i="18"/>
  <c r="G233" i="18" a="1"/>
  <c r="G233" i="18"/>
  <c r="F233" i="18" a="1"/>
  <c r="F233" i="18"/>
  <c r="E233" i="18" a="1"/>
  <c r="E233" i="18"/>
  <c r="D233" i="18" a="1"/>
  <c r="D233" i="18"/>
  <c r="C233" i="18" a="1"/>
  <c r="C233" i="18"/>
  <c r="B233" i="18" a="1"/>
  <c r="B233" i="18"/>
  <c r="N232" i="18" a="1"/>
  <c r="N232" i="18"/>
  <c r="L232" i="18" a="1"/>
  <c r="L232" i="18"/>
  <c r="M232" i="18" s="1"/>
  <c r="H232" i="18" a="1"/>
  <c r="H232" i="18"/>
  <c r="G232" i="18" a="1"/>
  <c r="G232" i="18"/>
  <c r="F232" i="18" a="1"/>
  <c r="F232" i="18"/>
  <c r="E232" i="18" a="1"/>
  <c r="E232" i="18"/>
  <c r="D232" i="18" a="1"/>
  <c r="D232" i="18"/>
  <c r="C232" i="18" a="1"/>
  <c r="C232" i="18"/>
  <c r="B232" i="18" a="1"/>
  <c r="B232" i="18"/>
  <c r="N231" i="18" a="1"/>
  <c r="N231" i="18"/>
  <c r="L231" i="18" a="1"/>
  <c r="L231" i="18"/>
  <c r="M231" i="18" s="1"/>
  <c r="H231" i="18" a="1"/>
  <c r="H231" i="18"/>
  <c r="G231" i="18" a="1"/>
  <c r="G231" i="18"/>
  <c r="F231" i="18" a="1"/>
  <c r="F231" i="18"/>
  <c r="E231" i="18" a="1"/>
  <c r="E231" i="18"/>
  <c r="D231" i="18" a="1"/>
  <c r="D231" i="18"/>
  <c r="C231" i="18" a="1"/>
  <c r="C231" i="18"/>
  <c r="B231" i="18" a="1"/>
  <c r="B231" i="18"/>
  <c r="N230" i="18" a="1"/>
  <c r="N230" i="18"/>
  <c r="L230" i="18" a="1"/>
  <c r="L230" i="18"/>
  <c r="M230" i="18" s="1"/>
  <c r="H230" i="18" a="1"/>
  <c r="H230" i="18"/>
  <c r="G230" i="18" a="1"/>
  <c r="G230" i="18"/>
  <c r="F230" i="18" a="1"/>
  <c r="F230" i="18"/>
  <c r="E230" i="18" a="1"/>
  <c r="E230" i="18"/>
  <c r="D230" i="18" a="1"/>
  <c r="D230" i="18"/>
  <c r="C230" i="18" a="1"/>
  <c r="C230" i="18"/>
  <c r="B230" i="18" a="1"/>
  <c r="B230" i="18"/>
  <c r="N229" i="18" a="1"/>
  <c r="N229" i="18"/>
  <c r="L229" i="18" a="1"/>
  <c r="L229" i="18"/>
  <c r="M229" i="18" s="1"/>
  <c r="H229" i="18" a="1"/>
  <c r="H229" i="18"/>
  <c r="G229" i="18" a="1"/>
  <c r="G229" i="18"/>
  <c r="F229" i="18" a="1"/>
  <c r="F229" i="18"/>
  <c r="E229" i="18" a="1"/>
  <c r="E229" i="18"/>
  <c r="D229" i="18" a="1"/>
  <c r="D229" i="18"/>
  <c r="C229" i="18" a="1"/>
  <c r="C229" i="18"/>
  <c r="B229" i="18" a="1"/>
  <c r="B229" i="18"/>
  <c r="N228" i="18" a="1"/>
  <c r="N228" i="18"/>
  <c r="L228" i="18" a="1"/>
  <c r="L228" i="18"/>
  <c r="M228" i="18" s="1"/>
  <c r="H228" i="18" a="1"/>
  <c r="H228" i="18"/>
  <c r="G228" i="18" a="1"/>
  <c r="G228" i="18"/>
  <c r="F228" i="18" a="1"/>
  <c r="F228" i="18"/>
  <c r="E228" i="18" a="1"/>
  <c r="E228" i="18"/>
  <c r="D228" i="18" a="1"/>
  <c r="D228" i="18"/>
  <c r="C228" i="18" a="1"/>
  <c r="C228" i="18"/>
  <c r="B228" i="18" a="1"/>
  <c r="B228" i="18"/>
  <c r="N227" i="18" a="1"/>
  <c r="N227" i="18"/>
  <c r="L227" i="18" a="1"/>
  <c r="L227" i="18"/>
  <c r="M227" i="18" s="1"/>
  <c r="H227" i="18" a="1"/>
  <c r="H227" i="18"/>
  <c r="G227" i="18" a="1"/>
  <c r="G227" i="18"/>
  <c r="F227" i="18" a="1"/>
  <c r="F227" i="18"/>
  <c r="E227" i="18" a="1"/>
  <c r="E227" i="18"/>
  <c r="D227" i="18" a="1"/>
  <c r="D227" i="18"/>
  <c r="C227" i="18" a="1"/>
  <c r="C227" i="18"/>
  <c r="B227" i="18" a="1"/>
  <c r="B227" i="18"/>
  <c r="N226" i="18" a="1"/>
  <c r="N226" i="18"/>
  <c r="L226" i="18" a="1"/>
  <c r="L226" i="18"/>
  <c r="M226" i="18" s="1"/>
  <c r="H226" i="18" a="1"/>
  <c r="H226" i="18"/>
  <c r="G226" i="18" a="1"/>
  <c r="G226" i="18"/>
  <c r="F226" i="18" a="1"/>
  <c r="F226" i="18"/>
  <c r="E226" i="18" a="1"/>
  <c r="E226" i="18"/>
  <c r="D226" i="18" a="1"/>
  <c r="D226" i="18"/>
  <c r="C226" i="18" a="1"/>
  <c r="C226" i="18"/>
  <c r="B226" i="18" a="1"/>
  <c r="B226" i="18"/>
  <c r="N225" i="18" a="1"/>
  <c r="N225" i="18"/>
  <c r="L225" i="18" a="1"/>
  <c r="L225" i="18"/>
  <c r="M225" i="18" s="1"/>
  <c r="H225" i="18" a="1"/>
  <c r="H225" i="18"/>
  <c r="G225" i="18" a="1"/>
  <c r="G225" i="18"/>
  <c r="F225" i="18" a="1"/>
  <c r="F225" i="18"/>
  <c r="E225" i="18" a="1"/>
  <c r="E225" i="18"/>
  <c r="D225" i="18" a="1"/>
  <c r="D225" i="18"/>
  <c r="C225" i="18" a="1"/>
  <c r="C225" i="18"/>
  <c r="B225" i="18" a="1"/>
  <c r="B225" i="18"/>
  <c r="N224" i="18" a="1"/>
  <c r="N224" i="18"/>
  <c r="L224" i="18" a="1"/>
  <c r="L224" i="18"/>
  <c r="M224" i="18" s="1"/>
  <c r="H224" i="18" a="1"/>
  <c r="H224" i="18"/>
  <c r="G224" i="18" a="1"/>
  <c r="G224" i="18"/>
  <c r="F224" i="18" a="1"/>
  <c r="F224" i="18"/>
  <c r="E224" i="18" a="1"/>
  <c r="E224" i="18"/>
  <c r="D224" i="18" a="1"/>
  <c r="D224" i="18"/>
  <c r="C224" i="18" a="1"/>
  <c r="C224" i="18"/>
  <c r="B224" i="18" a="1"/>
  <c r="B224" i="18"/>
  <c r="N223" i="18" a="1"/>
  <c r="N223" i="18"/>
  <c r="L223" i="18" a="1"/>
  <c r="L223" i="18"/>
  <c r="M223" i="18" s="1"/>
  <c r="H223" i="18" a="1"/>
  <c r="H223" i="18"/>
  <c r="G223" i="18" a="1"/>
  <c r="G223" i="18"/>
  <c r="F223" i="18" a="1"/>
  <c r="F223" i="18"/>
  <c r="E223" i="18" a="1"/>
  <c r="E223" i="18"/>
  <c r="D223" i="18" a="1"/>
  <c r="D223" i="18"/>
  <c r="C223" i="18" a="1"/>
  <c r="C223" i="18"/>
  <c r="B223" i="18" a="1"/>
  <c r="B223" i="18"/>
  <c r="N222" i="18" a="1"/>
  <c r="N222" i="18"/>
  <c r="L222" i="18" a="1"/>
  <c r="L222" i="18"/>
  <c r="M222" i="18" s="1"/>
  <c r="H222" i="18" a="1"/>
  <c r="H222" i="18"/>
  <c r="G222" i="18" a="1"/>
  <c r="G222" i="18"/>
  <c r="F222" i="18" a="1"/>
  <c r="F222" i="18"/>
  <c r="E222" i="18" a="1"/>
  <c r="E222" i="18"/>
  <c r="D222" i="18" a="1"/>
  <c r="D222" i="18"/>
  <c r="C222" i="18" a="1"/>
  <c r="C222" i="18"/>
  <c r="B222" i="18" a="1"/>
  <c r="B222" i="18"/>
  <c r="N221" i="18" a="1"/>
  <c r="N221" i="18"/>
  <c r="L221" i="18" a="1"/>
  <c r="L221" i="18"/>
  <c r="M221" i="18" s="1"/>
  <c r="H221" i="18" a="1"/>
  <c r="H221" i="18"/>
  <c r="G221" i="18" a="1"/>
  <c r="G221" i="18"/>
  <c r="F221" i="18" a="1"/>
  <c r="F221" i="18"/>
  <c r="E221" i="18" a="1"/>
  <c r="E221" i="18"/>
  <c r="D221" i="18" a="1"/>
  <c r="D221" i="18"/>
  <c r="C221" i="18" a="1"/>
  <c r="C221" i="18"/>
  <c r="B221" i="18" a="1"/>
  <c r="B221" i="18"/>
  <c r="N220" i="18" a="1"/>
  <c r="N220" i="18"/>
  <c r="L220" i="18" a="1"/>
  <c r="L220" i="18"/>
  <c r="M220" i="18" s="1"/>
  <c r="H220" i="18" a="1"/>
  <c r="H220" i="18"/>
  <c r="G220" i="18" a="1"/>
  <c r="G220" i="18"/>
  <c r="F220" i="18" a="1"/>
  <c r="F220" i="18"/>
  <c r="E220" i="18" a="1"/>
  <c r="E220" i="18"/>
  <c r="D220" i="18" a="1"/>
  <c r="D220" i="18"/>
  <c r="C220" i="18" a="1"/>
  <c r="C220" i="18"/>
  <c r="B220" i="18" a="1"/>
  <c r="B220" i="18"/>
  <c r="N219" i="18" a="1"/>
  <c r="N219" i="18"/>
  <c r="L219" i="18" a="1"/>
  <c r="L219" i="18"/>
  <c r="M219" i="18" s="1"/>
  <c r="H219" i="18" a="1"/>
  <c r="H219" i="18"/>
  <c r="G219" i="18" a="1"/>
  <c r="G219" i="18"/>
  <c r="F219" i="18" a="1"/>
  <c r="F219" i="18"/>
  <c r="E219" i="18" a="1"/>
  <c r="E219" i="18"/>
  <c r="D219" i="18" a="1"/>
  <c r="D219" i="18"/>
  <c r="C219" i="18" a="1"/>
  <c r="C219" i="18"/>
  <c r="B219" i="18" a="1"/>
  <c r="B219" i="18"/>
  <c r="N218" i="18" a="1"/>
  <c r="N218" i="18"/>
  <c r="L218" i="18" a="1"/>
  <c r="L218" i="18"/>
  <c r="M218" i="18" s="1"/>
  <c r="H218" i="18" a="1"/>
  <c r="H218" i="18"/>
  <c r="G218" i="18" a="1"/>
  <c r="G218" i="18"/>
  <c r="F218" i="18" a="1"/>
  <c r="F218" i="18"/>
  <c r="E218" i="18" a="1"/>
  <c r="E218" i="18"/>
  <c r="D218" i="18" a="1"/>
  <c r="D218" i="18"/>
  <c r="C218" i="18" a="1"/>
  <c r="C218" i="18"/>
  <c r="B218" i="18" a="1"/>
  <c r="B218" i="18"/>
  <c r="N217" i="18" a="1"/>
  <c r="N217" i="18"/>
  <c r="L217" i="18" a="1"/>
  <c r="L217" i="18"/>
  <c r="M217" i="18" s="1"/>
  <c r="H217" i="18" a="1"/>
  <c r="H217" i="18"/>
  <c r="G217" i="18" a="1"/>
  <c r="G217" i="18"/>
  <c r="F217" i="18" a="1"/>
  <c r="F217" i="18"/>
  <c r="E217" i="18" a="1"/>
  <c r="E217" i="18"/>
  <c r="D217" i="18" a="1"/>
  <c r="D217" i="18"/>
  <c r="C217" i="18" a="1"/>
  <c r="C217" i="18"/>
  <c r="B217" i="18" a="1"/>
  <c r="B217" i="18"/>
  <c r="N216" i="18" a="1"/>
  <c r="N216" i="18"/>
  <c r="L216" i="18" a="1"/>
  <c r="L216" i="18"/>
  <c r="M216" i="18" s="1"/>
  <c r="H216" i="18" a="1"/>
  <c r="H216" i="18"/>
  <c r="G216" i="18" a="1"/>
  <c r="G216" i="18"/>
  <c r="F216" i="18" a="1"/>
  <c r="F216" i="18"/>
  <c r="E216" i="18" a="1"/>
  <c r="E216" i="18"/>
  <c r="D216" i="18" a="1"/>
  <c r="D216" i="18"/>
  <c r="C216" i="18" a="1"/>
  <c r="C216" i="18"/>
  <c r="B216" i="18" a="1"/>
  <c r="B216" i="18"/>
  <c r="N215" i="18" a="1"/>
  <c r="N215" i="18"/>
  <c r="L215" i="18" a="1"/>
  <c r="L215" i="18"/>
  <c r="M215" i="18" s="1"/>
  <c r="H215" i="18" a="1"/>
  <c r="H215" i="18"/>
  <c r="G215" i="18" a="1"/>
  <c r="G215" i="18"/>
  <c r="F215" i="18" a="1"/>
  <c r="F215" i="18"/>
  <c r="E215" i="18" a="1"/>
  <c r="E215" i="18"/>
  <c r="D215" i="18" a="1"/>
  <c r="D215" i="18"/>
  <c r="C215" i="18" a="1"/>
  <c r="C215" i="18"/>
  <c r="B215" i="18" a="1"/>
  <c r="B215" i="18"/>
  <c r="N214" i="18" a="1"/>
  <c r="N214" i="18"/>
  <c r="L214" i="18" a="1"/>
  <c r="L214" i="18"/>
  <c r="M214" i="18" s="1"/>
  <c r="H214" i="18" a="1"/>
  <c r="H214" i="18"/>
  <c r="G214" i="18" a="1"/>
  <c r="G214" i="18"/>
  <c r="F214" i="18" a="1"/>
  <c r="F214" i="18"/>
  <c r="E214" i="18" a="1"/>
  <c r="E214" i="18"/>
  <c r="D214" i="18" a="1"/>
  <c r="D214" i="18"/>
  <c r="C214" i="18" a="1"/>
  <c r="C214" i="18"/>
  <c r="B214" i="18" a="1"/>
  <c r="B214" i="18"/>
  <c r="N213" i="18" a="1"/>
  <c r="N213" i="18"/>
  <c r="L213" i="18" a="1"/>
  <c r="L213" i="18"/>
  <c r="M213" i="18" s="1"/>
  <c r="H213" i="18" a="1"/>
  <c r="H213" i="18"/>
  <c r="G213" i="18" a="1"/>
  <c r="G213" i="18"/>
  <c r="F213" i="18" a="1"/>
  <c r="F213" i="18"/>
  <c r="E213" i="18" a="1"/>
  <c r="E213" i="18"/>
  <c r="D213" i="18" a="1"/>
  <c r="D213" i="18"/>
  <c r="C213" i="18" a="1"/>
  <c r="C213" i="18"/>
  <c r="B213" i="18" a="1"/>
  <c r="B213" i="18"/>
  <c r="N212" i="18" a="1"/>
  <c r="N212" i="18"/>
  <c r="L212" i="18" a="1"/>
  <c r="L212" i="18"/>
  <c r="M212" i="18" s="1"/>
  <c r="H212" i="18" a="1"/>
  <c r="H212" i="18"/>
  <c r="G212" i="18" a="1"/>
  <c r="G212" i="18"/>
  <c r="F212" i="18" a="1"/>
  <c r="F212" i="18"/>
  <c r="E212" i="18" a="1"/>
  <c r="E212" i="18"/>
  <c r="D212" i="18" a="1"/>
  <c r="D212" i="18"/>
  <c r="C212" i="18" a="1"/>
  <c r="C212" i="18"/>
  <c r="B212" i="18" a="1"/>
  <c r="B212" i="18"/>
  <c r="N211" i="18" a="1"/>
  <c r="N211" i="18"/>
  <c r="L211" i="18" a="1"/>
  <c r="L211" i="18"/>
  <c r="M211" i="18" s="1"/>
  <c r="H211" i="18" a="1"/>
  <c r="H211" i="18"/>
  <c r="G211" i="18" a="1"/>
  <c r="G211" i="18"/>
  <c r="F211" i="18" a="1"/>
  <c r="F211" i="18"/>
  <c r="E211" i="18" a="1"/>
  <c r="E211" i="18"/>
  <c r="D211" i="18" a="1"/>
  <c r="D211" i="18"/>
  <c r="C211" i="18" a="1"/>
  <c r="C211" i="18"/>
  <c r="B211" i="18" a="1"/>
  <c r="B211" i="18"/>
  <c r="N210" i="18" a="1"/>
  <c r="N210" i="18"/>
  <c r="L210" i="18" a="1"/>
  <c r="L210" i="18"/>
  <c r="M210" i="18" s="1"/>
  <c r="H210" i="18" a="1"/>
  <c r="H210" i="18"/>
  <c r="G210" i="18" a="1"/>
  <c r="G210" i="18"/>
  <c r="F210" i="18" a="1"/>
  <c r="F210" i="18"/>
  <c r="E210" i="18" a="1"/>
  <c r="E210" i="18"/>
  <c r="D210" i="18" a="1"/>
  <c r="D210" i="18"/>
  <c r="C210" i="18" a="1"/>
  <c r="C210" i="18"/>
  <c r="B210" i="18" a="1"/>
  <c r="B210" i="18"/>
  <c r="N209" i="18" a="1"/>
  <c r="N209" i="18"/>
  <c r="L209" i="18" a="1"/>
  <c r="L209" i="18"/>
  <c r="M209" i="18" s="1"/>
  <c r="H209" i="18" a="1"/>
  <c r="H209" i="18"/>
  <c r="G209" i="18" a="1"/>
  <c r="G209" i="18"/>
  <c r="F209" i="18" a="1"/>
  <c r="F209" i="18"/>
  <c r="E209" i="18" a="1"/>
  <c r="E209" i="18"/>
  <c r="D209" i="18" a="1"/>
  <c r="D209" i="18"/>
  <c r="C209" i="18" a="1"/>
  <c r="C209" i="18"/>
  <c r="B209" i="18" a="1"/>
  <c r="B209" i="18"/>
  <c r="N208" i="18" a="1"/>
  <c r="N208" i="18"/>
  <c r="L208" i="18" a="1"/>
  <c r="L208" i="18"/>
  <c r="M208" i="18" s="1"/>
  <c r="H208" i="18" a="1"/>
  <c r="H208" i="18"/>
  <c r="G208" i="18" a="1"/>
  <c r="G208" i="18"/>
  <c r="F208" i="18" a="1"/>
  <c r="F208" i="18"/>
  <c r="E208" i="18" a="1"/>
  <c r="E208" i="18"/>
  <c r="D208" i="18" a="1"/>
  <c r="D208" i="18"/>
  <c r="C208" i="18" a="1"/>
  <c r="C208" i="18"/>
  <c r="B208" i="18" a="1"/>
  <c r="B208" i="18"/>
  <c r="N207" i="18" a="1"/>
  <c r="N207" i="18"/>
  <c r="L207" i="18" a="1"/>
  <c r="L207" i="18"/>
  <c r="M207" i="18" s="1"/>
  <c r="H207" i="18" a="1"/>
  <c r="H207" i="18"/>
  <c r="G207" i="18" a="1"/>
  <c r="G207" i="18"/>
  <c r="F207" i="18" a="1"/>
  <c r="F207" i="18"/>
  <c r="E207" i="18" a="1"/>
  <c r="E207" i="18"/>
  <c r="D207" i="18" a="1"/>
  <c r="D207" i="18"/>
  <c r="C207" i="18" a="1"/>
  <c r="C207" i="18"/>
  <c r="B207" i="18" a="1"/>
  <c r="B207" i="18"/>
  <c r="N206" i="18" a="1"/>
  <c r="N206" i="18"/>
  <c r="L206" i="18" a="1"/>
  <c r="L206" i="18"/>
  <c r="M206" i="18" s="1"/>
  <c r="H206" i="18" a="1"/>
  <c r="H206" i="18"/>
  <c r="G206" i="18" a="1"/>
  <c r="G206" i="18"/>
  <c r="F206" i="18" a="1"/>
  <c r="F206" i="18"/>
  <c r="E206" i="18" a="1"/>
  <c r="E206" i="18"/>
  <c r="D206" i="18" a="1"/>
  <c r="D206" i="18"/>
  <c r="C206" i="18" a="1"/>
  <c r="C206" i="18"/>
  <c r="B206" i="18" a="1"/>
  <c r="B206" i="18"/>
  <c r="N205" i="18" a="1"/>
  <c r="N205" i="18"/>
  <c r="L205" i="18" a="1"/>
  <c r="L205" i="18"/>
  <c r="M205" i="18" s="1"/>
  <c r="H205" i="18" a="1"/>
  <c r="H205" i="18"/>
  <c r="G205" i="18" a="1"/>
  <c r="G205" i="18"/>
  <c r="F205" i="18" a="1"/>
  <c r="F205" i="18"/>
  <c r="E205" i="18" a="1"/>
  <c r="E205" i="18"/>
  <c r="D205" i="18" a="1"/>
  <c r="D205" i="18"/>
  <c r="C205" i="18" a="1"/>
  <c r="C205" i="18"/>
  <c r="B205" i="18" a="1"/>
  <c r="B205" i="18"/>
  <c r="N204" i="18" a="1"/>
  <c r="N204" i="18"/>
  <c r="L204" i="18" a="1"/>
  <c r="L204" i="18"/>
  <c r="M204" i="18" s="1"/>
  <c r="H204" i="18" a="1"/>
  <c r="H204" i="18"/>
  <c r="G204" i="18" a="1"/>
  <c r="G204" i="18"/>
  <c r="F204" i="18" a="1"/>
  <c r="F204" i="18"/>
  <c r="E204" i="18" a="1"/>
  <c r="E204" i="18"/>
  <c r="D204" i="18" a="1"/>
  <c r="D204" i="18"/>
  <c r="C204" i="18" a="1"/>
  <c r="C204" i="18"/>
  <c r="B204" i="18" a="1"/>
  <c r="B204" i="18"/>
  <c r="N203" i="18" a="1"/>
  <c r="N203" i="18"/>
  <c r="L203" i="18" a="1"/>
  <c r="L203" i="18"/>
  <c r="M203" i="18" s="1"/>
  <c r="H203" i="18" a="1"/>
  <c r="H203" i="18"/>
  <c r="G203" i="18" a="1"/>
  <c r="G203" i="18"/>
  <c r="F203" i="18" a="1"/>
  <c r="F203" i="18"/>
  <c r="E203" i="18" a="1"/>
  <c r="E203" i="18"/>
  <c r="D203" i="18" a="1"/>
  <c r="D203" i="18"/>
  <c r="C203" i="18" a="1"/>
  <c r="C203" i="18"/>
  <c r="B203" i="18" a="1"/>
  <c r="B203" i="18"/>
  <c r="N202" i="18" a="1"/>
  <c r="N202" i="18"/>
  <c r="L202" i="18" a="1"/>
  <c r="L202" i="18"/>
  <c r="M202" i="18" s="1"/>
  <c r="H202" i="18" a="1"/>
  <c r="H202" i="18"/>
  <c r="G202" i="18" a="1"/>
  <c r="G202" i="18"/>
  <c r="F202" i="18" a="1"/>
  <c r="F202" i="18"/>
  <c r="E202" i="18" a="1"/>
  <c r="E202" i="18"/>
  <c r="D202" i="18" a="1"/>
  <c r="D202" i="18"/>
  <c r="C202" i="18" a="1"/>
  <c r="C202" i="18"/>
  <c r="B202" i="18" a="1"/>
  <c r="B202" i="18"/>
  <c r="N201" i="18" a="1"/>
  <c r="N201" i="18"/>
  <c r="L201" i="18" a="1"/>
  <c r="L201" i="18"/>
  <c r="M201" i="18" s="1"/>
  <c r="H201" i="18" a="1"/>
  <c r="H201" i="18"/>
  <c r="G201" i="18" a="1"/>
  <c r="G201" i="18"/>
  <c r="F201" i="18" a="1"/>
  <c r="F201" i="18"/>
  <c r="E201" i="18" a="1"/>
  <c r="E201" i="18"/>
  <c r="D201" i="18" a="1"/>
  <c r="D201" i="18"/>
  <c r="C201" i="18" a="1"/>
  <c r="C201" i="18"/>
  <c r="B201" i="18" a="1"/>
  <c r="B201" i="18"/>
  <c r="N200" i="18" a="1"/>
  <c r="N200" i="18"/>
  <c r="L200" i="18" a="1"/>
  <c r="L200" i="18"/>
  <c r="M200" i="18" s="1"/>
  <c r="H200" i="18" a="1"/>
  <c r="H200" i="18"/>
  <c r="G200" i="18" a="1"/>
  <c r="G200" i="18"/>
  <c r="F200" i="18" a="1"/>
  <c r="F200" i="18"/>
  <c r="E200" i="18" a="1"/>
  <c r="E200" i="18"/>
  <c r="D200" i="18" a="1"/>
  <c r="D200" i="18"/>
  <c r="C200" i="18" a="1"/>
  <c r="C200" i="18"/>
  <c r="B200" i="18" a="1"/>
  <c r="B200" i="18"/>
  <c r="N199" i="18" a="1"/>
  <c r="N199" i="18"/>
  <c r="L199" i="18" a="1"/>
  <c r="L199" i="18"/>
  <c r="M199" i="18" s="1"/>
  <c r="H199" i="18" a="1"/>
  <c r="H199" i="18"/>
  <c r="G199" i="18" a="1"/>
  <c r="G199" i="18"/>
  <c r="F199" i="18" a="1"/>
  <c r="F199" i="18"/>
  <c r="E199" i="18" a="1"/>
  <c r="E199" i="18"/>
  <c r="D199" i="18" a="1"/>
  <c r="D199" i="18"/>
  <c r="C199" i="18" a="1"/>
  <c r="C199" i="18"/>
  <c r="B199" i="18" a="1"/>
  <c r="B199" i="18"/>
  <c r="N198" i="18" a="1"/>
  <c r="N198" i="18"/>
  <c r="L198" i="18" a="1"/>
  <c r="L198" i="18"/>
  <c r="M198" i="18" s="1"/>
  <c r="H198" i="18" a="1"/>
  <c r="H198" i="18"/>
  <c r="G198" i="18" a="1"/>
  <c r="G198" i="18"/>
  <c r="F198" i="18" a="1"/>
  <c r="F198" i="18"/>
  <c r="E198" i="18" a="1"/>
  <c r="E198" i="18"/>
  <c r="D198" i="18" a="1"/>
  <c r="D198" i="18"/>
  <c r="C198" i="18" a="1"/>
  <c r="C198" i="18"/>
  <c r="B198" i="18" a="1"/>
  <c r="B198" i="18"/>
  <c r="N197" i="18" a="1"/>
  <c r="N197" i="18"/>
  <c r="L197" i="18" a="1"/>
  <c r="L197" i="18"/>
  <c r="M197" i="18" s="1"/>
  <c r="H197" i="18" a="1"/>
  <c r="H197" i="18"/>
  <c r="G197" i="18" a="1"/>
  <c r="G197" i="18"/>
  <c r="F197" i="18" a="1"/>
  <c r="F197" i="18"/>
  <c r="E197" i="18" a="1"/>
  <c r="E197" i="18"/>
  <c r="D197" i="18" a="1"/>
  <c r="D197" i="18"/>
  <c r="C197" i="18" a="1"/>
  <c r="C197" i="18"/>
  <c r="B197" i="18" a="1"/>
  <c r="B197" i="18"/>
  <c r="N196" i="18" a="1"/>
  <c r="N196" i="18"/>
  <c r="L196" i="18" a="1"/>
  <c r="L196" i="18"/>
  <c r="M196" i="18" s="1"/>
  <c r="H196" i="18" a="1"/>
  <c r="H196" i="18"/>
  <c r="G196" i="18" a="1"/>
  <c r="G196" i="18"/>
  <c r="F196" i="18" a="1"/>
  <c r="F196" i="18"/>
  <c r="E196" i="18" a="1"/>
  <c r="E196" i="18"/>
  <c r="D196" i="18" a="1"/>
  <c r="D196" i="18"/>
  <c r="C196" i="18" a="1"/>
  <c r="C196" i="18"/>
  <c r="B196" i="18" a="1"/>
  <c r="B196" i="18"/>
  <c r="N195" i="18" a="1"/>
  <c r="N195" i="18"/>
  <c r="L195" i="18" a="1"/>
  <c r="L195" i="18"/>
  <c r="M195" i="18" s="1"/>
  <c r="H195" i="18" a="1"/>
  <c r="H195" i="18"/>
  <c r="G195" i="18" a="1"/>
  <c r="G195" i="18"/>
  <c r="F195" i="18" a="1"/>
  <c r="F195" i="18"/>
  <c r="E195" i="18" a="1"/>
  <c r="E195" i="18"/>
  <c r="D195" i="18" a="1"/>
  <c r="D195" i="18"/>
  <c r="C195" i="18" a="1"/>
  <c r="C195" i="18"/>
  <c r="B195" i="18" a="1"/>
  <c r="B195" i="18"/>
  <c r="N194" i="18" a="1"/>
  <c r="N194" i="18"/>
  <c r="L194" i="18" a="1"/>
  <c r="L194" i="18"/>
  <c r="M194" i="18" s="1"/>
  <c r="H194" i="18" a="1"/>
  <c r="H194" i="18"/>
  <c r="G194" i="18" a="1"/>
  <c r="G194" i="18"/>
  <c r="F194" i="18" a="1"/>
  <c r="F194" i="18"/>
  <c r="E194" i="18" a="1"/>
  <c r="E194" i="18"/>
  <c r="D194" i="18" a="1"/>
  <c r="D194" i="18"/>
  <c r="C194" i="18" a="1"/>
  <c r="C194" i="18"/>
  <c r="B194" i="18" a="1"/>
  <c r="B194" i="18"/>
  <c r="N193" i="18" a="1"/>
  <c r="N193" i="18"/>
  <c r="L193" i="18" a="1"/>
  <c r="L193" i="18"/>
  <c r="M193" i="18" s="1"/>
  <c r="H193" i="18" a="1"/>
  <c r="H193" i="18"/>
  <c r="G193" i="18" a="1"/>
  <c r="G193" i="18"/>
  <c r="F193" i="18" a="1"/>
  <c r="F193" i="18"/>
  <c r="E193" i="18" a="1"/>
  <c r="E193" i="18"/>
  <c r="D193" i="18" a="1"/>
  <c r="D193" i="18"/>
  <c r="C193" i="18" a="1"/>
  <c r="C193" i="18"/>
  <c r="B193" i="18" a="1"/>
  <c r="B193" i="18"/>
  <c r="N192" i="18" a="1"/>
  <c r="N192" i="18"/>
  <c r="L192" i="18" a="1"/>
  <c r="L192" i="18"/>
  <c r="M192" i="18" s="1"/>
  <c r="H192" i="18" a="1"/>
  <c r="H192" i="18"/>
  <c r="G192" i="18" a="1"/>
  <c r="G192" i="18"/>
  <c r="F192" i="18" a="1"/>
  <c r="F192" i="18"/>
  <c r="E192" i="18" a="1"/>
  <c r="E192" i="18"/>
  <c r="D192" i="18" a="1"/>
  <c r="D192" i="18"/>
  <c r="C192" i="18" a="1"/>
  <c r="C192" i="18"/>
  <c r="B192" i="18" a="1"/>
  <c r="B192" i="18"/>
  <c r="N191" i="18" a="1"/>
  <c r="N191" i="18"/>
  <c r="L191" i="18" a="1"/>
  <c r="L191" i="18"/>
  <c r="M191" i="18" s="1"/>
  <c r="H191" i="18" a="1"/>
  <c r="H191" i="18"/>
  <c r="G191" i="18" a="1"/>
  <c r="G191" i="18"/>
  <c r="F191" i="18" a="1"/>
  <c r="F191" i="18"/>
  <c r="E191" i="18" a="1"/>
  <c r="E191" i="18"/>
  <c r="D191" i="18" a="1"/>
  <c r="D191" i="18"/>
  <c r="C191" i="18" a="1"/>
  <c r="C191" i="18"/>
  <c r="B191" i="18" a="1"/>
  <c r="B191" i="18"/>
  <c r="N190" i="18" a="1"/>
  <c r="N190" i="18"/>
  <c r="L190" i="18" a="1"/>
  <c r="L190" i="18"/>
  <c r="M190" i="18" s="1"/>
  <c r="H190" i="18" a="1"/>
  <c r="H190" i="18"/>
  <c r="G190" i="18" a="1"/>
  <c r="G190" i="18"/>
  <c r="F190" i="18" a="1"/>
  <c r="F190" i="18"/>
  <c r="E190" i="18" a="1"/>
  <c r="E190" i="18"/>
  <c r="D190" i="18" a="1"/>
  <c r="D190" i="18"/>
  <c r="C190" i="18" a="1"/>
  <c r="C190" i="18"/>
  <c r="B190" i="18" a="1"/>
  <c r="B190" i="18"/>
  <c r="N189" i="18" a="1"/>
  <c r="N189" i="18"/>
  <c r="L189" i="18" a="1"/>
  <c r="L189" i="18"/>
  <c r="M189" i="18" s="1"/>
  <c r="H189" i="18" a="1"/>
  <c r="H189" i="18"/>
  <c r="G189" i="18" a="1"/>
  <c r="G189" i="18"/>
  <c r="F189" i="18" a="1"/>
  <c r="F189" i="18"/>
  <c r="E189" i="18" a="1"/>
  <c r="E189" i="18"/>
  <c r="D189" i="18" a="1"/>
  <c r="D189" i="18"/>
  <c r="C189" i="18" a="1"/>
  <c r="C189" i="18"/>
  <c r="B189" i="18" a="1"/>
  <c r="B189" i="18"/>
  <c r="N188" i="18" a="1"/>
  <c r="N188" i="18"/>
  <c r="L188" i="18" a="1"/>
  <c r="L188" i="18"/>
  <c r="M188" i="18" s="1"/>
  <c r="H188" i="18" a="1"/>
  <c r="H188" i="18"/>
  <c r="G188" i="18" a="1"/>
  <c r="G188" i="18"/>
  <c r="F188" i="18" a="1"/>
  <c r="F188" i="18"/>
  <c r="E188" i="18" a="1"/>
  <c r="E188" i="18"/>
  <c r="D188" i="18" a="1"/>
  <c r="D188" i="18"/>
  <c r="C188" i="18" a="1"/>
  <c r="C188" i="18"/>
  <c r="B188" i="18" a="1"/>
  <c r="B188" i="18"/>
  <c r="N187" i="18" a="1"/>
  <c r="N187" i="18"/>
  <c r="L187" i="18" a="1"/>
  <c r="L187" i="18"/>
  <c r="M187" i="18" s="1"/>
  <c r="H187" i="18" a="1"/>
  <c r="H187" i="18"/>
  <c r="G187" i="18" a="1"/>
  <c r="G187" i="18"/>
  <c r="F187" i="18" a="1"/>
  <c r="F187" i="18"/>
  <c r="E187" i="18" a="1"/>
  <c r="E187" i="18"/>
  <c r="D187" i="18" a="1"/>
  <c r="D187" i="18"/>
  <c r="C187" i="18" a="1"/>
  <c r="C187" i="18"/>
  <c r="B187" i="18" a="1"/>
  <c r="B187" i="18"/>
  <c r="N186" i="18" a="1"/>
  <c r="N186" i="18"/>
  <c r="L186" i="18" a="1"/>
  <c r="L186" i="18"/>
  <c r="M186" i="18" s="1"/>
  <c r="H186" i="18" a="1"/>
  <c r="H186" i="18"/>
  <c r="G186" i="18" a="1"/>
  <c r="G186" i="18"/>
  <c r="F186" i="18" a="1"/>
  <c r="F186" i="18"/>
  <c r="E186" i="18" a="1"/>
  <c r="E186" i="18"/>
  <c r="D186" i="18" a="1"/>
  <c r="D186" i="18"/>
  <c r="C186" i="18" a="1"/>
  <c r="C186" i="18"/>
  <c r="B186" i="18" a="1"/>
  <c r="B186" i="18"/>
  <c r="N185" i="18" a="1"/>
  <c r="N185" i="18"/>
  <c r="L185" i="18" a="1"/>
  <c r="L185" i="18"/>
  <c r="M185" i="18" s="1"/>
  <c r="H185" i="18" a="1"/>
  <c r="H185" i="18"/>
  <c r="G185" i="18" a="1"/>
  <c r="G185" i="18"/>
  <c r="F185" i="18" a="1"/>
  <c r="F185" i="18"/>
  <c r="E185" i="18" a="1"/>
  <c r="E185" i="18"/>
  <c r="D185" i="18" a="1"/>
  <c r="D185" i="18"/>
  <c r="C185" i="18" a="1"/>
  <c r="C185" i="18"/>
  <c r="B185" i="18" a="1"/>
  <c r="B185" i="18"/>
  <c r="N184" i="18" a="1"/>
  <c r="N184" i="18"/>
  <c r="L184" i="18" a="1"/>
  <c r="L184" i="18"/>
  <c r="M184" i="18" s="1"/>
  <c r="H184" i="18" a="1"/>
  <c r="H184" i="18"/>
  <c r="G184" i="18" a="1"/>
  <c r="G184" i="18"/>
  <c r="F184" i="18" a="1"/>
  <c r="F184" i="18"/>
  <c r="E184" i="18" a="1"/>
  <c r="E184" i="18"/>
  <c r="D184" i="18" a="1"/>
  <c r="D184" i="18"/>
  <c r="C184" i="18" a="1"/>
  <c r="C184" i="18"/>
  <c r="B184" i="18" a="1"/>
  <c r="B184" i="18"/>
  <c r="N183" i="18" a="1"/>
  <c r="N183" i="18"/>
  <c r="L183" i="18" a="1"/>
  <c r="L183" i="18"/>
  <c r="M183" i="18" s="1"/>
  <c r="H183" i="18" a="1"/>
  <c r="H183" i="18"/>
  <c r="G183" i="18" a="1"/>
  <c r="G183" i="18"/>
  <c r="F183" i="18" a="1"/>
  <c r="F183" i="18"/>
  <c r="E183" i="18" a="1"/>
  <c r="E183" i="18"/>
  <c r="D183" i="18" a="1"/>
  <c r="D183" i="18"/>
  <c r="C183" i="18" a="1"/>
  <c r="C183" i="18"/>
  <c r="B183" i="18" a="1"/>
  <c r="B183" i="18"/>
  <c r="N182" i="18" a="1"/>
  <c r="N182" i="18"/>
  <c r="L182" i="18" a="1"/>
  <c r="L182" i="18"/>
  <c r="M182" i="18" s="1"/>
  <c r="H182" i="18" a="1"/>
  <c r="H182" i="18"/>
  <c r="G182" i="18" a="1"/>
  <c r="G182" i="18"/>
  <c r="F182" i="18" a="1"/>
  <c r="F182" i="18"/>
  <c r="E182" i="18" a="1"/>
  <c r="E182" i="18"/>
  <c r="D182" i="18" a="1"/>
  <c r="D182" i="18"/>
  <c r="C182" i="18" a="1"/>
  <c r="C182" i="18"/>
  <c r="B182" i="18" a="1"/>
  <c r="B182" i="18"/>
  <c r="N181" i="18" a="1"/>
  <c r="N181" i="18"/>
  <c r="L181" i="18" a="1"/>
  <c r="L181" i="18"/>
  <c r="M181" i="18" s="1"/>
  <c r="H181" i="18" a="1"/>
  <c r="H181" i="18"/>
  <c r="G181" i="18" a="1"/>
  <c r="G181" i="18"/>
  <c r="F181" i="18" a="1"/>
  <c r="F181" i="18"/>
  <c r="E181" i="18" a="1"/>
  <c r="E181" i="18"/>
  <c r="D181" i="18" a="1"/>
  <c r="D181" i="18"/>
  <c r="C181" i="18" a="1"/>
  <c r="C181" i="18"/>
  <c r="B181" i="18" a="1"/>
  <c r="B181" i="18"/>
  <c r="N180" i="18" a="1"/>
  <c r="N180" i="18"/>
  <c r="L180" i="18" a="1"/>
  <c r="L180" i="18"/>
  <c r="M180" i="18" s="1"/>
  <c r="H180" i="18" a="1"/>
  <c r="H180" i="18"/>
  <c r="G180" i="18" a="1"/>
  <c r="G180" i="18"/>
  <c r="F180" i="18" a="1"/>
  <c r="F180" i="18"/>
  <c r="E180" i="18" a="1"/>
  <c r="E180" i="18"/>
  <c r="D180" i="18" a="1"/>
  <c r="D180" i="18"/>
  <c r="C180" i="18" a="1"/>
  <c r="C180" i="18"/>
  <c r="B180" i="18" a="1"/>
  <c r="B180" i="18"/>
  <c r="N179" i="18" a="1"/>
  <c r="N179" i="18"/>
  <c r="L179" i="18" a="1"/>
  <c r="L179" i="18"/>
  <c r="M179" i="18" s="1"/>
  <c r="H179" i="18" a="1"/>
  <c r="H179" i="18"/>
  <c r="G179" i="18" a="1"/>
  <c r="G179" i="18"/>
  <c r="F179" i="18" a="1"/>
  <c r="F179" i="18"/>
  <c r="E179" i="18" a="1"/>
  <c r="E179" i="18"/>
  <c r="D179" i="18" a="1"/>
  <c r="D179" i="18"/>
  <c r="C179" i="18" a="1"/>
  <c r="C179" i="18"/>
  <c r="B179" i="18" a="1"/>
  <c r="B179" i="18"/>
  <c r="N178" i="18" a="1"/>
  <c r="N178" i="18"/>
  <c r="L178" i="18" a="1"/>
  <c r="L178" i="18"/>
  <c r="M178" i="18" s="1"/>
  <c r="H178" i="18" a="1"/>
  <c r="H178" i="18"/>
  <c r="G178" i="18" a="1"/>
  <c r="G178" i="18"/>
  <c r="F178" i="18" a="1"/>
  <c r="F178" i="18"/>
  <c r="E178" i="18" a="1"/>
  <c r="E178" i="18"/>
  <c r="D178" i="18" a="1"/>
  <c r="D178" i="18"/>
  <c r="C178" i="18" a="1"/>
  <c r="C178" i="18"/>
  <c r="B178" i="18" a="1"/>
  <c r="B178" i="18"/>
  <c r="N177" i="18" a="1"/>
  <c r="N177" i="18"/>
  <c r="L177" i="18" a="1"/>
  <c r="L177" i="18"/>
  <c r="M177" i="18" s="1"/>
  <c r="H177" i="18" a="1"/>
  <c r="H177" i="18"/>
  <c r="G177" i="18" a="1"/>
  <c r="G177" i="18"/>
  <c r="F177" i="18" a="1"/>
  <c r="F177" i="18"/>
  <c r="E177" i="18" a="1"/>
  <c r="E177" i="18"/>
  <c r="D177" i="18" a="1"/>
  <c r="D177" i="18"/>
  <c r="C177" i="18" a="1"/>
  <c r="C177" i="18"/>
  <c r="B177" i="18" a="1"/>
  <c r="B177" i="18"/>
  <c r="N176" i="18" a="1"/>
  <c r="N176" i="18"/>
  <c r="L176" i="18" a="1"/>
  <c r="L176" i="18"/>
  <c r="M176" i="18" s="1"/>
  <c r="H176" i="18" a="1"/>
  <c r="H176" i="18"/>
  <c r="G176" i="18" a="1"/>
  <c r="G176" i="18"/>
  <c r="F176" i="18" a="1"/>
  <c r="F176" i="18"/>
  <c r="E176" i="18" a="1"/>
  <c r="E176" i="18"/>
  <c r="D176" i="18" a="1"/>
  <c r="D176" i="18"/>
  <c r="C176" i="18" a="1"/>
  <c r="C176" i="18"/>
  <c r="B176" i="18" a="1"/>
  <c r="B176" i="18"/>
  <c r="N175" i="18" a="1"/>
  <c r="N175" i="18"/>
  <c r="L175" i="18" a="1"/>
  <c r="L175" i="18"/>
  <c r="M175" i="18" s="1"/>
  <c r="H175" i="18" a="1"/>
  <c r="H175" i="18"/>
  <c r="G175" i="18" a="1"/>
  <c r="G175" i="18"/>
  <c r="F175" i="18" a="1"/>
  <c r="F175" i="18"/>
  <c r="E175" i="18" a="1"/>
  <c r="E175" i="18"/>
  <c r="D175" i="18" a="1"/>
  <c r="D175" i="18"/>
  <c r="C175" i="18" a="1"/>
  <c r="C175" i="18"/>
  <c r="B175" i="18" a="1"/>
  <c r="B175" i="18"/>
  <c r="N174" i="18" a="1"/>
  <c r="N174" i="18"/>
  <c r="L174" i="18" a="1"/>
  <c r="L174" i="18"/>
  <c r="M174" i="18" s="1"/>
  <c r="H174" i="18" a="1"/>
  <c r="H174" i="18"/>
  <c r="G174" i="18" a="1"/>
  <c r="G174" i="18"/>
  <c r="F174" i="18" a="1"/>
  <c r="F174" i="18"/>
  <c r="E174" i="18" a="1"/>
  <c r="E174" i="18"/>
  <c r="D174" i="18" a="1"/>
  <c r="D174" i="18"/>
  <c r="C174" i="18" a="1"/>
  <c r="C174" i="18"/>
  <c r="B174" i="18" a="1"/>
  <c r="B174" i="18"/>
  <c r="N173" i="18" a="1"/>
  <c r="N173" i="18"/>
  <c r="L173" i="18" a="1"/>
  <c r="L173" i="18"/>
  <c r="M173" i="18" s="1"/>
  <c r="H173" i="18" a="1"/>
  <c r="H173" i="18"/>
  <c r="G173" i="18" a="1"/>
  <c r="G173" i="18"/>
  <c r="F173" i="18" a="1"/>
  <c r="F173" i="18"/>
  <c r="E173" i="18" a="1"/>
  <c r="E173" i="18"/>
  <c r="D173" i="18" a="1"/>
  <c r="D173" i="18"/>
  <c r="C173" i="18" a="1"/>
  <c r="C173" i="18"/>
  <c r="B173" i="18" a="1"/>
  <c r="B173" i="18"/>
  <c r="N172" i="18" a="1"/>
  <c r="N172" i="18"/>
  <c r="L172" i="18" a="1"/>
  <c r="L172" i="18"/>
  <c r="M172" i="18" s="1"/>
  <c r="H172" i="18" a="1"/>
  <c r="H172" i="18"/>
  <c r="G172" i="18" a="1"/>
  <c r="G172" i="18"/>
  <c r="F172" i="18" a="1"/>
  <c r="F172" i="18"/>
  <c r="E172" i="18" a="1"/>
  <c r="E172" i="18"/>
  <c r="D172" i="18" a="1"/>
  <c r="D172" i="18"/>
  <c r="C172" i="18" a="1"/>
  <c r="C172" i="18"/>
  <c r="B172" i="18" a="1"/>
  <c r="B172" i="18"/>
  <c r="N171" i="18" a="1"/>
  <c r="N171" i="18"/>
  <c r="L171" i="18" a="1"/>
  <c r="L171" i="18"/>
  <c r="M171" i="18" s="1"/>
  <c r="H171" i="18" a="1"/>
  <c r="H171" i="18"/>
  <c r="G171" i="18" a="1"/>
  <c r="G171" i="18"/>
  <c r="F171" i="18" a="1"/>
  <c r="F171" i="18"/>
  <c r="E171" i="18" a="1"/>
  <c r="E171" i="18"/>
  <c r="D171" i="18" a="1"/>
  <c r="D171" i="18"/>
  <c r="C171" i="18" a="1"/>
  <c r="C171" i="18"/>
  <c r="B171" i="18" a="1"/>
  <c r="B171" i="18"/>
  <c r="N170" i="18" a="1"/>
  <c r="N170" i="18"/>
  <c r="L170" i="18" a="1"/>
  <c r="L170" i="18"/>
  <c r="M170" i="18" s="1"/>
  <c r="H170" i="18" a="1"/>
  <c r="H170" i="18"/>
  <c r="G170" i="18" a="1"/>
  <c r="G170" i="18"/>
  <c r="F170" i="18" a="1"/>
  <c r="F170" i="18"/>
  <c r="E170" i="18" a="1"/>
  <c r="E170" i="18"/>
  <c r="D170" i="18" a="1"/>
  <c r="D170" i="18"/>
  <c r="C170" i="18" a="1"/>
  <c r="C170" i="18"/>
  <c r="B170" i="18" a="1"/>
  <c r="B170" i="18"/>
  <c r="N169" i="18" a="1"/>
  <c r="N169" i="18"/>
  <c r="L169" i="18" a="1"/>
  <c r="L169" i="18"/>
  <c r="M169" i="18" s="1"/>
  <c r="H169" i="18" a="1"/>
  <c r="H169" i="18"/>
  <c r="G169" i="18" a="1"/>
  <c r="G169" i="18"/>
  <c r="F169" i="18" a="1"/>
  <c r="F169" i="18"/>
  <c r="E169" i="18" a="1"/>
  <c r="E169" i="18"/>
  <c r="D169" i="18" a="1"/>
  <c r="D169" i="18"/>
  <c r="C169" i="18" a="1"/>
  <c r="C169" i="18"/>
  <c r="B169" i="18" a="1"/>
  <c r="B169" i="18"/>
  <c r="N168" i="18" a="1"/>
  <c r="N168" i="18"/>
  <c r="L168" i="18" a="1"/>
  <c r="L168" i="18"/>
  <c r="M168" i="18" s="1"/>
  <c r="H168" i="18" a="1"/>
  <c r="H168" i="18"/>
  <c r="G168" i="18" a="1"/>
  <c r="G168" i="18"/>
  <c r="F168" i="18" a="1"/>
  <c r="F168" i="18"/>
  <c r="E168" i="18" a="1"/>
  <c r="E168" i="18"/>
  <c r="D168" i="18" a="1"/>
  <c r="D168" i="18"/>
  <c r="C168" i="18" a="1"/>
  <c r="C168" i="18"/>
  <c r="B168" i="18" a="1"/>
  <c r="B168" i="18"/>
  <c r="N167" i="18" a="1"/>
  <c r="N167" i="18"/>
  <c r="L167" i="18" a="1"/>
  <c r="L167" i="18"/>
  <c r="M167" i="18" s="1"/>
  <c r="H167" i="18" a="1"/>
  <c r="H167" i="18"/>
  <c r="G167" i="18" a="1"/>
  <c r="G167" i="18"/>
  <c r="F167" i="18" a="1"/>
  <c r="F167" i="18"/>
  <c r="E167" i="18" a="1"/>
  <c r="E167" i="18"/>
  <c r="D167" i="18" a="1"/>
  <c r="D167" i="18"/>
  <c r="C167" i="18" a="1"/>
  <c r="C167" i="18"/>
  <c r="B167" i="18" a="1"/>
  <c r="B167" i="18"/>
  <c r="N166" i="18" a="1"/>
  <c r="N166" i="18"/>
  <c r="L166" i="18" a="1"/>
  <c r="L166" i="18"/>
  <c r="M166" i="18" s="1"/>
  <c r="H166" i="18" a="1"/>
  <c r="H166" i="18"/>
  <c r="G166" i="18" a="1"/>
  <c r="G166" i="18"/>
  <c r="F166" i="18" a="1"/>
  <c r="F166" i="18"/>
  <c r="E166" i="18" a="1"/>
  <c r="E166" i="18"/>
  <c r="D166" i="18" a="1"/>
  <c r="D166" i="18"/>
  <c r="C166" i="18" a="1"/>
  <c r="C166" i="18"/>
  <c r="B166" i="18" a="1"/>
  <c r="B166" i="18"/>
  <c r="N165" i="18" a="1"/>
  <c r="N165" i="18"/>
  <c r="L165" i="18" a="1"/>
  <c r="L165" i="18"/>
  <c r="M165" i="18" s="1"/>
  <c r="H165" i="18" a="1"/>
  <c r="H165" i="18"/>
  <c r="G165" i="18" a="1"/>
  <c r="G165" i="18"/>
  <c r="F165" i="18" a="1"/>
  <c r="F165" i="18"/>
  <c r="E165" i="18" a="1"/>
  <c r="E165" i="18"/>
  <c r="D165" i="18" a="1"/>
  <c r="D165" i="18"/>
  <c r="C165" i="18" a="1"/>
  <c r="C165" i="18"/>
  <c r="B165" i="18" a="1"/>
  <c r="B165" i="18"/>
  <c r="N164" i="18" a="1"/>
  <c r="N164" i="18"/>
  <c r="L164" i="18" a="1"/>
  <c r="L164" i="18"/>
  <c r="M164" i="18" s="1"/>
  <c r="H164" i="18" a="1"/>
  <c r="H164" i="18"/>
  <c r="G164" i="18" a="1"/>
  <c r="G164" i="18"/>
  <c r="F164" i="18" a="1"/>
  <c r="F164" i="18"/>
  <c r="E164" i="18" a="1"/>
  <c r="E164" i="18"/>
  <c r="D164" i="18" a="1"/>
  <c r="D164" i="18"/>
  <c r="C164" i="18" a="1"/>
  <c r="C164" i="18"/>
  <c r="B164" i="18" a="1"/>
  <c r="B164" i="18"/>
  <c r="N163" i="18" a="1"/>
  <c r="N163" i="18"/>
  <c r="L163" i="18" a="1"/>
  <c r="L163" i="18"/>
  <c r="M163" i="18" s="1"/>
  <c r="H163" i="18" a="1"/>
  <c r="H163" i="18"/>
  <c r="G163" i="18" a="1"/>
  <c r="G163" i="18"/>
  <c r="F163" i="18" a="1"/>
  <c r="F163" i="18"/>
  <c r="E163" i="18" a="1"/>
  <c r="E163" i="18"/>
  <c r="D163" i="18" a="1"/>
  <c r="D163" i="18"/>
  <c r="C163" i="18" a="1"/>
  <c r="C163" i="18"/>
  <c r="B163" i="18" a="1"/>
  <c r="B163" i="18"/>
  <c r="N162" i="18" a="1"/>
  <c r="N162" i="18"/>
  <c r="L162" i="18" a="1"/>
  <c r="L162" i="18"/>
  <c r="M162" i="18" s="1"/>
  <c r="H162" i="18" a="1"/>
  <c r="H162" i="18"/>
  <c r="G162" i="18" a="1"/>
  <c r="G162" i="18"/>
  <c r="F162" i="18" a="1"/>
  <c r="F162" i="18"/>
  <c r="E162" i="18" a="1"/>
  <c r="E162" i="18"/>
  <c r="D162" i="18" a="1"/>
  <c r="D162" i="18"/>
  <c r="C162" i="18" a="1"/>
  <c r="C162" i="18"/>
  <c r="B162" i="18" a="1"/>
  <c r="B162" i="18"/>
  <c r="N161" i="18" a="1"/>
  <c r="N161" i="18"/>
  <c r="L161" i="18" a="1"/>
  <c r="L161" i="18"/>
  <c r="M161" i="18" s="1"/>
  <c r="H161" i="18" a="1"/>
  <c r="H161" i="18"/>
  <c r="G161" i="18" a="1"/>
  <c r="G161" i="18"/>
  <c r="F161" i="18" a="1"/>
  <c r="F161" i="18"/>
  <c r="E161" i="18" a="1"/>
  <c r="E161" i="18"/>
  <c r="D161" i="18" a="1"/>
  <c r="D161" i="18"/>
  <c r="C161" i="18" a="1"/>
  <c r="C161" i="18"/>
  <c r="B161" i="18" a="1"/>
  <c r="B161" i="18"/>
  <c r="N160" i="18" a="1"/>
  <c r="N160" i="18"/>
  <c r="L160" i="18" a="1"/>
  <c r="L160" i="18"/>
  <c r="M160" i="18" s="1"/>
  <c r="H160" i="18" a="1"/>
  <c r="H160" i="18"/>
  <c r="G160" i="18" a="1"/>
  <c r="G160" i="18"/>
  <c r="F160" i="18" a="1"/>
  <c r="F160" i="18"/>
  <c r="E160" i="18" a="1"/>
  <c r="E160" i="18"/>
  <c r="D160" i="18" a="1"/>
  <c r="D160" i="18"/>
  <c r="C160" i="18" a="1"/>
  <c r="C160" i="18"/>
  <c r="B160" i="18" a="1"/>
  <c r="B160" i="18"/>
  <c r="N159" i="18" a="1"/>
  <c r="N159" i="18"/>
  <c r="L159" i="18" a="1"/>
  <c r="L159" i="18"/>
  <c r="M159" i="18" s="1"/>
  <c r="H159" i="18" a="1"/>
  <c r="H159" i="18"/>
  <c r="G159" i="18" a="1"/>
  <c r="G159" i="18"/>
  <c r="F159" i="18" a="1"/>
  <c r="F159" i="18"/>
  <c r="E159" i="18" a="1"/>
  <c r="E159" i="18"/>
  <c r="D159" i="18" a="1"/>
  <c r="D159" i="18"/>
  <c r="C159" i="18" a="1"/>
  <c r="C159" i="18"/>
  <c r="B159" i="18" a="1"/>
  <c r="B159" i="18"/>
  <c r="N158" i="18" a="1"/>
  <c r="N158" i="18"/>
  <c r="L158" i="18" a="1"/>
  <c r="L158" i="18"/>
  <c r="M158" i="18" s="1"/>
  <c r="H158" i="18" a="1"/>
  <c r="H158" i="18"/>
  <c r="G158" i="18" a="1"/>
  <c r="G158" i="18"/>
  <c r="F158" i="18" a="1"/>
  <c r="F158" i="18"/>
  <c r="E158" i="18" a="1"/>
  <c r="E158" i="18"/>
  <c r="D158" i="18" a="1"/>
  <c r="D158" i="18"/>
  <c r="C158" i="18" a="1"/>
  <c r="C158" i="18"/>
  <c r="B158" i="18" a="1"/>
  <c r="B158" i="18"/>
  <c r="N157" i="18" a="1"/>
  <c r="N157" i="18"/>
  <c r="L157" i="18" a="1"/>
  <c r="L157" i="18"/>
  <c r="M157" i="18" s="1"/>
  <c r="H157" i="18" a="1"/>
  <c r="H157" i="18"/>
  <c r="G157" i="18" a="1"/>
  <c r="G157" i="18"/>
  <c r="F157" i="18" a="1"/>
  <c r="F157" i="18"/>
  <c r="E157" i="18" a="1"/>
  <c r="E157" i="18"/>
  <c r="D157" i="18" a="1"/>
  <c r="D157" i="18"/>
  <c r="C157" i="18" a="1"/>
  <c r="C157" i="18"/>
  <c r="B157" i="18" a="1"/>
  <c r="B157" i="18"/>
  <c r="N156" i="18" a="1"/>
  <c r="N156" i="18"/>
  <c r="L156" i="18" a="1"/>
  <c r="L156" i="18"/>
  <c r="M156" i="18" s="1"/>
  <c r="H156" i="18" a="1"/>
  <c r="H156" i="18"/>
  <c r="G156" i="18" a="1"/>
  <c r="G156" i="18"/>
  <c r="F156" i="18" a="1"/>
  <c r="F156" i="18"/>
  <c r="E156" i="18" a="1"/>
  <c r="E156" i="18"/>
  <c r="D156" i="18" a="1"/>
  <c r="D156" i="18"/>
  <c r="C156" i="18" a="1"/>
  <c r="C156" i="18"/>
  <c r="B156" i="18" a="1"/>
  <c r="B156" i="18"/>
  <c r="N155" i="18" a="1"/>
  <c r="N155" i="18"/>
  <c r="L155" i="18" a="1"/>
  <c r="L155" i="18"/>
  <c r="M155" i="18" s="1"/>
  <c r="H155" i="18" a="1"/>
  <c r="H155" i="18"/>
  <c r="G155" i="18" a="1"/>
  <c r="G155" i="18"/>
  <c r="F155" i="18" a="1"/>
  <c r="F155" i="18"/>
  <c r="E155" i="18" a="1"/>
  <c r="E155" i="18"/>
  <c r="D155" i="18" a="1"/>
  <c r="D155" i="18"/>
  <c r="C155" i="18" a="1"/>
  <c r="C155" i="18"/>
  <c r="B155" i="18" a="1"/>
  <c r="B155" i="18"/>
  <c r="N154" i="18" a="1"/>
  <c r="N154" i="18"/>
  <c r="L154" i="18" a="1"/>
  <c r="L154" i="18"/>
  <c r="M154" i="18" s="1"/>
  <c r="H154" i="18" a="1"/>
  <c r="H154" i="18"/>
  <c r="G154" i="18" a="1"/>
  <c r="G154" i="18"/>
  <c r="F154" i="18" a="1"/>
  <c r="F154" i="18"/>
  <c r="E154" i="18" a="1"/>
  <c r="E154" i="18"/>
  <c r="D154" i="18" a="1"/>
  <c r="D154" i="18"/>
  <c r="C154" i="18" a="1"/>
  <c r="C154" i="18"/>
  <c r="B154" i="18" a="1"/>
  <c r="B154" i="18"/>
  <c r="N153" i="18" a="1"/>
  <c r="N153" i="18"/>
  <c r="L153" i="18" a="1"/>
  <c r="L153" i="18"/>
  <c r="M153" i="18" s="1"/>
  <c r="H153" i="18" a="1"/>
  <c r="H153" i="18"/>
  <c r="G153" i="18" a="1"/>
  <c r="G153" i="18"/>
  <c r="F153" i="18" a="1"/>
  <c r="F153" i="18"/>
  <c r="E153" i="18" a="1"/>
  <c r="E153" i="18"/>
  <c r="D153" i="18" a="1"/>
  <c r="D153" i="18"/>
  <c r="C153" i="18" a="1"/>
  <c r="C153" i="18"/>
  <c r="B153" i="18" a="1"/>
  <c r="B153" i="18"/>
  <c r="N152" i="18" a="1"/>
  <c r="N152" i="18"/>
  <c r="L152" i="18" a="1"/>
  <c r="L152" i="18"/>
  <c r="M152" i="18" s="1"/>
  <c r="H152" i="18" a="1"/>
  <c r="H152" i="18"/>
  <c r="G152" i="18" a="1"/>
  <c r="G152" i="18"/>
  <c r="F152" i="18" a="1"/>
  <c r="F152" i="18"/>
  <c r="E152" i="18" a="1"/>
  <c r="E152" i="18"/>
  <c r="D152" i="18" a="1"/>
  <c r="D152" i="18"/>
  <c r="C152" i="18" a="1"/>
  <c r="C152" i="18"/>
  <c r="B152" i="18" a="1"/>
  <c r="B152" i="18"/>
  <c r="N151" i="18" a="1"/>
  <c r="N151" i="18"/>
  <c r="L151" i="18" a="1"/>
  <c r="L151" i="18"/>
  <c r="M151" i="18" s="1"/>
  <c r="H151" i="18" a="1"/>
  <c r="H151" i="18"/>
  <c r="G151" i="18" a="1"/>
  <c r="G151" i="18"/>
  <c r="F151" i="18" a="1"/>
  <c r="F151" i="18"/>
  <c r="E151" i="18" a="1"/>
  <c r="E151" i="18"/>
  <c r="D151" i="18" a="1"/>
  <c r="D151" i="18"/>
  <c r="C151" i="18" a="1"/>
  <c r="C151" i="18"/>
  <c r="B151" i="18" a="1"/>
  <c r="B151" i="18"/>
  <c r="N150" i="18" a="1"/>
  <c r="N150" i="18"/>
  <c r="L150" i="18" a="1"/>
  <c r="L150" i="18"/>
  <c r="M150" i="18" s="1"/>
  <c r="H150" i="18" a="1"/>
  <c r="H150" i="18"/>
  <c r="G150" i="18" a="1"/>
  <c r="G150" i="18"/>
  <c r="F150" i="18" a="1"/>
  <c r="F150" i="18"/>
  <c r="E150" i="18" a="1"/>
  <c r="E150" i="18"/>
  <c r="D150" i="18" a="1"/>
  <c r="D150" i="18"/>
  <c r="C150" i="18" a="1"/>
  <c r="C150" i="18"/>
  <c r="B150" i="18" a="1"/>
  <c r="B150" i="18"/>
  <c r="N149" i="18" a="1"/>
  <c r="N149" i="18"/>
  <c r="L149" i="18" a="1"/>
  <c r="L149" i="18"/>
  <c r="M149" i="18" s="1"/>
  <c r="H149" i="18" a="1"/>
  <c r="H149" i="18"/>
  <c r="G149" i="18" a="1"/>
  <c r="G149" i="18"/>
  <c r="F149" i="18" a="1"/>
  <c r="F149" i="18"/>
  <c r="E149" i="18" a="1"/>
  <c r="E149" i="18"/>
  <c r="D149" i="18" a="1"/>
  <c r="D149" i="18"/>
  <c r="C149" i="18" a="1"/>
  <c r="C149" i="18"/>
  <c r="B149" i="18" a="1"/>
  <c r="B149" i="18"/>
  <c r="N148" i="18" a="1"/>
  <c r="N148" i="18"/>
  <c r="L148" i="18" a="1"/>
  <c r="L148" i="18"/>
  <c r="M148" i="18" s="1"/>
  <c r="H148" i="18" a="1"/>
  <c r="H148" i="18"/>
  <c r="G148" i="18" a="1"/>
  <c r="G148" i="18"/>
  <c r="F148" i="18" a="1"/>
  <c r="F148" i="18"/>
  <c r="E148" i="18" a="1"/>
  <c r="E148" i="18"/>
  <c r="D148" i="18" a="1"/>
  <c r="D148" i="18"/>
  <c r="C148" i="18" a="1"/>
  <c r="C148" i="18"/>
  <c r="B148" i="18" a="1"/>
  <c r="B148" i="18"/>
  <c r="N147" i="18" a="1"/>
  <c r="N147" i="18"/>
  <c r="L147" i="18" a="1"/>
  <c r="L147" i="18"/>
  <c r="M147" i="18" s="1"/>
  <c r="H147" i="18" a="1"/>
  <c r="H147" i="18"/>
  <c r="G147" i="18" a="1"/>
  <c r="G147" i="18"/>
  <c r="F147" i="18" a="1"/>
  <c r="F147" i="18"/>
  <c r="E147" i="18" a="1"/>
  <c r="E147" i="18"/>
  <c r="D147" i="18" a="1"/>
  <c r="D147" i="18"/>
  <c r="C147" i="18" a="1"/>
  <c r="C147" i="18"/>
  <c r="B147" i="18" a="1"/>
  <c r="B147" i="18"/>
  <c r="N146" i="18" a="1"/>
  <c r="N146" i="18"/>
  <c r="L146" i="18" a="1"/>
  <c r="L146" i="18"/>
  <c r="M146" i="18" s="1"/>
  <c r="H146" i="18" a="1"/>
  <c r="H146" i="18"/>
  <c r="G146" i="18" a="1"/>
  <c r="G146" i="18"/>
  <c r="F146" i="18" a="1"/>
  <c r="F146" i="18"/>
  <c r="E146" i="18" a="1"/>
  <c r="E146" i="18"/>
  <c r="D146" i="18" a="1"/>
  <c r="D146" i="18"/>
  <c r="C146" i="18" a="1"/>
  <c r="C146" i="18"/>
  <c r="B146" i="18" a="1"/>
  <c r="B146" i="18"/>
  <c r="N145" i="18" a="1"/>
  <c r="N145" i="18"/>
  <c r="L145" i="18" a="1"/>
  <c r="L145" i="18"/>
  <c r="M145" i="18" s="1"/>
  <c r="H145" i="18" a="1"/>
  <c r="H145" i="18"/>
  <c r="G145" i="18" a="1"/>
  <c r="G145" i="18"/>
  <c r="F145" i="18" a="1"/>
  <c r="F145" i="18"/>
  <c r="E145" i="18" a="1"/>
  <c r="E145" i="18"/>
  <c r="D145" i="18" a="1"/>
  <c r="D145" i="18"/>
  <c r="C145" i="18" a="1"/>
  <c r="C145" i="18"/>
  <c r="B145" i="18" a="1"/>
  <c r="B145" i="18"/>
  <c r="N144" i="18" a="1"/>
  <c r="N144" i="18"/>
  <c r="L144" i="18" a="1"/>
  <c r="L144" i="18"/>
  <c r="M144" i="18" s="1"/>
  <c r="H144" i="18" a="1"/>
  <c r="H144" i="18"/>
  <c r="G144" i="18" a="1"/>
  <c r="G144" i="18"/>
  <c r="F144" i="18" a="1"/>
  <c r="F144" i="18"/>
  <c r="E144" i="18" a="1"/>
  <c r="E144" i="18"/>
  <c r="D144" i="18" a="1"/>
  <c r="D144" i="18"/>
  <c r="C144" i="18" a="1"/>
  <c r="C144" i="18"/>
  <c r="B144" i="18" a="1"/>
  <c r="B144" i="18"/>
  <c r="N143" i="18" a="1"/>
  <c r="N143" i="18"/>
  <c r="L143" i="18" a="1"/>
  <c r="L143" i="18"/>
  <c r="M143" i="18" s="1"/>
  <c r="H143" i="18" a="1"/>
  <c r="H143" i="18"/>
  <c r="G143" i="18" a="1"/>
  <c r="G143" i="18"/>
  <c r="F143" i="18" a="1"/>
  <c r="F143" i="18"/>
  <c r="E143" i="18" a="1"/>
  <c r="E143" i="18"/>
  <c r="D143" i="18" a="1"/>
  <c r="D143" i="18"/>
  <c r="C143" i="18" a="1"/>
  <c r="C143" i="18"/>
  <c r="B143" i="18" a="1"/>
  <c r="B143" i="18"/>
  <c r="N142" i="18" a="1"/>
  <c r="N142" i="18"/>
  <c r="L142" i="18" a="1"/>
  <c r="L142" i="18"/>
  <c r="M142" i="18" s="1"/>
  <c r="H142" i="18" a="1"/>
  <c r="H142" i="18"/>
  <c r="G142" i="18" a="1"/>
  <c r="G142" i="18"/>
  <c r="F142" i="18" a="1"/>
  <c r="F142" i="18"/>
  <c r="E142" i="18" a="1"/>
  <c r="E142" i="18"/>
  <c r="D142" i="18" a="1"/>
  <c r="D142" i="18"/>
  <c r="C142" i="18" a="1"/>
  <c r="C142" i="18"/>
  <c r="B142" i="18" a="1"/>
  <c r="B142" i="18"/>
  <c r="N141" i="18" a="1"/>
  <c r="N141" i="18"/>
  <c r="L141" i="18" a="1"/>
  <c r="L141" i="18"/>
  <c r="M141" i="18" s="1"/>
  <c r="H141" i="18" a="1"/>
  <c r="H141" i="18"/>
  <c r="G141" i="18" a="1"/>
  <c r="G141" i="18"/>
  <c r="F141" i="18" a="1"/>
  <c r="F141" i="18"/>
  <c r="E141" i="18" a="1"/>
  <c r="E141" i="18"/>
  <c r="D141" i="18" a="1"/>
  <c r="D141" i="18"/>
  <c r="C141" i="18" a="1"/>
  <c r="C141" i="18"/>
  <c r="B141" i="18" a="1"/>
  <c r="B141" i="18"/>
  <c r="N140" i="18" a="1"/>
  <c r="N140" i="18"/>
  <c r="L140" i="18" a="1"/>
  <c r="L140" i="18"/>
  <c r="M140" i="18" s="1"/>
  <c r="H140" i="18" a="1"/>
  <c r="H140" i="18"/>
  <c r="G140" i="18" a="1"/>
  <c r="G140" i="18"/>
  <c r="F140" i="18" a="1"/>
  <c r="F140" i="18"/>
  <c r="E140" i="18" a="1"/>
  <c r="E140" i="18"/>
  <c r="D140" i="18" a="1"/>
  <c r="D140" i="18"/>
  <c r="C140" i="18" a="1"/>
  <c r="C140" i="18"/>
  <c r="B140" i="18" a="1"/>
  <c r="B140" i="18"/>
  <c r="N139" i="18" a="1"/>
  <c r="N139" i="18"/>
  <c r="L139" i="18" a="1"/>
  <c r="L139" i="18"/>
  <c r="M139" i="18" s="1"/>
  <c r="H139" i="18" a="1"/>
  <c r="H139" i="18"/>
  <c r="G139" i="18" a="1"/>
  <c r="G139" i="18"/>
  <c r="F139" i="18" a="1"/>
  <c r="F139" i="18"/>
  <c r="E139" i="18" a="1"/>
  <c r="E139" i="18"/>
  <c r="D139" i="18" a="1"/>
  <c r="D139" i="18"/>
  <c r="C139" i="18" a="1"/>
  <c r="C139" i="18"/>
  <c r="B139" i="18" a="1"/>
  <c r="B139" i="18"/>
  <c r="N138" i="18" a="1"/>
  <c r="N138" i="18"/>
  <c r="L138" i="18" a="1"/>
  <c r="L138" i="18"/>
  <c r="M138" i="18" s="1"/>
  <c r="H138" i="18" a="1"/>
  <c r="H138" i="18"/>
  <c r="G138" i="18" a="1"/>
  <c r="G138" i="18"/>
  <c r="F138" i="18" a="1"/>
  <c r="F138" i="18"/>
  <c r="E138" i="18" a="1"/>
  <c r="E138" i="18"/>
  <c r="D138" i="18" a="1"/>
  <c r="D138" i="18"/>
  <c r="C138" i="18" a="1"/>
  <c r="C138" i="18"/>
  <c r="B138" i="18" a="1"/>
  <c r="B138" i="18"/>
  <c r="N137" i="18" a="1"/>
  <c r="N137" i="18"/>
  <c r="L137" i="18" a="1"/>
  <c r="L137" i="18"/>
  <c r="M137" i="18" s="1"/>
  <c r="H137" i="18" a="1"/>
  <c r="H137" i="18"/>
  <c r="G137" i="18" a="1"/>
  <c r="G137" i="18"/>
  <c r="F137" i="18" a="1"/>
  <c r="F137" i="18"/>
  <c r="E137" i="18" a="1"/>
  <c r="E137" i="18"/>
  <c r="D137" i="18" a="1"/>
  <c r="D137" i="18"/>
  <c r="C137" i="18" a="1"/>
  <c r="C137" i="18"/>
  <c r="B137" i="18" a="1"/>
  <c r="B137" i="18"/>
  <c r="N136" i="18" a="1"/>
  <c r="N136" i="18"/>
  <c r="L136" i="18" a="1"/>
  <c r="L136" i="18"/>
  <c r="M136" i="18" s="1"/>
  <c r="H136" i="18" a="1"/>
  <c r="H136" i="18"/>
  <c r="G136" i="18" a="1"/>
  <c r="G136" i="18"/>
  <c r="F136" i="18" a="1"/>
  <c r="F136" i="18"/>
  <c r="E136" i="18" a="1"/>
  <c r="E136" i="18"/>
  <c r="D136" i="18" a="1"/>
  <c r="D136" i="18"/>
  <c r="C136" i="18" a="1"/>
  <c r="C136" i="18"/>
  <c r="B136" i="18" a="1"/>
  <c r="B136" i="18"/>
  <c r="N135" i="18" a="1"/>
  <c r="N135" i="18"/>
  <c r="L135" i="18" a="1"/>
  <c r="L135" i="18"/>
  <c r="M135" i="18" s="1"/>
  <c r="H135" i="18" a="1"/>
  <c r="H135" i="18"/>
  <c r="G135" i="18" a="1"/>
  <c r="G135" i="18"/>
  <c r="F135" i="18" a="1"/>
  <c r="F135" i="18"/>
  <c r="E135" i="18" a="1"/>
  <c r="E135" i="18"/>
  <c r="D135" i="18" a="1"/>
  <c r="D135" i="18"/>
  <c r="C135" i="18" a="1"/>
  <c r="C135" i="18"/>
  <c r="B135" i="18" a="1"/>
  <c r="B135" i="18"/>
  <c r="N134" i="18" a="1"/>
  <c r="N134" i="18"/>
  <c r="L134" i="18" a="1"/>
  <c r="L134" i="18"/>
  <c r="M134" i="18" s="1"/>
  <c r="H134" i="18" a="1"/>
  <c r="H134" i="18"/>
  <c r="G134" i="18" a="1"/>
  <c r="G134" i="18"/>
  <c r="F134" i="18" a="1"/>
  <c r="F134" i="18"/>
  <c r="E134" i="18" a="1"/>
  <c r="E134" i="18"/>
  <c r="D134" i="18" a="1"/>
  <c r="D134" i="18"/>
  <c r="C134" i="18" a="1"/>
  <c r="C134" i="18"/>
  <c r="B134" i="18" a="1"/>
  <c r="B134" i="18"/>
  <c r="N133" i="18" a="1"/>
  <c r="N133" i="18"/>
  <c r="L133" i="18" a="1"/>
  <c r="L133" i="18"/>
  <c r="M133" i="18" s="1"/>
  <c r="H133" i="18" a="1"/>
  <c r="H133" i="18"/>
  <c r="G133" i="18" a="1"/>
  <c r="G133" i="18"/>
  <c r="F133" i="18" a="1"/>
  <c r="F133" i="18"/>
  <c r="E133" i="18" a="1"/>
  <c r="E133" i="18"/>
  <c r="D133" i="18" a="1"/>
  <c r="D133" i="18"/>
  <c r="C133" i="18" a="1"/>
  <c r="C133" i="18"/>
  <c r="B133" i="18" a="1"/>
  <c r="B133" i="18"/>
  <c r="N132" i="18" a="1"/>
  <c r="N132" i="18"/>
  <c r="L132" i="18" a="1"/>
  <c r="L132" i="18"/>
  <c r="M132" i="18" s="1"/>
  <c r="H132" i="18" a="1"/>
  <c r="H132" i="18"/>
  <c r="G132" i="18" a="1"/>
  <c r="G132" i="18"/>
  <c r="F132" i="18" a="1"/>
  <c r="F132" i="18"/>
  <c r="E132" i="18" a="1"/>
  <c r="E132" i="18"/>
  <c r="D132" i="18" a="1"/>
  <c r="D132" i="18"/>
  <c r="C132" i="18" a="1"/>
  <c r="C132" i="18"/>
  <c r="B132" i="18" a="1"/>
  <c r="B132" i="18"/>
  <c r="N131" i="18" a="1"/>
  <c r="N131" i="18"/>
  <c r="L131" i="18" a="1"/>
  <c r="L131" i="18"/>
  <c r="M131" i="18" s="1"/>
  <c r="H131" i="18" a="1"/>
  <c r="H131" i="18"/>
  <c r="G131" i="18" a="1"/>
  <c r="G131" i="18"/>
  <c r="F131" i="18" a="1"/>
  <c r="F131" i="18"/>
  <c r="E131" i="18" a="1"/>
  <c r="E131" i="18"/>
  <c r="D131" i="18" a="1"/>
  <c r="D131" i="18"/>
  <c r="C131" i="18" a="1"/>
  <c r="C131" i="18"/>
  <c r="B131" i="18" a="1"/>
  <c r="B131" i="18"/>
  <c r="N130" i="18" a="1"/>
  <c r="N130" i="18"/>
  <c r="L130" i="18" a="1"/>
  <c r="L130" i="18"/>
  <c r="M130" i="18" s="1"/>
  <c r="H130" i="18" a="1"/>
  <c r="H130" i="18"/>
  <c r="G130" i="18" a="1"/>
  <c r="G130" i="18"/>
  <c r="F130" i="18" a="1"/>
  <c r="F130" i="18"/>
  <c r="E130" i="18" a="1"/>
  <c r="E130" i="18"/>
  <c r="D130" i="18" a="1"/>
  <c r="D130" i="18"/>
  <c r="C130" i="18" a="1"/>
  <c r="C130" i="18"/>
  <c r="B130" i="18" a="1"/>
  <c r="B130" i="18"/>
  <c r="N129" i="18" a="1"/>
  <c r="N129" i="18"/>
  <c r="L129" i="18" a="1"/>
  <c r="L129" i="18"/>
  <c r="M129" i="18" s="1"/>
  <c r="H129" i="18" a="1"/>
  <c r="H129" i="18"/>
  <c r="G129" i="18" a="1"/>
  <c r="G129" i="18"/>
  <c r="F129" i="18" a="1"/>
  <c r="F129" i="18"/>
  <c r="E129" i="18" a="1"/>
  <c r="E129" i="18"/>
  <c r="D129" i="18" a="1"/>
  <c r="D129" i="18"/>
  <c r="C129" i="18" a="1"/>
  <c r="C129" i="18"/>
  <c r="B129" i="18" a="1"/>
  <c r="B129" i="18"/>
  <c r="N128" i="18" a="1"/>
  <c r="N128" i="18"/>
  <c r="L128" i="18" a="1"/>
  <c r="L128" i="18"/>
  <c r="M128" i="18" s="1"/>
  <c r="H128" i="18" a="1"/>
  <c r="H128" i="18"/>
  <c r="G128" i="18" a="1"/>
  <c r="G128" i="18"/>
  <c r="F128" i="18" a="1"/>
  <c r="F128" i="18"/>
  <c r="E128" i="18" a="1"/>
  <c r="E128" i="18"/>
  <c r="D128" i="18" a="1"/>
  <c r="D128" i="18"/>
  <c r="C128" i="18" a="1"/>
  <c r="C128" i="18"/>
  <c r="B128" i="18" a="1"/>
  <c r="B128" i="18"/>
  <c r="N127" i="18" a="1"/>
  <c r="N127" i="18"/>
  <c r="L127" i="18" a="1"/>
  <c r="L127" i="18"/>
  <c r="M127" i="18" s="1"/>
  <c r="H127" i="18" a="1"/>
  <c r="H127" i="18"/>
  <c r="G127" i="18" a="1"/>
  <c r="G127" i="18"/>
  <c r="F127" i="18" a="1"/>
  <c r="F127" i="18"/>
  <c r="E127" i="18" a="1"/>
  <c r="E127" i="18"/>
  <c r="D127" i="18" a="1"/>
  <c r="D127" i="18"/>
  <c r="C127" i="18" a="1"/>
  <c r="C127" i="18"/>
  <c r="B127" i="18" a="1"/>
  <c r="B127" i="18"/>
  <c r="N126" i="18" a="1"/>
  <c r="N126" i="18"/>
  <c r="L126" i="18" a="1"/>
  <c r="L126" i="18"/>
  <c r="M126" i="18" s="1"/>
  <c r="H126" i="18" a="1"/>
  <c r="H126" i="18"/>
  <c r="G126" i="18" a="1"/>
  <c r="G126" i="18"/>
  <c r="F126" i="18" a="1"/>
  <c r="F126" i="18"/>
  <c r="E126" i="18" a="1"/>
  <c r="E126" i="18"/>
  <c r="D126" i="18" a="1"/>
  <c r="D126" i="18"/>
  <c r="C126" i="18" a="1"/>
  <c r="C126" i="18"/>
  <c r="B126" i="18" a="1"/>
  <c r="B126" i="18"/>
  <c r="N125" i="18" a="1"/>
  <c r="N125" i="18"/>
  <c r="L125" i="18" a="1"/>
  <c r="L125" i="18"/>
  <c r="M125" i="18" s="1"/>
  <c r="H125" i="18" a="1"/>
  <c r="H125" i="18"/>
  <c r="G125" i="18" a="1"/>
  <c r="G125" i="18"/>
  <c r="F125" i="18" a="1"/>
  <c r="F125" i="18"/>
  <c r="E125" i="18" a="1"/>
  <c r="E125" i="18"/>
  <c r="D125" i="18" a="1"/>
  <c r="D125" i="18"/>
  <c r="C125" i="18" a="1"/>
  <c r="C125" i="18"/>
  <c r="B125" i="18" a="1"/>
  <c r="B125" i="18"/>
  <c r="N124" i="18" a="1"/>
  <c r="N124" i="18"/>
  <c r="L124" i="18" a="1"/>
  <c r="L124" i="18"/>
  <c r="M124" i="18" s="1"/>
  <c r="H124" i="18" a="1"/>
  <c r="H124" i="18"/>
  <c r="G124" i="18" a="1"/>
  <c r="G124" i="18"/>
  <c r="F124" i="18" a="1"/>
  <c r="F124" i="18"/>
  <c r="E124" i="18" a="1"/>
  <c r="E124" i="18"/>
  <c r="D124" i="18" a="1"/>
  <c r="D124" i="18"/>
  <c r="C124" i="18" a="1"/>
  <c r="C124" i="18"/>
  <c r="B124" i="18" a="1"/>
  <c r="B124" i="18"/>
  <c r="N123" i="18" a="1"/>
  <c r="N123" i="18"/>
  <c r="L123" i="18" a="1"/>
  <c r="L123" i="18"/>
  <c r="M123" i="18" s="1"/>
  <c r="H123" i="18" a="1"/>
  <c r="H123" i="18"/>
  <c r="G123" i="18" a="1"/>
  <c r="G123" i="18"/>
  <c r="F123" i="18" a="1"/>
  <c r="F123" i="18"/>
  <c r="E123" i="18" a="1"/>
  <c r="E123" i="18"/>
  <c r="D123" i="18" a="1"/>
  <c r="D123" i="18"/>
  <c r="C123" i="18" a="1"/>
  <c r="C123" i="18"/>
  <c r="B123" i="18" a="1"/>
  <c r="B123" i="18"/>
  <c r="N122" i="18" a="1"/>
  <c r="N122" i="18"/>
  <c r="L122" i="18" a="1"/>
  <c r="L122" i="18"/>
  <c r="M122" i="18" s="1"/>
  <c r="H122" i="18" a="1"/>
  <c r="H122" i="18"/>
  <c r="G122" i="18" a="1"/>
  <c r="G122" i="18"/>
  <c r="F122" i="18" a="1"/>
  <c r="F122" i="18"/>
  <c r="E122" i="18" a="1"/>
  <c r="E122" i="18"/>
  <c r="D122" i="18" a="1"/>
  <c r="D122" i="18"/>
  <c r="C122" i="18" a="1"/>
  <c r="C122" i="18"/>
  <c r="B122" i="18" a="1"/>
  <c r="B122" i="18"/>
  <c r="N121" i="18" a="1"/>
  <c r="N121" i="18"/>
  <c r="L121" i="18" a="1"/>
  <c r="L121" i="18"/>
  <c r="M121" i="18" s="1"/>
  <c r="H121" i="18" a="1"/>
  <c r="H121" i="18"/>
  <c r="G121" i="18" a="1"/>
  <c r="G121" i="18"/>
  <c r="F121" i="18" a="1"/>
  <c r="F121" i="18"/>
  <c r="E121" i="18" a="1"/>
  <c r="E121" i="18"/>
  <c r="D121" i="18" a="1"/>
  <c r="D121" i="18"/>
  <c r="C121" i="18" a="1"/>
  <c r="C121" i="18"/>
  <c r="B121" i="18" a="1"/>
  <c r="B121" i="18"/>
  <c r="N120" i="18" a="1"/>
  <c r="N120" i="18"/>
  <c r="L120" i="18" a="1"/>
  <c r="L120" i="18"/>
  <c r="M120" i="18" s="1"/>
  <c r="H120" i="18" a="1"/>
  <c r="H120" i="18"/>
  <c r="G120" i="18" a="1"/>
  <c r="G120" i="18"/>
  <c r="F120" i="18" a="1"/>
  <c r="F120" i="18"/>
  <c r="E120" i="18" a="1"/>
  <c r="E120" i="18"/>
  <c r="D120" i="18" a="1"/>
  <c r="D120" i="18"/>
  <c r="C120" i="18" a="1"/>
  <c r="C120" i="18"/>
  <c r="B120" i="18" a="1"/>
  <c r="B120" i="18"/>
  <c r="N119" i="18" a="1"/>
  <c r="N119" i="18"/>
  <c r="L119" i="18" a="1"/>
  <c r="L119" i="18"/>
  <c r="M119" i="18" s="1"/>
  <c r="H119" i="18" a="1"/>
  <c r="H119" i="18"/>
  <c r="G119" i="18" a="1"/>
  <c r="G119" i="18"/>
  <c r="F119" i="18" a="1"/>
  <c r="F119" i="18"/>
  <c r="E119" i="18" a="1"/>
  <c r="E119" i="18"/>
  <c r="D119" i="18" a="1"/>
  <c r="D119" i="18"/>
  <c r="C119" i="18" a="1"/>
  <c r="C119" i="18"/>
  <c r="B119" i="18" a="1"/>
  <c r="B119" i="18"/>
  <c r="N118" i="18" a="1"/>
  <c r="N118" i="18"/>
  <c r="L118" i="18" a="1"/>
  <c r="L118" i="18"/>
  <c r="M118" i="18" s="1"/>
  <c r="H118" i="18" a="1"/>
  <c r="H118" i="18"/>
  <c r="G118" i="18" a="1"/>
  <c r="G118" i="18"/>
  <c r="F118" i="18" a="1"/>
  <c r="F118" i="18"/>
  <c r="E118" i="18" a="1"/>
  <c r="E118" i="18"/>
  <c r="D118" i="18" a="1"/>
  <c r="D118" i="18"/>
  <c r="C118" i="18" a="1"/>
  <c r="C118" i="18"/>
  <c r="B118" i="18" a="1"/>
  <c r="B118" i="18"/>
  <c r="N117" i="18" a="1"/>
  <c r="N117" i="18"/>
  <c r="L117" i="18" a="1"/>
  <c r="L117" i="18"/>
  <c r="M117" i="18" s="1"/>
  <c r="H117" i="18" a="1"/>
  <c r="H117" i="18"/>
  <c r="G117" i="18" a="1"/>
  <c r="G117" i="18"/>
  <c r="F117" i="18" a="1"/>
  <c r="F117" i="18"/>
  <c r="E117" i="18" a="1"/>
  <c r="E117" i="18"/>
  <c r="D117" i="18" a="1"/>
  <c r="D117" i="18"/>
  <c r="C117" i="18" a="1"/>
  <c r="C117" i="18"/>
  <c r="B117" i="18" a="1"/>
  <c r="B117" i="18"/>
  <c r="N116" i="18" a="1"/>
  <c r="N116" i="18"/>
  <c r="L116" i="18" a="1"/>
  <c r="L116" i="18"/>
  <c r="M116" i="18" s="1"/>
  <c r="H116" i="18" a="1"/>
  <c r="H116" i="18"/>
  <c r="G116" i="18" a="1"/>
  <c r="G116" i="18"/>
  <c r="F116" i="18" a="1"/>
  <c r="F116" i="18"/>
  <c r="E116" i="18" a="1"/>
  <c r="E116" i="18"/>
  <c r="D116" i="18" a="1"/>
  <c r="D116" i="18"/>
  <c r="C116" i="18" a="1"/>
  <c r="C116" i="18"/>
  <c r="B116" i="18" a="1"/>
  <c r="B116" i="18"/>
  <c r="N115" i="18" a="1"/>
  <c r="N115" i="18"/>
  <c r="L115" i="18" a="1"/>
  <c r="L115" i="18"/>
  <c r="M115" i="18" s="1"/>
  <c r="H115" i="18" a="1"/>
  <c r="H115" i="18"/>
  <c r="G115" i="18" a="1"/>
  <c r="G115" i="18"/>
  <c r="F115" i="18" a="1"/>
  <c r="F115" i="18"/>
  <c r="E115" i="18" a="1"/>
  <c r="E115" i="18"/>
  <c r="D115" i="18" a="1"/>
  <c r="D115" i="18"/>
  <c r="C115" i="18" a="1"/>
  <c r="C115" i="18"/>
  <c r="B115" i="18" a="1"/>
  <c r="B115" i="18"/>
  <c r="N114" i="18" a="1"/>
  <c r="N114" i="18"/>
  <c r="L114" i="18" a="1"/>
  <c r="L114" i="18"/>
  <c r="M114" i="18" s="1"/>
  <c r="H114" i="18" a="1"/>
  <c r="H114" i="18"/>
  <c r="G114" i="18" a="1"/>
  <c r="G114" i="18"/>
  <c r="F114" i="18" a="1"/>
  <c r="F114" i="18"/>
  <c r="E114" i="18" a="1"/>
  <c r="E114" i="18"/>
  <c r="D114" i="18" a="1"/>
  <c r="D114" i="18"/>
  <c r="C114" i="18" a="1"/>
  <c r="C114" i="18"/>
  <c r="B114" i="18" a="1"/>
  <c r="B114" i="18"/>
  <c r="N113" i="18" a="1"/>
  <c r="N113" i="18"/>
  <c r="L113" i="18" a="1"/>
  <c r="L113" i="18"/>
  <c r="M113" i="18" s="1"/>
  <c r="H113" i="18" a="1"/>
  <c r="H113" i="18"/>
  <c r="G113" i="18" a="1"/>
  <c r="G113" i="18"/>
  <c r="F113" i="18" a="1"/>
  <c r="F113" i="18"/>
  <c r="E113" i="18" a="1"/>
  <c r="E113" i="18"/>
  <c r="D113" i="18" a="1"/>
  <c r="D113" i="18"/>
  <c r="C113" i="18" a="1"/>
  <c r="C113" i="18"/>
  <c r="B113" i="18" a="1"/>
  <c r="B113" i="18"/>
  <c r="N112" i="18" a="1"/>
  <c r="N112" i="18"/>
  <c r="L112" i="18" a="1"/>
  <c r="L112" i="18"/>
  <c r="M112" i="18" s="1"/>
  <c r="H112" i="18" a="1"/>
  <c r="H112" i="18"/>
  <c r="G112" i="18" a="1"/>
  <c r="G112" i="18"/>
  <c r="F112" i="18" a="1"/>
  <c r="F112" i="18"/>
  <c r="E112" i="18" a="1"/>
  <c r="E112" i="18"/>
  <c r="D112" i="18" a="1"/>
  <c r="D112" i="18"/>
  <c r="C112" i="18" a="1"/>
  <c r="C112" i="18"/>
  <c r="B112" i="18" a="1"/>
  <c r="B112" i="18"/>
  <c r="N111" i="18" a="1"/>
  <c r="N111" i="18"/>
  <c r="L111" i="18" a="1"/>
  <c r="L111" i="18"/>
  <c r="M111" i="18" s="1"/>
  <c r="H111" i="18" a="1"/>
  <c r="H111" i="18"/>
  <c r="G111" i="18" a="1"/>
  <c r="G111" i="18"/>
  <c r="F111" i="18" a="1"/>
  <c r="F111" i="18"/>
  <c r="E111" i="18" a="1"/>
  <c r="E111" i="18"/>
  <c r="D111" i="18" a="1"/>
  <c r="D111" i="18"/>
  <c r="C111" i="18" a="1"/>
  <c r="C111" i="18"/>
  <c r="B111" i="18" a="1"/>
  <c r="B111" i="18"/>
  <c r="N110" i="18" a="1"/>
  <c r="N110" i="18"/>
  <c r="L110" i="18" a="1"/>
  <c r="L110" i="18"/>
  <c r="M110" i="18" s="1"/>
  <c r="H110" i="18" a="1"/>
  <c r="H110" i="18"/>
  <c r="G110" i="18" a="1"/>
  <c r="G110" i="18"/>
  <c r="F110" i="18" a="1"/>
  <c r="F110" i="18"/>
  <c r="E110" i="18" a="1"/>
  <c r="E110" i="18"/>
  <c r="D110" i="18" a="1"/>
  <c r="D110" i="18"/>
  <c r="C110" i="18" a="1"/>
  <c r="C110" i="18"/>
  <c r="B110" i="18" a="1"/>
  <c r="B110" i="18"/>
  <c r="N109" i="18" a="1"/>
  <c r="N109" i="18"/>
  <c r="L109" i="18" a="1"/>
  <c r="L109" i="18"/>
  <c r="M109" i="18" s="1"/>
  <c r="H109" i="18" a="1"/>
  <c r="H109" i="18"/>
  <c r="G109" i="18" a="1"/>
  <c r="G109" i="18"/>
  <c r="F109" i="18" a="1"/>
  <c r="F109" i="18"/>
  <c r="E109" i="18" a="1"/>
  <c r="E109" i="18"/>
  <c r="D109" i="18" a="1"/>
  <c r="D109" i="18"/>
  <c r="C109" i="18" a="1"/>
  <c r="C109" i="18"/>
  <c r="B109" i="18" a="1"/>
  <c r="B109" i="18"/>
  <c r="N108" i="18" a="1"/>
  <c r="N108" i="18"/>
  <c r="L108" i="18" a="1"/>
  <c r="L108" i="18"/>
  <c r="M108" i="18" s="1"/>
  <c r="H108" i="18" a="1"/>
  <c r="H108" i="18"/>
  <c r="G108" i="18" a="1"/>
  <c r="G108" i="18"/>
  <c r="F108" i="18" a="1"/>
  <c r="F108" i="18"/>
  <c r="E108" i="18" a="1"/>
  <c r="E108" i="18"/>
  <c r="D108" i="18" a="1"/>
  <c r="D108" i="18"/>
  <c r="C108" i="18" a="1"/>
  <c r="C108" i="18"/>
  <c r="B108" i="18" a="1"/>
  <c r="B108" i="18"/>
  <c r="N107" i="18" a="1"/>
  <c r="N107" i="18"/>
  <c r="L107" i="18" a="1"/>
  <c r="L107" i="18"/>
  <c r="M107" i="18" s="1"/>
  <c r="H107" i="18" a="1"/>
  <c r="H107" i="18"/>
  <c r="G107" i="18" a="1"/>
  <c r="G107" i="18"/>
  <c r="F107" i="18" a="1"/>
  <c r="F107" i="18"/>
  <c r="E107" i="18" a="1"/>
  <c r="E107" i="18"/>
  <c r="D107" i="18" a="1"/>
  <c r="D107" i="18"/>
  <c r="C107" i="18" a="1"/>
  <c r="C107" i="18"/>
  <c r="B107" i="18" a="1"/>
  <c r="B107" i="18"/>
  <c r="N106" i="18" a="1"/>
  <c r="N106" i="18"/>
  <c r="L106" i="18" a="1"/>
  <c r="L106" i="18"/>
  <c r="M106" i="18" s="1"/>
  <c r="H106" i="18" a="1"/>
  <c r="H106" i="18"/>
  <c r="G106" i="18" a="1"/>
  <c r="G106" i="18"/>
  <c r="F106" i="18" a="1"/>
  <c r="F106" i="18"/>
  <c r="E106" i="18" a="1"/>
  <c r="E106" i="18"/>
  <c r="D106" i="18" a="1"/>
  <c r="D106" i="18"/>
  <c r="C106" i="18" a="1"/>
  <c r="C106" i="18"/>
  <c r="B106" i="18" a="1"/>
  <c r="B106" i="18"/>
  <c r="N105" i="18" a="1"/>
  <c r="N105" i="18"/>
  <c r="L105" i="18" a="1"/>
  <c r="L105" i="18"/>
  <c r="M105" i="18" s="1"/>
  <c r="H105" i="18" a="1"/>
  <c r="H105" i="18"/>
  <c r="G105" i="18" a="1"/>
  <c r="G105" i="18"/>
  <c r="F105" i="18" a="1"/>
  <c r="F105" i="18"/>
  <c r="E105" i="18" a="1"/>
  <c r="E105" i="18"/>
  <c r="D105" i="18" a="1"/>
  <c r="D105" i="18"/>
  <c r="C105" i="18" a="1"/>
  <c r="C105" i="18"/>
  <c r="B105" i="18" a="1"/>
  <c r="B105" i="18"/>
  <c r="N104" i="18" a="1"/>
  <c r="N104" i="18"/>
  <c r="L104" i="18" a="1"/>
  <c r="L104" i="18"/>
  <c r="M104" i="18" s="1"/>
  <c r="H104" i="18" a="1"/>
  <c r="H104" i="18"/>
  <c r="G104" i="18" a="1"/>
  <c r="G104" i="18"/>
  <c r="F104" i="18" a="1"/>
  <c r="F104" i="18"/>
  <c r="E104" i="18" a="1"/>
  <c r="E104" i="18"/>
  <c r="D104" i="18" a="1"/>
  <c r="D104" i="18"/>
  <c r="C104" i="18" a="1"/>
  <c r="C104" i="18"/>
  <c r="B104" i="18" a="1"/>
  <c r="B104" i="18"/>
  <c r="N103" i="18" a="1"/>
  <c r="N103" i="18"/>
  <c r="L103" i="18" a="1"/>
  <c r="L103" i="18"/>
  <c r="M103" i="18" s="1"/>
  <c r="H103" i="18" a="1"/>
  <c r="H103" i="18"/>
  <c r="G103" i="18" a="1"/>
  <c r="G103" i="18"/>
  <c r="F103" i="18" a="1"/>
  <c r="F103" i="18"/>
  <c r="E103" i="18" a="1"/>
  <c r="E103" i="18"/>
  <c r="D103" i="18" a="1"/>
  <c r="D103" i="18"/>
  <c r="C103" i="18" a="1"/>
  <c r="C103" i="18"/>
  <c r="B103" i="18" a="1"/>
  <c r="B103" i="18"/>
  <c r="N102" i="18" a="1"/>
  <c r="N102" i="18"/>
  <c r="L102" i="18" a="1"/>
  <c r="L102" i="18"/>
  <c r="M102" i="18" s="1"/>
  <c r="H102" i="18" a="1"/>
  <c r="H102" i="18"/>
  <c r="G102" i="18" a="1"/>
  <c r="G102" i="18"/>
  <c r="F102" i="18" a="1"/>
  <c r="F102" i="18"/>
  <c r="E102" i="18" a="1"/>
  <c r="E102" i="18"/>
  <c r="D102" i="18" a="1"/>
  <c r="D102" i="18"/>
  <c r="C102" i="18" a="1"/>
  <c r="C102" i="18"/>
  <c r="B102" i="18" a="1"/>
  <c r="B102" i="18"/>
  <c r="N101" i="18" a="1"/>
  <c r="N101" i="18"/>
  <c r="L101" i="18" a="1"/>
  <c r="L101" i="18"/>
  <c r="M101" i="18" s="1"/>
  <c r="H101" i="18" a="1"/>
  <c r="H101" i="18"/>
  <c r="G101" i="18" a="1"/>
  <c r="G101" i="18"/>
  <c r="F101" i="18" a="1"/>
  <c r="F101" i="18"/>
  <c r="E101" i="18" a="1"/>
  <c r="E101" i="18"/>
  <c r="D101" i="18" a="1"/>
  <c r="D101" i="18"/>
  <c r="C101" i="18" a="1"/>
  <c r="C101" i="18"/>
  <c r="B101" i="18" a="1"/>
  <c r="B101" i="18"/>
  <c r="N100" i="18" a="1"/>
  <c r="N100" i="18"/>
  <c r="L100" i="18" a="1"/>
  <c r="L100" i="18"/>
  <c r="M100" i="18" s="1"/>
  <c r="H100" i="18" a="1"/>
  <c r="H100" i="18"/>
  <c r="G100" i="18" a="1"/>
  <c r="G100" i="18"/>
  <c r="F100" i="18" a="1"/>
  <c r="F100" i="18"/>
  <c r="E100" i="18" a="1"/>
  <c r="E100" i="18"/>
  <c r="D100" i="18" a="1"/>
  <c r="D100" i="18"/>
  <c r="C100" i="18" a="1"/>
  <c r="C100" i="18"/>
  <c r="B100" i="18" a="1"/>
  <c r="B100" i="18"/>
  <c r="N99" i="18" a="1"/>
  <c r="N99" i="18"/>
  <c r="L99" i="18" a="1"/>
  <c r="L99" i="18"/>
  <c r="M99" i="18" s="1"/>
  <c r="H99" i="18" a="1"/>
  <c r="H99" i="18"/>
  <c r="G99" i="18" a="1"/>
  <c r="G99" i="18"/>
  <c r="F99" i="18" a="1"/>
  <c r="F99" i="18"/>
  <c r="E99" i="18" a="1"/>
  <c r="E99" i="18"/>
  <c r="D99" i="18" a="1"/>
  <c r="D99" i="18"/>
  <c r="C99" i="18" a="1"/>
  <c r="C99" i="18"/>
  <c r="B99" i="18" a="1"/>
  <c r="B99" i="18"/>
  <c r="N98" i="18" a="1"/>
  <c r="N98" i="18"/>
  <c r="L98" i="18" a="1"/>
  <c r="L98" i="18"/>
  <c r="M98" i="18" s="1"/>
  <c r="H98" i="18" a="1"/>
  <c r="H98" i="18"/>
  <c r="G98" i="18" a="1"/>
  <c r="G98" i="18"/>
  <c r="F98" i="18" a="1"/>
  <c r="F98" i="18"/>
  <c r="E98" i="18" a="1"/>
  <c r="E98" i="18"/>
  <c r="D98" i="18" a="1"/>
  <c r="D98" i="18"/>
  <c r="C98" i="18" a="1"/>
  <c r="C98" i="18"/>
  <c r="B98" i="18" a="1"/>
  <c r="B98" i="18"/>
  <c r="N97" i="18" a="1"/>
  <c r="N97" i="18"/>
  <c r="L97" i="18" a="1"/>
  <c r="L97" i="18"/>
  <c r="M97" i="18" s="1"/>
  <c r="H97" i="18" a="1"/>
  <c r="H97" i="18"/>
  <c r="G97" i="18" a="1"/>
  <c r="G97" i="18"/>
  <c r="F97" i="18" a="1"/>
  <c r="F97" i="18"/>
  <c r="E97" i="18" a="1"/>
  <c r="E97" i="18"/>
  <c r="D97" i="18" a="1"/>
  <c r="D97" i="18"/>
  <c r="C97" i="18" a="1"/>
  <c r="C97" i="18"/>
  <c r="B97" i="18" a="1"/>
  <c r="B97" i="18"/>
  <c r="N96" i="18" a="1"/>
  <c r="N96" i="18"/>
  <c r="L96" i="18" a="1"/>
  <c r="L96" i="18"/>
  <c r="M96" i="18" s="1"/>
  <c r="H96" i="18" a="1"/>
  <c r="H96" i="18"/>
  <c r="G96" i="18" a="1"/>
  <c r="G96" i="18"/>
  <c r="F96" i="18" a="1"/>
  <c r="F96" i="18"/>
  <c r="E96" i="18" a="1"/>
  <c r="E96" i="18"/>
  <c r="D96" i="18" a="1"/>
  <c r="D96" i="18"/>
  <c r="C96" i="18" a="1"/>
  <c r="C96" i="18"/>
  <c r="B96" i="18" a="1"/>
  <c r="B96" i="18"/>
  <c r="N95" i="18" a="1"/>
  <c r="N95" i="18"/>
  <c r="L95" i="18" a="1"/>
  <c r="L95" i="18"/>
  <c r="M95" i="18" s="1"/>
  <c r="H95" i="18" a="1"/>
  <c r="H95" i="18"/>
  <c r="G95" i="18" a="1"/>
  <c r="G95" i="18"/>
  <c r="F95" i="18" a="1"/>
  <c r="F95" i="18"/>
  <c r="E95" i="18" a="1"/>
  <c r="E95" i="18"/>
  <c r="D95" i="18" a="1"/>
  <c r="D95" i="18"/>
  <c r="C95" i="18" a="1"/>
  <c r="C95" i="18"/>
  <c r="B95" i="18" a="1"/>
  <c r="B95" i="18"/>
  <c r="N94" i="18" a="1"/>
  <c r="N94" i="18"/>
  <c r="L94" i="18" a="1"/>
  <c r="L94" i="18"/>
  <c r="M94" i="18" s="1"/>
  <c r="H94" i="18" a="1"/>
  <c r="H94" i="18"/>
  <c r="G94" i="18" a="1"/>
  <c r="G94" i="18"/>
  <c r="F94" i="18" a="1"/>
  <c r="F94" i="18"/>
  <c r="E94" i="18" a="1"/>
  <c r="E94" i="18"/>
  <c r="D94" i="18" a="1"/>
  <c r="D94" i="18"/>
  <c r="C94" i="18" a="1"/>
  <c r="C94" i="18"/>
  <c r="B94" i="18" a="1"/>
  <c r="B94" i="18"/>
  <c r="N93" i="18" a="1"/>
  <c r="N93" i="18"/>
  <c r="L93" i="18" a="1"/>
  <c r="L93" i="18"/>
  <c r="M93" i="18" s="1"/>
  <c r="H93" i="18" a="1"/>
  <c r="H93" i="18"/>
  <c r="G93" i="18" a="1"/>
  <c r="G93" i="18"/>
  <c r="F93" i="18" a="1"/>
  <c r="F93" i="18"/>
  <c r="E93" i="18" a="1"/>
  <c r="E93" i="18"/>
  <c r="D93" i="18" a="1"/>
  <c r="D93" i="18"/>
  <c r="C93" i="18" a="1"/>
  <c r="C93" i="18"/>
  <c r="B93" i="18" a="1"/>
  <c r="B93" i="18"/>
  <c r="N92" i="18" a="1"/>
  <c r="N92" i="18"/>
  <c r="L92" i="18" a="1"/>
  <c r="L92" i="18"/>
  <c r="M92" i="18" s="1"/>
  <c r="H92" i="18" a="1"/>
  <c r="H92" i="18"/>
  <c r="G92" i="18" a="1"/>
  <c r="G92" i="18"/>
  <c r="F92" i="18" a="1"/>
  <c r="F92" i="18"/>
  <c r="E92" i="18" a="1"/>
  <c r="E92" i="18"/>
  <c r="D92" i="18" a="1"/>
  <c r="D92" i="18"/>
  <c r="C92" i="18" a="1"/>
  <c r="C92" i="18"/>
  <c r="B92" i="18" a="1"/>
  <c r="B92" i="18"/>
  <c r="N91" i="18" a="1"/>
  <c r="N91" i="18"/>
  <c r="L91" i="18" a="1"/>
  <c r="L91" i="18"/>
  <c r="M91" i="18" s="1"/>
  <c r="H91" i="18" a="1"/>
  <c r="H91" i="18"/>
  <c r="G91" i="18" a="1"/>
  <c r="G91" i="18"/>
  <c r="F91" i="18" a="1"/>
  <c r="F91" i="18"/>
  <c r="E91" i="18" a="1"/>
  <c r="E91" i="18"/>
  <c r="D91" i="18" a="1"/>
  <c r="D91" i="18"/>
  <c r="C91" i="18" a="1"/>
  <c r="C91" i="18"/>
  <c r="B91" i="18" a="1"/>
  <c r="B91" i="18"/>
  <c r="N90" i="18" a="1"/>
  <c r="N90" i="18"/>
  <c r="L90" i="18" a="1"/>
  <c r="L90" i="18"/>
  <c r="M90" i="18" s="1"/>
  <c r="H90" i="18" a="1"/>
  <c r="H90" i="18"/>
  <c r="G90" i="18" a="1"/>
  <c r="G90" i="18"/>
  <c r="F90" i="18" a="1"/>
  <c r="F90" i="18"/>
  <c r="E90" i="18" a="1"/>
  <c r="E90" i="18"/>
  <c r="D90" i="18" a="1"/>
  <c r="D90" i="18"/>
  <c r="C90" i="18" a="1"/>
  <c r="C90" i="18"/>
  <c r="B90" i="18" a="1"/>
  <c r="B90" i="18"/>
  <c r="N89" i="18" a="1"/>
  <c r="N89" i="18"/>
  <c r="L89" i="18" a="1"/>
  <c r="L89" i="18"/>
  <c r="M89" i="18" s="1"/>
  <c r="H89" i="18" a="1"/>
  <c r="H89" i="18"/>
  <c r="G89" i="18" a="1"/>
  <c r="G89" i="18"/>
  <c r="F89" i="18" a="1"/>
  <c r="F89" i="18"/>
  <c r="E89" i="18" a="1"/>
  <c r="E89" i="18"/>
  <c r="D89" i="18" a="1"/>
  <c r="D89" i="18"/>
  <c r="C89" i="18" a="1"/>
  <c r="C89" i="18"/>
  <c r="B89" i="18" a="1"/>
  <c r="B89" i="18"/>
  <c r="N88" i="18" a="1"/>
  <c r="N88" i="18"/>
  <c r="L88" i="18" a="1"/>
  <c r="L88" i="18"/>
  <c r="M88" i="18" s="1"/>
  <c r="H88" i="18" a="1"/>
  <c r="H88" i="18"/>
  <c r="G88" i="18" a="1"/>
  <c r="G88" i="18"/>
  <c r="F88" i="18" a="1"/>
  <c r="F88" i="18"/>
  <c r="E88" i="18" a="1"/>
  <c r="E88" i="18"/>
  <c r="D88" i="18" a="1"/>
  <c r="D88" i="18"/>
  <c r="C88" i="18" a="1"/>
  <c r="C88" i="18"/>
  <c r="B88" i="18" a="1"/>
  <c r="B88" i="18"/>
  <c r="N87" i="18" a="1"/>
  <c r="N87" i="18"/>
  <c r="L87" i="18" a="1"/>
  <c r="L87" i="18"/>
  <c r="M87" i="18" s="1"/>
  <c r="H87" i="18" a="1"/>
  <c r="H87" i="18"/>
  <c r="G87" i="18" a="1"/>
  <c r="G87" i="18"/>
  <c r="F87" i="18" a="1"/>
  <c r="F87" i="18"/>
  <c r="E87" i="18" a="1"/>
  <c r="E87" i="18"/>
  <c r="D87" i="18" a="1"/>
  <c r="D87" i="18"/>
  <c r="C87" i="18" a="1"/>
  <c r="C87" i="18"/>
  <c r="B87" i="18" a="1"/>
  <c r="B87" i="18"/>
  <c r="N86" i="18" a="1"/>
  <c r="N86" i="18"/>
  <c r="L86" i="18" a="1"/>
  <c r="L86" i="18"/>
  <c r="M86" i="18" s="1"/>
  <c r="H86" i="18" a="1"/>
  <c r="H86" i="18"/>
  <c r="G86" i="18" a="1"/>
  <c r="G86" i="18"/>
  <c r="F86" i="18" a="1"/>
  <c r="F86" i="18"/>
  <c r="E86" i="18" a="1"/>
  <c r="E86" i="18"/>
  <c r="D86" i="18" a="1"/>
  <c r="D86" i="18"/>
  <c r="C86" i="18" a="1"/>
  <c r="C86" i="18"/>
  <c r="B86" i="18" a="1"/>
  <c r="B86" i="18"/>
  <c r="N85" i="18" a="1"/>
  <c r="N85" i="18"/>
  <c r="L85" i="18" a="1"/>
  <c r="L85" i="18"/>
  <c r="M85" i="18" s="1"/>
  <c r="H85" i="18" a="1"/>
  <c r="H85" i="18"/>
  <c r="G85" i="18" a="1"/>
  <c r="G85" i="18"/>
  <c r="F85" i="18" a="1"/>
  <c r="F85" i="18"/>
  <c r="E85" i="18" a="1"/>
  <c r="E85" i="18"/>
  <c r="D85" i="18" a="1"/>
  <c r="D85" i="18"/>
  <c r="C85" i="18" a="1"/>
  <c r="C85" i="18"/>
  <c r="B85" i="18" a="1"/>
  <c r="B85" i="18"/>
  <c r="N84" i="18" a="1"/>
  <c r="N84" i="18"/>
  <c r="L84" i="18" a="1"/>
  <c r="L84" i="18"/>
  <c r="M84" i="18" s="1"/>
  <c r="H84" i="18" a="1"/>
  <c r="H84" i="18"/>
  <c r="G84" i="18" a="1"/>
  <c r="G84" i="18"/>
  <c r="F84" i="18" a="1"/>
  <c r="F84" i="18"/>
  <c r="E84" i="18" a="1"/>
  <c r="E84" i="18"/>
  <c r="D84" i="18" a="1"/>
  <c r="D84" i="18"/>
  <c r="C84" i="18" a="1"/>
  <c r="C84" i="18"/>
  <c r="B84" i="18" a="1"/>
  <c r="B84" i="18"/>
  <c r="N83" i="18" a="1"/>
  <c r="N83" i="18"/>
  <c r="L83" i="18" a="1"/>
  <c r="L83" i="18"/>
  <c r="M83" i="18" s="1"/>
  <c r="H83" i="18" a="1"/>
  <c r="H83" i="18"/>
  <c r="G83" i="18" a="1"/>
  <c r="G83" i="18"/>
  <c r="F83" i="18" a="1"/>
  <c r="F83" i="18"/>
  <c r="E83" i="18" a="1"/>
  <c r="E83" i="18"/>
  <c r="D83" i="18" a="1"/>
  <c r="D83" i="18"/>
  <c r="C83" i="18" a="1"/>
  <c r="C83" i="18"/>
  <c r="B83" i="18" a="1"/>
  <c r="B83" i="18"/>
  <c r="N82" i="18" a="1"/>
  <c r="N82" i="18"/>
  <c r="L82" i="18" a="1"/>
  <c r="L82" i="18"/>
  <c r="M82" i="18" s="1"/>
  <c r="H82" i="18" a="1"/>
  <c r="H82" i="18"/>
  <c r="G82" i="18" a="1"/>
  <c r="G82" i="18"/>
  <c r="F82" i="18" a="1"/>
  <c r="F82" i="18"/>
  <c r="E82" i="18" a="1"/>
  <c r="E82" i="18"/>
  <c r="D82" i="18" a="1"/>
  <c r="D82" i="18"/>
  <c r="C82" i="18" a="1"/>
  <c r="C82" i="18"/>
  <c r="B82" i="18" a="1"/>
  <c r="B82" i="18"/>
  <c r="N81" i="18" a="1"/>
  <c r="N81" i="18"/>
  <c r="L81" i="18" a="1"/>
  <c r="L81" i="18"/>
  <c r="M81" i="18" s="1"/>
  <c r="H81" i="18" a="1"/>
  <c r="H81" i="18"/>
  <c r="G81" i="18" a="1"/>
  <c r="G81" i="18"/>
  <c r="F81" i="18" a="1"/>
  <c r="F81" i="18"/>
  <c r="E81" i="18" a="1"/>
  <c r="E81" i="18"/>
  <c r="D81" i="18" a="1"/>
  <c r="D81" i="18"/>
  <c r="C81" i="18" a="1"/>
  <c r="C81" i="18"/>
  <c r="B81" i="18" a="1"/>
  <c r="B81" i="18"/>
  <c r="N80" i="18" a="1"/>
  <c r="N80" i="18"/>
  <c r="L80" i="18" a="1"/>
  <c r="L80" i="18"/>
  <c r="M80" i="18" s="1"/>
  <c r="H80" i="18" a="1"/>
  <c r="H80" i="18"/>
  <c r="G80" i="18" a="1"/>
  <c r="G80" i="18"/>
  <c r="F80" i="18" a="1"/>
  <c r="F80" i="18"/>
  <c r="E80" i="18" a="1"/>
  <c r="E80" i="18"/>
  <c r="D80" i="18" a="1"/>
  <c r="D80" i="18"/>
  <c r="C80" i="18" a="1"/>
  <c r="C80" i="18"/>
  <c r="B80" i="18" a="1"/>
  <c r="B80" i="18"/>
  <c r="N79" i="18" a="1"/>
  <c r="N79" i="18"/>
  <c r="L79" i="18" a="1"/>
  <c r="L79" i="18"/>
  <c r="M79" i="18" s="1"/>
  <c r="H79" i="18" a="1"/>
  <c r="H79" i="18"/>
  <c r="G79" i="18" a="1"/>
  <c r="G79" i="18"/>
  <c r="F79" i="18" a="1"/>
  <c r="F79" i="18"/>
  <c r="E79" i="18" a="1"/>
  <c r="E79" i="18"/>
  <c r="D79" i="18" a="1"/>
  <c r="D79" i="18"/>
  <c r="C79" i="18" a="1"/>
  <c r="C79" i="18"/>
  <c r="B79" i="18" a="1"/>
  <c r="B79" i="18"/>
  <c r="N78" i="18" a="1"/>
  <c r="N78" i="18"/>
  <c r="L78" i="18" a="1"/>
  <c r="L78" i="18"/>
  <c r="M78" i="18" s="1"/>
  <c r="H78" i="18" a="1"/>
  <c r="H78" i="18"/>
  <c r="G78" i="18" a="1"/>
  <c r="G78" i="18"/>
  <c r="F78" i="18" a="1"/>
  <c r="F78" i="18"/>
  <c r="E78" i="18" a="1"/>
  <c r="E78" i="18"/>
  <c r="D78" i="18" a="1"/>
  <c r="D78" i="18"/>
  <c r="C78" i="18" a="1"/>
  <c r="C78" i="18"/>
  <c r="B78" i="18" a="1"/>
  <c r="B78" i="18"/>
  <c r="N77" i="18" a="1"/>
  <c r="N77" i="18"/>
  <c r="L77" i="18" a="1"/>
  <c r="L77" i="18"/>
  <c r="M77" i="18" s="1"/>
  <c r="H77" i="18" a="1"/>
  <c r="H77" i="18"/>
  <c r="G77" i="18" a="1"/>
  <c r="G77" i="18"/>
  <c r="F77" i="18" a="1"/>
  <c r="F77" i="18"/>
  <c r="E77" i="18" a="1"/>
  <c r="E77" i="18"/>
  <c r="D77" i="18" a="1"/>
  <c r="D77" i="18"/>
  <c r="C77" i="18" a="1"/>
  <c r="C77" i="18"/>
  <c r="B77" i="18" a="1"/>
  <c r="B77" i="18"/>
  <c r="N76" i="18" a="1"/>
  <c r="N76" i="18"/>
  <c r="L76" i="18" a="1"/>
  <c r="L76" i="18"/>
  <c r="M76" i="18" s="1"/>
  <c r="H76" i="18" a="1"/>
  <c r="H76" i="18"/>
  <c r="G76" i="18" a="1"/>
  <c r="G76" i="18"/>
  <c r="F76" i="18" a="1"/>
  <c r="F76" i="18"/>
  <c r="E76" i="18" a="1"/>
  <c r="E76" i="18"/>
  <c r="D76" i="18" a="1"/>
  <c r="D76" i="18"/>
  <c r="C76" i="18" a="1"/>
  <c r="C76" i="18"/>
  <c r="B76" i="18" a="1"/>
  <c r="B76" i="18"/>
  <c r="N75" i="18" a="1"/>
  <c r="N75" i="18"/>
  <c r="L75" i="18" a="1"/>
  <c r="L75" i="18"/>
  <c r="M75" i="18" s="1"/>
  <c r="H75" i="18" a="1"/>
  <c r="H75" i="18"/>
  <c r="G75" i="18" a="1"/>
  <c r="G75" i="18"/>
  <c r="F75" i="18" a="1"/>
  <c r="F75" i="18"/>
  <c r="E75" i="18" a="1"/>
  <c r="E75" i="18"/>
  <c r="D75" i="18" a="1"/>
  <c r="D75" i="18"/>
  <c r="C75" i="18" a="1"/>
  <c r="C75" i="18"/>
  <c r="B75" i="18" a="1"/>
  <c r="B75" i="18"/>
  <c r="N74" i="18" a="1"/>
  <c r="N74" i="18"/>
  <c r="L74" i="18" a="1"/>
  <c r="L74" i="18"/>
  <c r="M74" i="18" s="1"/>
  <c r="H74" i="18" a="1"/>
  <c r="H74" i="18"/>
  <c r="G74" i="18" a="1"/>
  <c r="G74" i="18"/>
  <c r="F74" i="18" a="1"/>
  <c r="F74" i="18"/>
  <c r="E74" i="18" a="1"/>
  <c r="E74" i="18"/>
  <c r="D74" i="18" a="1"/>
  <c r="D74" i="18"/>
  <c r="C74" i="18" a="1"/>
  <c r="C74" i="18"/>
  <c r="B74" i="18" a="1"/>
  <c r="B74" i="18"/>
  <c r="N73" i="18" a="1"/>
  <c r="N73" i="18"/>
  <c r="L73" i="18" a="1"/>
  <c r="L73" i="18"/>
  <c r="M73" i="18" s="1"/>
  <c r="H73" i="18" a="1"/>
  <c r="H73" i="18"/>
  <c r="G73" i="18" a="1"/>
  <c r="G73" i="18"/>
  <c r="F73" i="18" a="1"/>
  <c r="F73" i="18"/>
  <c r="E73" i="18" a="1"/>
  <c r="E73" i="18"/>
  <c r="D73" i="18" a="1"/>
  <c r="D73" i="18"/>
  <c r="C73" i="18" a="1"/>
  <c r="C73" i="18"/>
  <c r="B73" i="18" a="1"/>
  <c r="B73" i="18"/>
  <c r="N72" i="18" a="1"/>
  <c r="N72" i="18"/>
  <c r="L72" i="18" a="1"/>
  <c r="L72" i="18"/>
  <c r="M72" i="18" s="1"/>
  <c r="H72" i="18" a="1"/>
  <c r="H72" i="18"/>
  <c r="G72" i="18" a="1"/>
  <c r="G72" i="18"/>
  <c r="F72" i="18" a="1"/>
  <c r="F72" i="18"/>
  <c r="E72" i="18" a="1"/>
  <c r="E72" i="18"/>
  <c r="D72" i="18" a="1"/>
  <c r="D72" i="18"/>
  <c r="C72" i="18" a="1"/>
  <c r="C72" i="18"/>
  <c r="B72" i="18" a="1"/>
  <c r="B72" i="18"/>
  <c r="N71" i="18" a="1"/>
  <c r="N71" i="18"/>
  <c r="L71" i="18" a="1"/>
  <c r="L71" i="18"/>
  <c r="M71" i="18" s="1"/>
  <c r="H71" i="18" a="1"/>
  <c r="H71" i="18"/>
  <c r="G71" i="18" a="1"/>
  <c r="G71" i="18"/>
  <c r="F71" i="18" a="1"/>
  <c r="F71" i="18"/>
  <c r="E71" i="18" a="1"/>
  <c r="E71" i="18"/>
  <c r="D71" i="18" a="1"/>
  <c r="D71" i="18"/>
  <c r="C71" i="18" a="1"/>
  <c r="C71" i="18"/>
  <c r="B71" i="18" a="1"/>
  <c r="B71" i="18"/>
  <c r="N70" i="18" a="1"/>
  <c r="N70" i="18"/>
  <c r="L70" i="18" a="1"/>
  <c r="L70" i="18"/>
  <c r="M70" i="18" s="1"/>
  <c r="H70" i="18" a="1"/>
  <c r="H70" i="18"/>
  <c r="G70" i="18" a="1"/>
  <c r="G70" i="18"/>
  <c r="F70" i="18" a="1"/>
  <c r="F70" i="18"/>
  <c r="E70" i="18" a="1"/>
  <c r="E70" i="18"/>
  <c r="D70" i="18" a="1"/>
  <c r="D70" i="18"/>
  <c r="C70" i="18" a="1"/>
  <c r="C70" i="18"/>
  <c r="B70" i="18" a="1"/>
  <c r="B70" i="18"/>
  <c r="N69" i="18" a="1"/>
  <c r="N69" i="18"/>
  <c r="L69" i="18" a="1"/>
  <c r="L69" i="18"/>
  <c r="M69" i="18" s="1"/>
  <c r="H69" i="18" a="1"/>
  <c r="H69" i="18"/>
  <c r="G69" i="18" a="1"/>
  <c r="G69" i="18"/>
  <c r="F69" i="18" a="1"/>
  <c r="F69" i="18"/>
  <c r="E69" i="18" a="1"/>
  <c r="E69" i="18"/>
  <c r="D69" i="18" a="1"/>
  <c r="D69" i="18"/>
  <c r="C69" i="18" a="1"/>
  <c r="C69" i="18"/>
  <c r="B69" i="18" a="1"/>
  <c r="B69" i="18"/>
  <c r="N68" i="18" a="1"/>
  <c r="N68" i="18"/>
  <c r="L68" i="18" a="1"/>
  <c r="L68" i="18"/>
  <c r="M68" i="18" s="1"/>
  <c r="H68" i="18" a="1"/>
  <c r="H68" i="18"/>
  <c r="G68" i="18" a="1"/>
  <c r="G68" i="18"/>
  <c r="F68" i="18" a="1"/>
  <c r="F68" i="18"/>
  <c r="E68" i="18" a="1"/>
  <c r="E68" i="18"/>
  <c r="D68" i="18" a="1"/>
  <c r="D68" i="18"/>
  <c r="C68" i="18" a="1"/>
  <c r="C68" i="18"/>
  <c r="B68" i="18" a="1"/>
  <c r="B68" i="18"/>
  <c r="N67" i="18" a="1"/>
  <c r="N67" i="18"/>
  <c r="L67" i="18" a="1"/>
  <c r="L67" i="18"/>
  <c r="M67" i="18" s="1"/>
  <c r="H67" i="18" a="1"/>
  <c r="H67" i="18"/>
  <c r="G67" i="18" a="1"/>
  <c r="G67" i="18"/>
  <c r="F67" i="18" a="1"/>
  <c r="F67" i="18"/>
  <c r="E67" i="18" a="1"/>
  <c r="E67" i="18"/>
  <c r="D67" i="18" a="1"/>
  <c r="D67" i="18"/>
  <c r="C67" i="18" a="1"/>
  <c r="C67" i="18"/>
  <c r="B67" i="18" a="1"/>
  <c r="B67" i="18"/>
  <c r="N66" i="18" a="1"/>
  <c r="N66" i="18"/>
  <c r="L66" i="18" a="1"/>
  <c r="L66" i="18"/>
  <c r="M66" i="18" s="1"/>
  <c r="H66" i="18" a="1"/>
  <c r="H66" i="18"/>
  <c r="G66" i="18" a="1"/>
  <c r="G66" i="18"/>
  <c r="F66" i="18" a="1"/>
  <c r="F66" i="18"/>
  <c r="E66" i="18" a="1"/>
  <c r="E66" i="18"/>
  <c r="D66" i="18" a="1"/>
  <c r="D66" i="18"/>
  <c r="C66" i="18" a="1"/>
  <c r="C66" i="18"/>
  <c r="B66" i="18" a="1"/>
  <c r="B66" i="18"/>
  <c r="N65" i="18" a="1"/>
  <c r="N65" i="18"/>
  <c r="L65" i="18" a="1"/>
  <c r="L65" i="18"/>
  <c r="M65" i="18" s="1"/>
  <c r="H65" i="18" a="1"/>
  <c r="H65" i="18"/>
  <c r="G65" i="18" a="1"/>
  <c r="G65" i="18"/>
  <c r="F65" i="18" a="1"/>
  <c r="F65" i="18"/>
  <c r="E65" i="18" a="1"/>
  <c r="E65" i="18"/>
  <c r="D65" i="18" a="1"/>
  <c r="D65" i="18"/>
  <c r="C65" i="18" a="1"/>
  <c r="C65" i="18"/>
  <c r="B65" i="18" a="1"/>
  <c r="B65" i="18"/>
  <c r="N64" i="18" a="1"/>
  <c r="N64" i="18"/>
  <c r="L64" i="18" a="1"/>
  <c r="L64" i="18"/>
  <c r="M64" i="18" s="1"/>
  <c r="H64" i="18" a="1"/>
  <c r="H64" i="18"/>
  <c r="G64" i="18" a="1"/>
  <c r="G64" i="18"/>
  <c r="F64" i="18" a="1"/>
  <c r="F64" i="18"/>
  <c r="E64" i="18" a="1"/>
  <c r="E64" i="18"/>
  <c r="D64" i="18" a="1"/>
  <c r="D64" i="18"/>
  <c r="C64" i="18" a="1"/>
  <c r="C64" i="18"/>
  <c r="B64" i="18" a="1"/>
  <c r="B64" i="18"/>
  <c r="N63" i="18" a="1"/>
  <c r="N63" i="18"/>
  <c r="L63" i="18" a="1"/>
  <c r="L63" i="18"/>
  <c r="M63" i="18" s="1"/>
  <c r="H63" i="18" a="1"/>
  <c r="H63" i="18"/>
  <c r="G63" i="18" a="1"/>
  <c r="G63" i="18"/>
  <c r="F63" i="18" a="1"/>
  <c r="F63" i="18"/>
  <c r="E63" i="18" a="1"/>
  <c r="E63" i="18"/>
  <c r="D63" i="18" a="1"/>
  <c r="D63" i="18"/>
  <c r="C63" i="18" a="1"/>
  <c r="C63" i="18"/>
  <c r="B63" i="18" a="1"/>
  <c r="B63" i="18"/>
  <c r="N62" i="18" a="1"/>
  <c r="N62" i="18"/>
  <c r="L62" i="18" a="1"/>
  <c r="L62" i="18"/>
  <c r="M62" i="18" s="1"/>
  <c r="H62" i="18" a="1"/>
  <c r="H62" i="18"/>
  <c r="G62" i="18" a="1"/>
  <c r="G62" i="18"/>
  <c r="F62" i="18" a="1"/>
  <c r="F62" i="18"/>
  <c r="E62" i="18" a="1"/>
  <c r="E62" i="18"/>
  <c r="D62" i="18" a="1"/>
  <c r="D62" i="18"/>
  <c r="C62" i="18" a="1"/>
  <c r="C62" i="18"/>
  <c r="B62" i="18" a="1"/>
  <c r="B62" i="18"/>
  <c r="N61" i="18" a="1"/>
  <c r="N61" i="18"/>
  <c r="L61" i="18" a="1"/>
  <c r="L61" i="18"/>
  <c r="M61" i="18" s="1"/>
  <c r="H61" i="18" a="1"/>
  <c r="H61" i="18"/>
  <c r="G61" i="18" a="1"/>
  <c r="G61" i="18"/>
  <c r="F61" i="18" a="1"/>
  <c r="F61" i="18"/>
  <c r="E61" i="18" a="1"/>
  <c r="E61" i="18"/>
  <c r="D61" i="18" a="1"/>
  <c r="D61" i="18"/>
  <c r="C61" i="18" a="1"/>
  <c r="C61" i="18"/>
  <c r="B61" i="18" a="1"/>
  <c r="B61" i="18"/>
  <c r="N60" i="18" a="1"/>
  <c r="N60" i="18"/>
  <c r="L60" i="18" a="1"/>
  <c r="L60" i="18"/>
  <c r="M60" i="18" s="1"/>
  <c r="H60" i="18" a="1"/>
  <c r="H60" i="18"/>
  <c r="G60" i="18" a="1"/>
  <c r="G60" i="18"/>
  <c r="F60" i="18" a="1"/>
  <c r="F60" i="18"/>
  <c r="E60" i="18" a="1"/>
  <c r="E60" i="18"/>
  <c r="D60" i="18" a="1"/>
  <c r="D60" i="18"/>
  <c r="C60" i="18" a="1"/>
  <c r="C60" i="18"/>
  <c r="B60" i="18" a="1"/>
  <c r="B60" i="18"/>
  <c r="N59" i="18" a="1"/>
  <c r="N59" i="18"/>
  <c r="L59" i="18" a="1"/>
  <c r="L59" i="18"/>
  <c r="M59" i="18" s="1"/>
  <c r="H59" i="18" a="1"/>
  <c r="H59" i="18"/>
  <c r="G59" i="18" a="1"/>
  <c r="G59" i="18"/>
  <c r="F59" i="18" a="1"/>
  <c r="F59" i="18"/>
  <c r="E59" i="18" a="1"/>
  <c r="E59" i="18"/>
  <c r="D59" i="18" a="1"/>
  <c r="D59" i="18"/>
  <c r="C59" i="18" a="1"/>
  <c r="C59" i="18"/>
  <c r="B59" i="18" a="1"/>
  <c r="B59" i="18"/>
  <c r="N58" i="18" a="1"/>
  <c r="N58" i="18"/>
  <c r="L58" i="18" a="1"/>
  <c r="L58" i="18"/>
  <c r="M58" i="18" s="1"/>
  <c r="H58" i="18" a="1"/>
  <c r="H58" i="18"/>
  <c r="G58" i="18" a="1"/>
  <c r="G58" i="18"/>
  <c r="F58" i="18" a="1"/>
  <c r="F58" i="18"/>
  <c r="E58" i="18" a="1"/>
  <c r="E58" i="18"/>
  <c r="D58" i="18" a="1"/>
  <c r="D58" i="18"/>
  <c r="C58" i="18" a="1"/>
  <c r="C58" i="18"/>
  <c r="B58" i="18" a="1"/>
  <c r="B58" i="18"/>
  <c r="N57" i="18" a="1"/>
  <c r="N57" i="18"/>
  <c r="L57" i="18" a="1"/>
  <c r="L57" i="18"/>
  <c r="M57" i="18" s="1"/>
  <c r="H57" i="18" a="1"/>
  <c r="H57" i="18"/>
  <c r="G57" i="18" a="1"/>
  <c r="G57" i="18"/>
  <c r="F57" i="18" a="1"/>
  <c r="F57" i="18"/>
  <c r="E57" i="18" a="1"/>
  <c r="E57" i="18"/>
  <c r="D57" i="18" a="1"/>
  <c r="D57" i="18"/>
  <c r="C57" i="18" a="1"/>
  <c r="C57" i="18"/>
  <c r="B57" i="18" a="1"/>
  <c r="B57" i="18"/>
  <c r="N56" i="18" a="1"/>
  <c r="N56" i="18"/>
  <c r="L56" i="18" a="1"/>
  <c r="L56" i="18"/>
  <c r="M56" i="18" s="1"/>
  <c r="H56" i="18" a="1"/>
  <c r="H56" i="18"/>
  <c r="G56" i="18" a="1"/>
  <c r="G56" i="18"/>
  <c r="F56" i="18" a="1"/>
  <c r="F56" i="18"/>
  <c r="E56" i="18" a="1"/>
  <c r="E56" i="18"/>
  <c r="D56" i="18" a="1"/>
  <c r="D56" i="18"/>
  <c r="C56" i="18" a="1"/>
  <c r="C56" i="18"/>
  <c r="B56" i="18" a="1"/>
  <c r="B56" i="18"/>
  <c r="N55" i="18" a="1"/>
  <c r="N55" i="18"/>
  <c r="L55" i="18" a="1"/>
  <c r="L55" i="18"/>
  <c r="M55" i="18" s="1"/>
  <c r="H55" i="18" a="1"/>
  <c r="H55" i="18"/>
  <c r="G55" i="18" a="1"/>
  <c r="G55" i="18"/>
  <c r="F55" i="18" a="1"/>
  <c r="F55" i="18"/>
  <c r="E55" i="18" a="1"/>
  <c r="E55" i="18"/>
  <c r="D55" i="18" a="1"/>
  <c r="D55" i="18"/>
  <c r="C55" i="18" a="1"/>
  <c r="C55" i="18"/>
  <c r="B55" i="18" a="1"/>
  <c r="B55" i="18"/>
  <c r="N54" i="18" a="1"/>
  <c r="N54" i="18"/>
  <c r="L54" i="18" a="1"/>
  <c r="L54" i="18"/>
  <c r="M54" i="18" s="1"/>
  <c r="H54" i="18" a="1"/>
  <c r="H54" i="18"/>
  <c r="G54" i="18" a="1"/>
  <c r="G54" i="18"/>
  <c r="F54" i="18" a="1"/>
  <c r="F54" i="18"/>
  <c r="E54" i="18" a="1"/>
  <c r="E54" i="18"/>
  <c r="D54" i="18" a="1"/>
  <c r="D54" i="18"/>
  <c r="C54" i="18" a="1"/>
  <c r="C54" i="18"/>
  <c r="B54" i="18" a="1"/>
  <c r="B54" i="18"/>
  <c r="N53" i="18" a="1"/>
  <c r="N53" i="18"/>
  <c r="L53" i="18" a="1"/>
  <c r="L53" i="18"/>
  <c r="M53" i="18" s="1"/>
  <c r="H53" i="18" a="1"/>
  <c r="H53" i="18"/>
  <c r="G53" i="18" a="1"/>
  <c r="G53" i="18"/>
  <c r="F53" i="18" a="1"/>
  <c r="F53" i="18"/>
  <c r="E53" i="18" a="1"/>
  <c r="E53" i="18"/>
  <c r="D53" i="18" a="1"/>
  <c r="D53" i="18"/>
  <c r="C53" i="18" a="1"/>
  <c r="C53" i="18"/>
  <c r="B53" i="18" a="1"/>
  <c r="B53" i="18"/>
  <c r="N52" i="18" a="1"/>
  <c r="N52" i="18"/>
  <c r="L52" i="18" a="1"/>
  <c r="L52" i="18"/>
  <c r="M52" i="18" s="1"/>
  <c r="H52" i="18" a="1"/>
  <c r="H52" i="18"/>
  <c r="G52" i="18" a="1"/>
  <c r="G52" i="18"/>
  <c r="F52" i="18" a="1"/>
  <c r="F52" i="18"/>
  <c r="E52" i="18" a="1"/>
  <c r="E52" i="18"/>
  <c r="D52" i="18" a="1"/>
  <c r="D52" i="18"/>
  <c r="C52" i="18" a="1"/>
  <c r="C52" i="18"/>
  <c r="B52" i="18" a="1"/>
  <c r="B52" i="18"/>
  <c r="N51" i="18" a="1"/>
  <c r="N51" i="18"/>
  <c r="L51" i="18" a="1"/>
  <c r="L51" i="18"/>
  <c r="M51" i="18" s="1"/>
  <c r="H51" i="18" a="1"/>
  <c r="H51" i="18"/>
  <c r="G51" i="18" a="1"/>
  <c r="G51" i="18"/>
  <c r="F51" i="18" a="1"/>
  <c r="F51" i="18"/>
  <c r="E51" i="18" a="1"/>
  <c r="E51" i="18"/>
  <c r="D51" i="18" a="1"/>
  <c r="D51" i="18"/>
  <c r="C51" i="18" a="1"/>
  <c r="C51" i="18"/>
  <c r="B51" i="18" a="1"/>
  <c r="B51" i="18"/>
  <c r="N50" i="18" a="1"/>
  <c r="N50" i="18"/>
  <c r="L50" i="18" a="1"/>
  <c r="L50" i="18"/>
  <c r="M50" i="18" s="1"/>
  <c r="H50" i="18" a="1"/>
  <c r="H50" i="18"/>
  <c r="G50" i="18" a="1"/>
  <c r="G50" i="18"/>
  <c r="F50" i="18" a="1"/>
  <c r="F50" i="18"/>
  <c r="E50" i="18" a="1"/>
  <c r="E50" i="18"/>
  <c r="D50" i="18" a="1"/>
  <c r="D50" i="18"/>
  <c r="C50" i="18" a="1"/>
  <c r="C50" i="18"/>
  <c r="B50" i="18" a="1"/>
  <c r="B50" i="18"/>
  <c r="N49" i="18" a="1"/>
  <c r="N49" i="18"/>
  <c r="L49" i="18" a="1"/>
  <c r="L49" i="18"/>
  <c r="M49" i="18" s="1"/>
  <c r="H49" i="18" a="1"/>
  <c r="H49" i="18"/>
  <c r="G49" i="18" a="1"/>
  <c r="G49" i="18"/>
  <c r="F49" i="18" a="1"/>
  <c r="F49" i="18"/>
  <c r="E49" i="18" a="1"/>
  <c r="E49" i="18"/>
  <c r="D49" i="18" a="1"/>
  <c r="D49" i="18"/>
  <c r="C49" i="18" a="1"/>
  <c r="C49" i="18"/>
  <c r="B49" i="18" a="1"/>
  <c r="B49" i="18"/>
  <c r="N48" i="18" a="1"/>
  <c r="N48" i="18"/>
  <c r="L48" i="18" a="1"/>
  <c r="L48" i="18"/>
  <c r="M48" i="18" s="1"/>
  <c r="H48" i="18" a="1"/>
  <c r="H48" i="18"/>
  <c r="G48" i="18" a="1"/>
  <c r="G48" i="18"/>
  <c r="F48" i="18" a="1"/>
  <c r="F48" i="18"/>
  <c r="E48" i="18" a="1"/>
  <c r="E48" i="18"/>
  <c r="D48" i="18" a="1"/>
  <c r="D48" i="18"/>
  <c r="C48" i="18" a="1"/>
  <c r="C48" i="18"/>
  <c r="B48" i="18" a="1"/>
  <c r="B48" i="18"/>
  <c r="N47" i="18" a="1"/>
  <c r="N47" i="18"/>
  <c r="L47" i="18" a="1"/>
  <c r="L47" i="18"/>
  <c r="M47" i="18" s="1"/>
  <c r="H47" i="18" a="1"/>
  <c r="H47" i="18"/>
  <c r="G47" i="18" a="1"/>
  <c r="G47" i="18"/>
  <c r="F47" i="18" a="1"/>
  <c r="F47" i="18"/>
  <c r="E47" i="18" a="1"/>
  <c r="E47" i="18"/>
  <c r="D47" i="18" a="1"/>
  <c r="D47" i="18"/>
  <c r="C47" i="18" a="1"/>
  <c r="C47" i="18"/>
  <c r="B47" i="18" a="1"/>
  <c r="B47" i="18"/>
  <c r="N46" i="18" a="1"/>
  <c r="N46" i="18"/>
  <c r="L46" i="18" a="1"/>
  <c r="L46" i="18"/>
  <c r="M46" i="18" s="1"/>
  <c r="H46" i="18" a="1"/>
  <c r="H46" i="18"/>
  <c r="G46" i="18" a="1"/>
  <c r="G46" i="18"/>
  <c r="F46" i="18" a="1"/>
  <c r="F46" i="18"/>
  <c r="E46" i="18" a="1"/>
  <c r="E46" i="18"/>
  <c r="D46" i="18" a="1"/>
  <c r="D46" i="18"/>
  <c r="C46" i="18" a="1"/>
  <c r="C46" i="18"/>
  <c r="B46" i="18" a="1"/>
  <c r="B46" i="18"/>
  <c r="N45" i="18" a="1"/>
  <c r="N45" i="18"/>
  <c r="L45" i="18" a="1"/>
  <c r="L45" i="18"/>
  <c r="M45" i="18" s="1"/>
  <c r="H45" i="18" a="1"/>
  <c r="H45" i="18"/>
  <c r="G45" i="18" a="1"/>
  <c r="G45" i="18"/>
  <c r="F45" i="18" a="1"/>
  <c r="F45" i="18"/>
  <c r="E45" i="18" a="1"/>
  <c r="E45" i="18"/>
  <c r="D45" i="18" a="1"/>
  <c r="D45" i="18"/>
  <c r="C45" i="18" a="1"/>
  <c r="C45" i="18"/>
  <c r="B45" i="18" a="1"/>
  <c r="B45" i="18"/>
  <c r="N44" i="18" a="1"/>
  <c r="N44" i="18"/>
  <c r="L44" i="18" a="1"/>
  <c r="L44" i="18"/>
  <c r="M44" i="18" s="1"/>
  <c r="H44" i="18" a="1"/>
  <c r="H44" i="18"/>
  <c r="G44" i="18" a="1"/>
  <c r="G44" i="18"/>
  <c r="F44" i="18" a="1"/>
  <c r="F44" i="18"/>
  <c r="E44" i="18" a="1"/>
  <c r="E44" i="18"/>
  <c r="D44" i="18" a="1"/>
  <c r="D44" i="18"/>
  <c r="C44" i="18" a="1"/>
  <c r="C44" i="18"/>
  <c r="B44" i="18" a="1"/>
  <c r="B44" i="18"/>
  <c r="N43" i="18" a="1"/>
  <c r="N43" i="18"/>
  <c r="L43" i="18" a="1"/>
  <c r="L43" i="18"/>
  <c r="M43" i="18" s="1"/>
  <c r="H43" i="18" a="1"/>
  <c r="H43" i="18"/>
  <c r="G43" i="18" a="1"/>
  <c r="G43" i="18"/>
  <c r="F43" i="18" a="1"/>
  <c r="F43" i="18"/>
  <c r="E43" i="18" a="1"/>
  <c r="E43" i="18"/>
  <c r="D43" i="18" a="1"/>
  <c r="D43" i="18"/>
  <c r="C43" i="18" a="1"/>
  <c r="C43" i="18"/>
  <c r="B43" i="18" a="1"/>
  <c r="B43" i="18"/>
  <c r="N42" i="18" a="1"/>
  <c r="N42" i="18"/>
  <c r="L42" i="18" a="1"/>
  <c r="L42" i="18"/>
  <c r="M42" i="18" s="1"/>
  <c r="H42" i="18" a="1"/>
  <c r="H42" i="18"/>
  <c r="G42" i="18" a="1"/>
  <c r="G42" i="18"/>
  <c r="F42" i="18" a="1"/>
  <c r="F42" i="18"/>
  <c r="E42" i="18" a="1"/>
  <c r="E42" i="18"/>
  <c r="D42" i="18" a="1"/>
  <c r="D42" i="18"/>
  <c r="C42" i="18" a="1"/>
  <c r="C42" i="18"/>
  <c r="B42" i="18" a="1"/>
  <c r="B42" i="18"/>
  <c r="N41" i="18" a="1"/>
  <c r="N41" i="18"/>
  <c r="L41" i="18" a="1"/>
  <c r="L41" i="18"/>
  <c r="M41" i="18" s="1"/>
  <c r="H41" i="18" a="1"/>
  <c r="H41" i="18"/>
  <c r="G41" i="18" a="1"/>
  <c r="G41" i="18"/>
  <c r="F41" i="18" a="1"/>
  <c r="F41" i="18"/>
  <c r="E41" i="18" a="1"/>
  <c r="E41" i="18"/>
  <c r="D41" i="18" a="1"/>
  <c r="D41" i="18"/>
  <c r="C41" i="18" a="1"/>
  <c r="C41" i="18"/>
  <c r="B41" i="18" a="1"/>
  <c r="B41" i="18"/>
  <c r="N40" i="18" a="1"/>
  <c r="N40" i="18"/>
  <c r="L40" i="18" a="1"/>
  <c r="L40" i="18"/>
  <c r="M40" i="18" s="1"/>
  <c r="H40" i="18" a="1"/>
  <c r="H40" i="18"/>
  <c r="G40" i="18" a="1"/>
  <c r="G40" i="18"/>
  <c r="F40" i="18" a="1"/>
  <c r="F40" i="18"/>
  <c r="E40" i="18" a="1"/>
  <c r="E40" i="18"/>
  <c r="D40" i="18" a="1"/>
  <c r="D40" i="18"/>
  <c r="C40" i="18" a="1"/>
  <c r="C40" i="18"/>
  <c r="B40" i="18" a="1"/>
  <c r="B40" i="18"/>
  <c r="N39" i="18" a="1"/>
  <c r="N39" i="18"/>
  <c r="L39" i="18" a="1"/>
  <c r="L39" i="18"/>
  <c r="M39" i="18" s="1"/>
  <c r="H39" i="18" a="1"/>
  <c r="H39" i="18"/>
  <c r="G39" i="18" a="1"/>
  <c r="G39" i="18"/>
  <c r="F39" i="18" a="1"/>
  <c r="F39" i="18"/>
  <c r="E39" i="18" a="1"/>
  <c r="E39" i="18"/>
  <c r="D39" i="18" a="1"/>
  <c r="D39" i="18"/>
  <c r="C39" i="18" a="1"/>
  <c r="C39" i="18"/>
  <c r="B39" i="18" a="1"/>
  <c r="B39" i="18"/>
  <c r="N38" i="18" a="1"/>
  <c r="N38" i="18"/>
  <c r="L38" i="18" a="1"/>
  <c r="L38" i="18"/>
  <c r="M38" i="18" s="1"/>
  <c r="H38" i="18" a="1"/>
  <c r="H38" i="18"/>
  <c r="G38" i="18" a="1"/>
  <c r="G38" i="18"/>
  <c r="F38" i="18" a="1"/>
  <c r="F38" i="18"/>
  <c r="E38" i="18" a="1"/>
  <c r="E38" i="18"/>
  <c r="D38" i="18" a="1"/>
  <c r="D38" i="18"/>
  <c r="C38" i="18" a="1"/>
  <c r="C38" i="18"/>
  <c r="B38" i="18" a="1"/>
  <c r="B38" i="18"/>
  <c r="N37" i="18" a="1"/>
  <c r="N37" i="18"/>
  <c r="L37" i="18" a="1"/>
  <c r="L37" i="18"/>
  <c r="M37" i="18" s="1"/>
  <c r="H37" i="18" a="1"/>
  <c r="H37" i="18"/>
  <c r="G37" i="18" a="1"/>
  <c r="G37" i="18"/>
  <c r="F37" i="18" a="1"/>
  <c r="F37" i="18"/>
  <c r="E37" i="18" a="1"/>
  <c r="E37" i="18"/>
  <c r="D37" i="18" a="1"/>
  <c r="D37" i="18"/>
  <c r="C37" i="18" a="1"/>
  <c r="C37" i="18"/>
  <c r="B37" i="18" a="1"/>
  <c r="B37" i="18"/>
  <c r="N36" i="18" a="1"/>
  <c r="N36" i="18"/>
  <c r="L36" i="18" a="1"/>
  <c r="L36" i="18"/>
  <c r="M36" i="18" s="1"/>
  <c r="H36" i="18" a="1"/>
  <c r="H36" i="18"/>
  <c r="G36" i="18" a="1"/>
  <c r="G36" i="18"/>
  <c r="F36" i="18" a="1"/>
  <c r="F36" i="18"/>
  <c r="E36" i="18" a="1"/>
  <c r="E36" i="18"/>
  <c r="D36" i="18" a="1"/>
  <c r="D36" i="18"/>
  <c r="C36" i="18" a="1"/>
  <c r="C36" i="18"/>
  <c r="B36" i="18" a="1"/>
  <c r="B36" i="18"/>
  <c r="N35" i="18" a="1"/>
  <c r="N35" i="18"/>
  <c r="L35" i="18" a="1"/>
  <c r="L35" i="18"/>
  <c r="M35" i="18" s="1"/>
  <c r="H35" i="18" a="1"/>
  <c r="H35" i="18"/>
  <c r="G35" i="18" a="1"/>
  <c r="G35" i="18"/>
  <c r="F35" i="18" a="1"/>
  <c r="F35" i="18"/>
  <c r="E35" i="18" a="1"/>
  <c r="E35" i="18"/>
  <c r="D35" i="18" a="1"/>
  <c r="D35" i="18"/>
  <c r="C35" i="18" a="1"/>
  <c r="C35" i="18"/>
  <c r="B35" i="18" a="1"/>
  <c r="B35" i="18"/>
  <c r="N34" i="18" a="1"/>
  <c r="N34" i="18"/>
  <c r="L34" i="18" a="1"/>
  <c r="L34" i="18"/>
  <c r="M34" i="18" s="1"/>
  <c r="H34" i="18" a="1"/>
  <c r="H34" i="18"/>
  <c r="G34" i="18" a="1"/>
  <c r="G34" i="18"/>
  <c r="F34" i="18" a="1"/>
  <c r="F34" i="18"/>
  <c r="E34" i="18" a="1"/>
  <c r="E34" i="18"/>
  <c r="D34" i="18" a="1"/>
  <c r="D34" i="18"/>
  <c r="C34" i="18" a="1"/>
  <c r="C34" i="18"/>
  <c r="B34" i="18" a="1"/>
  <c r="B34" i="18"/>
  <c r="N33" i="18" a="1"/>
  <c r="N33" i="18"/>
  <c r="L33" i="18" a="1"/>
  <c r="L33" i="18"/>
  <c r="M33" i="18" s="1"/>
  <c r="H33" i="18" a="1"/>
  <c r="H33" i="18"/>
  <c r="G33" i="18" a="1"/>
  <c r="G33" i="18"/>
  <c r="F33" i="18" a="1"/>
  <c r="F33" i="18"/>
  <c r="E33" i="18" a="1"/>
  <c r="E33" i="18"/>
  <c r="D33" i="18" a="1"/>
  <c r="D33" i="18"/>
  <c r="C33" i="18" a="1"/>
  <c r="C33" i="18"/>
  <c r="B33" i="18" a="1"/>
  <c r="B33" i="18"/>
  <c r="N32" i="18" a="1"/>
  <c r="N32" i="18"/>
  <c r="L32" i="18" a="1"/>
  <c r="L32" i="18"/>
  <c r="M32" i="18" s="1"/>
  <c r="H32" i="18" a="1"/>
  <c r="H32" i="18"/>
  <c r="G32" i="18" a="1"/>
  <c r="G32" i="18"/>
  <c r="F32" i="18" a="1"/>
  <c r="F32" i="18"/>
  <c r="E32" i="18" a="1"/>
  <c r="E32" i="18"/>
  <c r="D32" i="18" a="1"/>
  <c r="D32" i="18"/>
  <c r="C32" i="18" a="1"/>
  <c r="C32" i="18"/>
  <c r="B32" i="18" a="1"/>
  <c r="B32" i="18"/>
  <c r="N31" i="18" a="1"/>
  <c r="N31" i="18"/>
  <c r="L31" i="18" a="1"/>
  <c r="L31" i="18"/>
  <c r="M31" i="18" s="1"/>
  <c r="H31" i="18" a="1"/>
  <c r="H31" i="18"/>
  <c r="G31" i="18" a="1"/>
  <c r="G31" i="18"/>
  <c r="F31" i="18" a="1"/>
  <c r="F31" i="18"/>
  <c r="E31" i="18" a="1"/>
  <c r="E31" i="18"/>
  <c r="D31" i="18" a="1"/>
  <c r="D31" i="18"/>
  <c r="C31" i="18" a="1"/>
  <c r="C31" i="18"/>
  <c r="B31" i="18" a="1"/>
  <c r="B31" i="18"/>
  <c r="N30" i="18" a="1"/>
  <c r="N30" i="18"/>
  <c r="L30" i="18" a="1"/>
  <c r="L30" i="18"/>
  <c r="M30" i="18" s="1"/>
  <c r="H30" i="18" a="1"/>
  <c r="H30" i="18"/>
  <c r="G30" i="18" a="1"/>
  <c r="G30" i="18"/>
  <c r="F30" i="18" a="1"/>
  <c r="F30" i="18"/>
  <c r="E30" i="18" a="1"/>
  <c r="E30" i="18"/>
  <c r="D30" i="18" a="1"/>
  <c r="D30" i="18"/>
  <c r="C30" i="18" a="1"/>
  <c r="C30" i="18"/>
  <c r="B30" i="18" a="1"/>
  <c r="B30" i="18"/>
  <c r="N29" i="18" a="1"/>
  <c r="N29" i="18"/>
  <c r="L29" i="18" a="1"/>
  <c r="L29" i="18"/>
  <c r="M29" i="18" s="1"/>
  <c r="H29" i="18" a="1"/>
  <c r="H29" i="18"/>
  <c r="G29" i="18" a="1"/>
  <c r="G29" i="18"/>
  <c r="F29" i="18" a="1"/>
  <c r="F29" i="18"/>
  <c r="E29" i="18" a="1"/>
  <c r="E29" i="18"/>
  <c r="D29" i="18" a="1"/>
  <c r="D29" i="18"/>
  <c r="C29" i="18" a="1"/>
  <c r="C29" i="18"/>
  <c r="B29" i="18" a="1"/>
  <c r="B29" i="18"/>
  <c r="N28" i="18" a="1"/>
  <c r="N28" i="18"/>
  <c r="L28" i="18" a="1"/>
  <c r="L28" i="18"/>
  <c r="M28" i="18" s="1"/>
  <c r="H28" i="18" a="1"/>
  <c r="H28" i="18"/>
  <c r="G28" i="18" a="1"/>
  <c r="G28" i="18"/>
  <c r="F28" i="18" a="1"/>
  <c r="F28" i="18"/>
  <c r="E28" i="18" a="1"/>
  <c r="E28" i="18"/>
  <c r="D28" i="18" a="1"/>
  <c r="D28" i="18"/>
  <c r="C28" i="18" a="1"/>
  <c r="C28" i="18"/>
  <c r="B28" i="18" a="1"/>
  <c r="B28" i="18"/>
  <c r="N27" i="18" a="1"/>
  <c r="N27" i="18"/>
  <c r="L27" i="18" a="1"/>
  <c r="L27" i="18"/>
  <c r="M27" i="18" s="1"/>
  <c r="H27" i="18" a="1"/>
  <c r="H27" i="18"/>
  <c r="G27" i="18" a="1"/>
  <c r="G27" i="18"/>
  <c r="F27" i="18" a="1"/>
  <c r="F27" i="18"/>
  <c r="E27" i="18" a="1"/>
  <c r="E27" i="18"/>
  <c r="D27" i="18" a="1"/>
  <c r="D27" i="18"/>
  <c r="C27" i="18" a="1"/>
  <c r="C27" i="18"/>
  <c r="B27" i="18" a="1"/>
  <c r="B27" i="18"/>
  <c r="N26" i="18" a="1"/>
  <c r="N26" i="18"/>
  <c r="L26" i="18" a="1"/>
  <c r="L26" i="18"/>
  <c r="M26" i="18" s="1"/>
  <c r="H26" i="18" a="1"/>
  <c r="H26" i="18"/>
  <c r="G26" i="18" a="1"/>
  <c r="G26" i="18"/>
  <c r="F26" i="18" a="1"/>
  <c r="F26" i="18"/>
  <c r="E26" i="18" a="1"/>
  <c r="E26" i="18"/>
  <c r="D26" i="18" a="1"/>
  <c r="D26" i="18"/>
  <c r="C26" i="18" a="1"/>
  <c r="C26" i="18"/>
  <c r="B26" i="18" a="1"/>
  <c r="B26" i="18"/>
  <c r="N25" i="18" a="1"/>
  <c r="N25" i="18"/>
  <c r="L25" i="18" a="1"/>
  <c r="L25" i="18"/>
  <c r="M25" i="18" s="1"/>
  <c r="H25" i="18" a="1"/>
  <c r="H25" i="18"/>
  <c r="G25" i="18" a="1"/>
  <c r="G25" i="18"/>
  <c r="F25" i="18" a="1"/>
  <c r="F25" i="18"/>
  <c r="E25" i="18" a="1"/>
  <c r="E25" i="18"/>
  <c r="D25" i="18" a="1"/>
  <c r="D25" i="18"/>
  <c r="C25" i="18" a="1"/>
  <c r="C25" i="18"/>
  <c r="B25" i="18" a="1"/>
  <c r="B25" i="18"/>
  <c r="N24" i="18" a="1"/>
  <c r="N24" i="18"/>
  <c r="L24" i="18" a="1"/>
  <c r="L24" i="18"/>
  <c r="M24" i="18" s="1"/>
  <c r="H24" i="18" a="1"/>
  <c r="H24" i="18"/>
  <c r="G24" i="18" a="1"/>
  <c r="G24" i="18"/>
  <c r="F24" i="18" a="1"/>
  <c r="F24" i="18"/>
  <c r="E24" i="18" a="1"/>
  <c r="E24" i="18"/>
  <c r="D24" i="18" a="1"/>
  <c r="D24" i="18"/>
  <c r="C24" i="18" a="1"/>
  <c r="C24" i="18"/>
  <c r="B24" i="18" a="1"/>
  <c r="B24" i="18"/>
  <c r="N23" i="18" a="1"/>
  <c r="N23" i="18"/>
  <c r="L23" i="18" a="1"/>
  <c r="L23" i="18"/>
  <c r="M23" i="18" s="1"/>
  <c r="H23" i="18" a="1"/>
  <c r="H23" i="18"/>
  <c r="G23" i="18" a="1"/>
  <c r="G23" i="18"/>
  <c r="F23" i="18" a="1"/>
  <c r="F23" i="18"/>
  <c r="E23" i="18" a="1"/>
  <c r="E23" i="18"/>
  <c r="D23" i="18" a="1"/>
  <c r="D23" i="18"/>
  <c r="C23" i="18" a="1"/>
  <c r="C23" i="18"/>
  <c r="B23" i="18" a="1"/>
  <c r="B23" i="18"/>
  <c r="N22" i="18" a="1"/>
  <c r="N22" i="18"/>
  <c r="L22" i="18" a="1"/>
  <c r="L22" i="18"/>
  <c r="M22" i="18" s="1"/>
  <c r="H22" i="18" a="1"/>
  <c r="H22" i="18"/>
  <c r="G22" i="18" a="1"/>
  <c r="G22" i="18"/>
  <c r="F22" i="18" a="1"/>
  <c r="F22" i="18"/>
  <c r="E22" i="18" a="1"/>
  <c r="E22" i="18"/>
  <c r="D22" i="18" a="1"/>
  <c r="D22" i="18"/>
  <c r="C22" i="18" a="1"/>
  <c r="C22" i="18"/>
  <c r="B22" i="18" a="1"/>
  <c r="B22" i="18"/>
  <c r="N21" i="18" a="1"/>
  <c r="N21" i="18"/>
  <c r="L21" i="18" a="1"/>
  <c r="L21" i="18"/>
  <c r="M21" i="18" s="1"/>
  <c r="H21" i="18" a="1"/>
  <c r="H21" i="18"/>
  <c r="G21" i="18" a="1"/>
  <c r="G21" i="18"/>
  <c r="F21" i="18" a="1"/>
  <c r="F21" i="18"/>
  <c r="E21" i="18" a="1"/>
  <c r="E21" i="18"/>
  <c r="D21" i="18" a="1"/>
  <c r="D21" i="18"/>
  <c r="C21" i="18" a="1"/>
  <c r="C21" i="18"/>
  <c r="B21" i="18" a="1"/>
  <c r="B21" i="18"/>
  <c r="N20" i="18" a="1"/>
  <c r="N20" i="18"/>
  <c r="L20" i="18" a="1"/>
  <c r="L20" i="18"/>
  <c r="M20" i="18" s="1"/>
  <c r="H20" i="18" a="1"/>
  <c r="H20" i="18"/>
  <c r="G20" i="18" a="1"/>
  <c r="G20" i="18"/>
  <c r="F20" i="18" a="1"/>
  <c r="F20" i="18"/>
  <c r="E20" i="18" a="1"/>
  <c r="E20" i="18"/>
  <c r="D20" i="18" a="1"/>
  <c r="D20" i="18"/>
  <c r="C20" i="18" a="1"/>
  <c r="C20" i="18"/>
  <c r="B20" i="18" a="1"/>
  <c r="B20" i="18"/>
  <c r="N19" i="18" a="1"/>
  <c r="N19" i="18"/>
  <c r="L19" i="18" a="1"/>
  <c r="L19" i="18"/>
  <c r="M19" i="18" s="1"/>
  <c r="H19" i="18" a="1"/>
  <c r="H19" i="18"/>
  <c r="G19" i="18" a="1"/>
  <c r="G19" i="18"/>
  <c r="F19" i="18" a="1"/>
  <c r="F19" i="18"/>
  <c r="E19" i="18" a="1"/>
  <c r="E19" i="18"/>
  <c r="D19" i="18" a="1"/>
  <c r="D19" i="18"/>
  <c r="C19" i="18" a="1"/>
  <c r="C19" i="18"/>
  <c r="B19" i="18" a="1"/>
  <c r="B19" i="18"/>
  <c r="N18" i="18" a="1"/>
  <c r="N18" i="18"/>
  <c r="L18" i="18" a="1"/>
  <c r="L18" i="18"/>
  <c r="M18" i="18" s="1"/>
  <c r="H18" i="18" a="1"/>
  <c r="H18" i="18"/>
  <c r="G18" i="18" a="1"/>
  <c r="G18" i="18"/>
  <c r="F18" i="18" a="1"/>
  <c r="F18" i="18"/>
  <c r="E18" i="18" a="1"/>
  <c r="E18" i="18"/>
  <c r="D18" i="18" a="1"/>
  <c r="D18" i="18"/>
  <c r="C18" i="18" a="1"/>
  <c r="C18" i="18"/>
  <c r="B18" i="18" a="1"/>
  <c r="B18" i="18"/>
  <c r="N17" i="18" a="1"/>
  <c r="N17" i="18"/>
  <c r="L17" i="18" a="1"/>
  <c r="L17" i="18"/>
  <c r="M17" i="18" s="1"/>
  <c r="H17" i="18" a="1"/>
  <c r="H17" i="18"/>
  <c r="G17" i="18" a="1"/>
  <c r="G17" i="18"/>
  <c r="F17" i="18" a="1"/>
  <c r="F17" i="18"/>
  <c r="E17" i="18" a="1"/>
  <c r="E17" i="18"/>
  <c r="D17" i="18" a="1"/>
  <c r="D17" i="18"/>
  <c r="C17" i="18" a="1"/>
  <c r="C17" i="18"/>
  <c r="B17" i="18" a="1"/>
  <c r="B17" i="18"/>
  <c r="N16" i="18" a="1"/>
  <c r="N16" i="18"/>
  <c r="L16" i="18" a="1"/>
  <c r="L16" i="18"/>
  <c r="M16" i="18" s="1"/>
  <c r="H16" i="18" a="1"/>
  <c r="H16" i="18"/>
  <c r="G16" i="18" a="1"/>
  <c r="G16" i="18"/>
  <c r="F16" i="18" a="1"/>
  <c r="F16" i="18"/>
  <c r="E16" i="18" a="1"/>
  <c r="E16" i="18"/>
  <c r="D16" i="18" a="1"/>
  <c r="D16" i="18"/>
  <c r="C16" i="18" a="1"/>
  <c r="C16" i="18"/>
  <c r="B16" i="18" a="1"/>
  <c r="B16" i="18"/>
  <c r="N15" i="18" a="1"/>
  <c r="N15" i="18"/>
  <c r="L15" i="18" a="1"/>
  <c r="L15" i="18"/>
  <c r="M15" i="18" s="1"/>
  <c r="H15" i="18" a="1"/>
  <c r="H15" i="18"/>
  <c r="G15" i="18" a="1"/>
  <c r="G15" i="18"/>
  <c r="F15" i="18" a="1"/>
  <c r="F15" i="18"/>
  <c r="E15" i="18" a="1"/>
  <c r="E15" i="18"/>
  <c r="D15" i="18" a="1"/>
  <c r="D15" i="18"/>
  <c r="C15" i="18" a="1"/>
  <c r="C15" i="18"/>
  <c r="B15" i="18" a="1"/>
  <c r="B15" i="18"/>
  <c r="N14" i="18" a="1"/>
  <c r="N14" i="18"/>
  <c r="L14" i="18" a="1"/>
  <c r="L14" i="18"/>
  <c r="M14" i="18" s="1"/>
  <c r="H14" i="18" a="1"/>
  <c r="H14" i="18"/>
  <c r="G14" i="18" a="1"/>
  <c r="G14" i="18"/>
  <c r="F14" i="18" a="1"/>
  <c r="F14" i="18"/>
  <c r="E14" i="18" a="1"/>
  <c r="E14" i="18"/>
  <c r="D14" i="18" a="1"/>
  <c r="D14" i="18"/>
  <c r="C14" i="18" a="1"/>
  <c r="C14" i="18"/>
  <c r="B14" i="18" a="1"/>
  <c r="B14" i="18"/>
  <c r="N13" i="18" a="1"/>
  <c r="N13" i="18"/>
  <c r="L13" i="18" a="1"/>
  <c r="L13" i="18"/>
  <c r="M13" i="18" s="1"/>
  <c r="H13" i="18" a="1"/>
  <c r="H13" i="18"/>
  <c r="G13" i="18" a="1"/>
  <c r="G13" i="18"/>
  <c r="F13" i="18" a="1"/>
  <c r="F13" i="18"/>
  <c r="E13" i="18" a="1"/>
  <c r="E13" i="18"/>
  <c r="D13" i="18" a="1"/>
  <c r="D13" i="18"/>
  <c r="C13" i="18" a="1"/>
  <c r="C13" i="18"/>
  <c r="B13" i="18" a="1"/>
  <c r="B13" i="18"/>
  <c r="N12" i="18" a="1"/>
  <c r="N12" i="18"/>
  <c r="L12" i="18" a="1"/>
  <c r="L12" i="18"/>
  <c r="M12" i="18" s="1"/>
  <c r="H12" i="18" a="1"/>
  <c r="H12" i="18"/>
  <c r="G12" i="18" a="1"/>
  <c r="G12" i="18"/>
  <c r="F12" i="18" a="1"/>
  <c r="F12" i="18"/>
  <c r="E12" i="18" a="1"/>
  <c r="E12" i="18"/>
  <c r="D12" i="18" a="1"/>
  <c r="D12" i="18"/>
  <c r="C12" i="18" a="1"/>
  <c r="C12" i="18"/>
  <c r="B12" i="18" a="1"/>
  <c r="B12" i="18"/>
  <c r="N11" i="18" a="1"/>
  <c r="N11" i="18"/>
  <c r="L11" i="18" a="1"/>
  <c r="L11" i="18"/>
  <c r="M11" i="18" s="1"/>
  <c r="H11" i="18" a="1"/>
  <c r="H11" i="18"/>
  <c r="G11" i="18" a="1"/>
  <c r="G11" i="18"/>
  <c r="F11" i="18" a="1"/>
  <c r="F11" i="18"/>
  <c r="E11" i="18" a="1"/>
  <c r="E11" i="18"/>
  <c r="D11" i="18" a="1"/>
  <c r="D11" i="18"/>
  <c r="C11" i="18" a="1"/>
  <c r="C11" i="18"/>
  <c r="B11" i="18" a="1"/>
  <c r="B11" i="18"/>
  <c r="N10" i="18" a="1"/>
  <c r="N10" i="18"/>
  <c r="L10" i="18" a="1"/>
  <c r="L10" i="18"/>
  <c r="M10" i="18" s="1"/>
  <c r="H10" i="18" a="1"/>
  <c r="H10" i="18"/>
  <c r="G10" i="18" a="1"/>
  <c r="G10" i="18"/>
  <c r="F10" i="18" a="1"/>
  <c r="F10" i="18"/>
  <c r="E10" i="18" a="1"/>
  <c r="E10" i="18"/>
  <c r="D10" i="18" a="1"/>
  <c r="D10" i="18"/>
  <c r="C10" i="18" a="1"/>
  <c r="C10" i="18"/>
  <c r="B10" i="18" a="1"/>
  <c r="B10" i="18"/>
  <c r="N9" i="18" a="1"/>
  <c r="N9" i="18"/>
  <c r="L9" i="18" a="1"/>
  <c r="L9" i="18"/>
  <c r="M9" i="18" s="1"/>
  <c r="H9" i="18" a="1"/>
  <c r="H9" i="18"/>
  <c r="G9" i="18" a="1"/>
  <c r="G9" i="18"/>
  <c r="F9" i="18" a="1"/>
  <c r="F9" i="18"/>
  <c r="E9" i="18" a="1"/>
  <c r="E9" i="18"/>
  <c r="D9" i="18" a="1"/>
  <c r="D9" i="18"/>
  <c r="C9" i="18" a="1"/>
  <c r="C9" i="18"/>
  <c r="B9" i="18" a="1"/>
  <c r="B9" i="18"/>
  <c r="N8" i="18" a="1"/>
  <c r="N8" i="18"/>
  <c r="L8" i="18" a="1"/>
  <c r="L8" i="18"/>
  <c r="M8" i="18" s="1"/>
  <c r="H8" i="18" a="1"/>
  <c r="H8" i="18"/>
  <c r="G8" i="18" a="1"/>
  <c r="G8" i="18"/>
  <c r="F8" i="18" a="1"/>
  <c r="F8" i="18"/>
  <c r="E8" i="18" a="1"/>
  <c r="E8" i="18"/>
  <c r="D8" i="18" a="1"/>
  <c r="D8" i="18"/>
  <c r="C8" i="18" a="1"/>
  <c r="C8" i="18"/>
  <c r="B8" i="18" a="1"/>
  <c r="B8" i="18"/>
  <c r="N7" i="18" a="1"/>
  <c r="N7" i="18"/>
  <c r="L7" i="18" a="1"/>
  <c r="L7" i="18"/>
  <c r="M7" i="18" s="1"/>
  <c r="H7" i="18" a="1"/>
  <c r="H7" i="18"/>
  <c r="G7" i="18" a="1"/>
  <c r="G7" i="18"/>
  <c r="F7" i="18" a="1"/>
  <c r="F7" i="18"/>
  <c r="E7" i="18" a="1"/>
  <c r="E7" i="18"/>
  <c r="D7" i="18" a="1"/>
  <c r="D7" i="18"/>
  <c r="C7" i="18" a="1"/>
  <c r="C7" i="18"/>
  <c r="B7" i="18" a="1"/>
  <c r="B7" i="18"/>
  <c r="N6" i="18" a="1"/>
  <c r="N6" i="18"/>
  <c r="L6" i="18" a="1"/>
  <c r="L6" i="18"/>
  <c r="M6" i="18" s="1"/>
  <c r="H6" i="18" a="1"/>
  <c r="H6" i="18"/>
  <c r="G6" i="18" a="1"/>
  <c r="G6" i="18"/>
  <c r="F6" i="18" a="1"/>
  <c r="F6" i="18"/>
  <c r="E6" i="18" a="1"/>
  <c r="E6" i="18"/>
  <c r="D6" i="18" a="1"/>
  <c r="D6" i="18"/>
  <c r="C6" i="18" a="1"/>
  <c r="C6" i="18"/>
  <c r="B6" i="18" a="1"/>
  <c r="B6" i="18"/>
  <c r="N5" i="18" a="1"/>
  <c r="N5" i="18"/>
  <c r="L5" i="18" a="1"/>
  <c r="L5" i="18"/>
  <c r="M5" i="18" s="1"/>
  <c r="H5" i="18" a="1"/>
  <c r="H5" i="18"/>
  <c r="G5" i="18" a="1"/>
  <c r="G5" i="18"/>
  <c r="F5" i="18" a="1"/>
  <c r="F5" i="18"/>
  <c r="E5" i="18" a="1"/>
  <c r="E5" i="18"/>
  <c r="D5" i="18" a="1"/>
  <c r="D5" i="18"/>
  <c r="C5" i="18" a="1"/>
  <c r="C5" i="18"/>
  <c r="B5" i="18" a="1"/>
  <c r="B5" i="18"/>
  <c r="N4" i="18" a="1"/>
  <c r="N4" i="18"/>
  <c r="L4" i="18" a="1"/>
  <c r="L4" i="18"/>
  <c r="M4" i="18" s="1"/>
  <c r="H4" i="18" a="1"/>
  <c r="H4" i="18"/>
  <c r="G4" i="18" a="1"/>
  <c r="G4" i="18"/>
  <c r="F4" i="18" a="1"/>
  <c r="F4" i="18"/>
  <c r="E4" i="18" a="1"/>
  <c r="E4" i="18"/>
  <c r="D4" i="18" a="1"/>
  <c r="D4" i="18"/>
  <c r="C4" i="18" a="1"/>
  <c r="C4" i="18"/>
  <c r="B4" i="18" a="1"/>
  <c r="B4" i="18"/>
  <c r="N3" i="18" a="1"/>
  <c r="N3" i="18"/>
  <c r="L3" i="18" a="1"/>
  <c r="L3" i="18"/>
  <c r="M3" i="18" s="1"/>
  <c r="H3" i="18" a="1"/>
  <c r="H3" i="18"/>
  <c r="G3" i="18" a="1"/>
  <c r="G3" i="18"/>
  <c r="F3" i="18" a="1"/>
  <c r="F3" i="18"/>
  <c r="E3" i="18" a="1"/>
  <c r="E3" i="18"/>
  <c r="D3" i="18" a="1"/>
  <c r="D3" i="18"/>
  <c r="C3" i="18" a="1"/>
  <c r="C3" i="18"/>
  <c r="B3" i="18" a="1"/>
  <c r="B3" i="18"/>
  <c r="N2" i="18" a="1"/>
  <c r="N2" i="18"/>
  <c r="L2" i="18" a="1"/>
  <c r="L2" i="18"/>
  <c r="M2" i="18" s="1"/>
  <c r="H2" i="18" a="1"/>
  <c r="H2" i="18"/>
  <c r="G2" i="18" a="1"/>
  <c r="G2" i="18"/>
  <c r="F2" i="18" a="1"/>
  <c r="F2" i="18"/>
  <c r="E2" i="18" a="1"/>
  <c r="E2" i="18"/>
  <c r="D2" i="18" a="1"/>
  <c r="D2" i="18"/>
  <c r="C2" i="18" a="1"/>
  <c r="C2" i="18"/>
  <c r="B2" i="18" a="1"/>
  <c r="B2" i="18"/>
  <c r="O201" i="11" a="1"/>
  <c r="O201" i="11"/>
  <c r="L201" i="11" a="1"/>
  <c r="L201" i="11"/>
  <c r="M201" i="11" s="1"/>
  <c r="H201" i="11" a="1"/>
  <c r="H201" i="11"/>
  <c r="G201" i="11" a="1"/>
  <c r="G201" i="11"/>
  <c r="F201" i="11" a="1"/>
  <c r="F201" i="11"/>
  <c r="E201" i="11" a="1"/>
  <c r="E201" i="11"/>
  <c r="D201" i="11" a="1"/>
  <c r="D201" i="11"/>
  <c r="C201" i="11" a="1"/>
  <c r="C201" i="11"/>
  <c r="B201" i="11" a="1"/>
  <c r="B201" i="11"/>
  <c r="O200" i="11" a="1"/>
  <c r="O200" i="11"/>
  <c r="L200" i="11" a="1"/>
  <c r="L200" i="11"/>
  <c r="M200" i="11" s="1"/>
  <c r="H200" i="11" a="1"/>
  <c r="H200" i="11"/>
  <c r="G200" i="11" a="1"/>
  <c r="G200" i="11"/>
  <c r="F200" i="11" a="1"/>
  <c r="F200" i="11"/>
  <c r="E200" i="11" a="1"/>
  <c r="E200" i="11"/>
  <c r="D200" i="11" a="1"/>
  <c r="D200" i="11"/>
  <c r="C200" i="11" a="1"/>
  <c r="C200" i="11"/>
  <c r="B200" i="11" a="1"/>
  <c r="B200" i="11"/>
  <c r="O199" i="11" a="1"/>
  <c r="O199" i="11"/>
  <c r="L199" i="11" a="1"/>
  <c r="L199" i="11"/>
  <c r="M199" i="11" s="1"/>
  <c r="H199" i="11" a="1"/>
  <c r="H199" i="11"/>
  <c r="G199" i="11" a="1"/>
  <c r="G199" i="11"/>
  <c r="F199" i="11" a="1"/>
  <c r="F199" i="11"/>
  <c r="E199" i="11" a="1"/>
  <c r="E199" i="11"/>
  <c r="D199" i="11" a="1"/>
  <c r="D199" i="11"/>
  <c r="C199" i="11" a="1"/>
  <c r="C199" i="11"/>
  <c r="B199" i="11" a="1"/>
  <c r="B199" i="11"/>
  <c r="O198" i="11" a="1"/>
  <c r="O198" i="11"/>
  <c r="L198" i="11" a="1"/>
  <c r="L198" i="11"/>
  <c r="M198" i="11" s="1"/>
  <c r="H198" i="11" a="1"/>
  <c r="H198" i="11"/>
  <c r="G198" i="11" a="1"/>
  <c r="G198" i="11"/>
  <c r="F198" i="11" a="1"/>
  <c r="F198" i="11"/>
  <c r="E198" i="11" a="1"/>
  <c r="E198" i="11"/>
  <c r="D198" i="11" a="1"/>
  <c r="D198" i="11"/>
  <c r="C198" i="11" a="1"/>
  <c r="C198" i="11"/>
  <c r="B198" i="11" a="1"/>
  <c r="B198" i="11"/>
  <c r="O197" i="11" a="1"/>
  <c r="O197" i="11"/>
  <c r="L197" i="11" a="1"/>
  <c r="L197" i="11"/>
  <c r="M197" i="11" s="1"/>
  <c r="H197" i="11" a="1"/>
  <c r="H197" i="11"/>
  <c r="G197" i="11" a="1"/>
  <c r="G197" i="11"/>
  <c r="F197" i="11" a="1"/>
  <c r="F197" i="11"/>
  <c r="E197" i="11" a="1"/>
  <c r="E197" i="11"/>
  <c r="D197" i="11" a="1"/>
  <c r="D197" i="11"/>
  <c r="C197" i="11" a="1"/>
  <c r="C197" i="11"/>
  <c r="B197" i="11" a="1"/>
  <c r="B197" i="11"/>
  <c r="O196" i="11" a="1"/>
  <c r="O196" i="11"/>
  <c r="L196" i="11" a="1"/>
  <c r="L196" i="11"/>
  <c r="M196" i="11" s="1"/>
  <c r="H196" i="11" a="1"/>
  <c r="H196" i="11"/>
  <c r="G196" i="11" a="1"/>
  <c r="G196" i="11"/>
  <c r="F196" i="11" a="1"/>
  <c r="F196" i="11"/>
  <c r="E196" i="11" a="1"/>
  <c r="E196" i="11"/>
  <c r="D196" i="11" a="1"/>
  <c r="D196" i="11"/>
  <c r="C196" i="11" a="1"/>
  <c r="C196" i="11"/>
  <c r="B196" i="11" a="1"/>
  <c r="B196" i="11"/>
  <c r="O195" i="11" a="1"/>
  <c r="O195" i="11"/>
  <c r="L195" i="11" a="1"/>
  <c r="L195" i="11"/>
  <c r="M195" i="11" s="1"/>
  <c r="H195" i="11" a="1"/>
  <c r="H195" i="11"/>
  <c r="G195" i="11" a="1"/>
  <c r="G195" i="11"/>
  <c r="F195" i="11" a="1"/>
  <c r="F195" i="11"/>
  <c r="E195" i="11" a="1"/>
  <c r="E195" i="11"/>
  <c r="D195" i="11" a="1"/>
  <c r="D195" i="11"/>
  <c r="C195" i="11" a="1"/>
  <c r="C195" i="11"/>
  <c r="B195" i="11" a="1"/>
  <c r="B195" i="11"/>
  <c r="O194" i="11" a="1"/>
  <c r="O194" i="11"/>
  <c r="L194" i="11" a="1"/>
  <c r="L194" i="11"/>
  <c r="M194" i="11" s="1"/>
  <c r="H194" i="11" a="1"/>
  <c r="H194" i="11"/>
  <c r="G194" i="11" a="1"/>
  <c r="G194" i="11"/>
  <c r="F194" i="11" a="1"/>
  <c r="F194" i="11"/>
  <c r="E194" i="11" a="1"/>
  <c r="E194" i="11"/>
  <c r="D194" i="11" a="1"/>
  <c r="D194" i="11"/>
  <c r="C194" i="11" a="1"/>
  <c r="C194" i="11"/>
  <c r="B194" i="11" a="1"/>
  <c r="B194" i="11"/>
  <c r="O193" i="11" a="1"/>
  <c r="O193" i="11"/>
  <c r="L193" i="11" a="1"/>
  <c r="L193" i="11"/>
  <c r="M193" i="11" s="1"/>
  <c r="H193" i="11" a="1"/>
  <c r="H193" i="11"/>
  <c r="G193" i="11" a="1"/>
  <c r="G193" i="11"/>
  <c r="F193" i="11" a="1"/>
  <c r="F193" i="11"/>
  <c r="E193" i="11" a="1"/>
  <c r="E193" i="11"/>
  <c r="D193" i="11" a="1"/>
  <c r="D193" i="11"/>
  <c r="C193" i="11" a="1"/>
  <c r="C193" i="11"/>
  <c r="B193" i="11" a="1"/>
  <c r="B193" i="11"/>
  <c r="O192" i="11" a="1"/>
  <c r="O192" i="11"/>
  <c r="L192" i="11" a="1"/>
  <c r="L192" i="11"/>
  <c r="M192" i="11" s="1"/>
  <c r="H192" i="11" a="1"/>
  <c r="H192" i="11"/>
  <c r="G192" i="11" a="1"/>
  <c r="G192" i="11"/>
  <c r="F192" i="11" a="1"/>
  <c r="F192" i="11"/>
  <c r="E192" i="11" a="1"/>
  <c r="E192" i="11"/>
  <c r="D192" i="11" a="1"/>
  <c r="D192" i="11"/>
  <c r="C192" i="11" a="1"/>
  <c r="C192" i="11"/>
  <c r="B192" i="11" a="1"/>
  <c r="B192" i="11"/>
  <c r="O191" i="11" a="1"/>
  <c r="O191" i="11"/>
  <c r="L191" i="11" a="1"/>
  <c r="L191" i="11"/>
  <c r="M191" i="11" s="1"/>
  <c r="H191" i="11" a="1"/>
  <c r="H191" i="11"/>
  <c r="G191" i="11" a="1"/>
  <c r="G191" i="11"/>
  <c r="F191" i="11" a="1"/>
  <c r="F191" i="11"/>
  <c r="E191" i="11" a="1"/>
  <c r="E191" i="11"/>
  <c r="D191" i="11" a="1"/>
  <c r="D191" i="11"/>
  <c r="C191" i="11" a="1"/>
  <c r="C191" i="11"/>
  <c r="B191" i="11" a="1"/>
  <c r="B191" i="11"/>
  <c r="O190" i="11" a="1"/>
  <c r="O190" i="11"/>
  <c r="L190" i="11" a="1"/>
  <c r="L190" i="11"/>
  <c r="M190" i="11" s="1"/>
  <c r="H190" i="11" a="1"/>
  <c r="H190" i="11"/>
  <c r="G190" i="11" a="1"/>
  <c r="G190" i="11"/>
  <c r="F190" i="11" a="1"/>
  <c r="F190" i="11"/>
  <c r="E190" i="11" a="1"/>
  <c r="E190" i="11"/>
  <c r="D190" i="11" a="1"/>
  <c r="D190" i="11"/>
  <c r="C190" i="11" a="1"/>
  <c r="C190" i="11"/>
  <c r="B190" i="11" a="1"/>
  <c r="B190" i="11"/>
  <c r="O189" i="11" a="1"/>
  <c r="O189" i="11"/>
  <c r="L189" i="11" a="1"/>
  <c r="L189" i="11"/>
  <c r="M189" i="11" s="1"/>
  <c r="H189" i="11" a="1"/>
  <c r="H189" i="11"/>
  <c r="G189" i="11" a="1"/>
  <c r="G189" i="11"/>
  <c r="F189" i="11" a="1"/>
  <c r="F189" i="11"/>
  <c r="E189" i="11" a="1"/>
  <c r="E189" i="11"/>
  <c r="D189" i="11" a="1"/>
  <c r="D189" i="11"/>
  <c r="C189" i="11" a="1"/>
  <c r="C189" i="11"/>
  <c r="B189" i="11" a="1"/>
  <c r="B189" i="11"/>
  <c r="O188" i="11" a="1"/>
  <c r="O188" i="11"/>
  <c r="L188" i="11" a="1"/>
  <c r="L188" i="11"/>
  <c r="M188" i="11" s="1"/>
  <c r="H188" i="11" a="1"/>
  <c r="H188" i="11"/>
  <c r="G188" i="11" a="1"/>
  <c r="G188" i="11"/>
  <c r="F188" i="11" a="1"/>
  <c r="F188" i="11"/>
  <c r="E188" i="11" a="1"/>
  <c r="E188" i="11"/>
  <c r="D188" i="11" a="1"/>
  <c r="D188" i="11"/>
  <c r="C188" i="11" a="1"/>
  <c r="C188" i="11"/>
  <c r="B188" i="11" a="1"/>
  <c r="B188" i="11"/>
  <c r="O187" i="11" a="1"/>
  <c r="O187" i="11"/>
  <c r="L187" i="11" a="1"/>
  <c r="L187" i="11"/>
  <c r="M187" i="11" s="1"/>
  <c r="H187" i="11" a="1"/>
  <c r="H187" i="11"/>
  <c r="G187" i="11" a="1"/>
  <c r="G187" i="11"/>
  <c r="F187" i="11" a="1"/>
  <c r="F187" i="11"/>
  <c r="E187" i="11" a="1"/>
  <c r="E187" i="11"/>
  <c r="D187" i="11" a="1"/>
  <c r="D187" i="11"/>
  <c r="C187" i="11" a="1"/>
  <c r="C187" i="11"/>
  <c r="B187" i="11" a="1"/>
  <c r="B187" i="11"/>
  <c r="O186" i="11" a="1"/>
  <c r="O186" i="11"/>
  <c r="L186" i="11" a="1"/>
  <c r="L186" i="11"/>
  <c r="M186" i="11" s="1"/>
  <c r="H186" i="11" a="1"/>
  <c r="H186" i="11"/>
  <c r="G186" i="11" a="1"/>
  <c r="G186" i="11"/>
  <c r="F186" i="11" a="1"/>
  <c r="F186" i="11"/>
  <c r="E186" i="11" a="1"/>
  <c r="E186" i="11"/>
  <c r="D186" i="11" a="1"/>
  <c r="D186" i="11"/>
  <c r="C186" i="11" a="1"/>
  <c r="C186" i="11"/>
  <c r="B186" i="11" a="1"/>
  <c r="B186" i="11"/>
  <c r="O185" i="11" a="1"/>
  <c r="O185" i="11"/>
  <c r="L185" i="11" a="1"/>
  <c r="L185" i="11"/>
  <c r="M185" i="11" s="1"/>
  <c r="H185" i="11" a="1"/>
  <c r="H185" i="11"/>
  <c r="G185" i="11" a="1"/>
  <c r="G185" i="11"/>
  <c r="F185" i="11" a="1"/>
  <c r="F185" i="11"/>
  <c r="E185" i="11" a="1"/>
  <c r="E185" i="11"/>
  <c r="D185" i="11" a="1"/>
  <c r="D185" i="11"/>
  <c r="C185" i="11" a="1"/>
  <c r="C185" i="11"/>
  <c r="B185" i="11" a="1"/>
  <c r="B185" i="11"/>
  <c r="O184" i="11" a="1"/>
  <c r="O184" i="11"/>
  <c r="L184" i="11" a="1"/>
  <c r="L184" i="11"/>
  <c r="M184" i="11" s="1"/>
  <c r="H184" i="11" a="1"/>
  <c r="H184" i="11"/>
  <c r="G184" i="11" a="1"/>
  <c r="G184" i="11"/>
  <c r="F184" i="11" a="1"/>
  <c r="F184" i="11"/>
  <c r="E184" i="11" a="1"/>
  <c r="E184" i="11"/>
  <c r="D184" i="11" a="1"/>
  <c r="D184" i="11"/>
  <c r="C184" i="11" a="1"/>
  <c r="C184" i="11"/>
  <c r="B184" i="11" a="1"/>
  <c r="B184" i="11"/>
  <c r="O183" i="11" a="1"/>
  <c r="O183" i="11"/>
  <c r="L183" i="11" a="1"/>
  <c r="L183" i="11"/>
  <c r="M183" i="11" s="1"/>
  <c r="H183" i="11" a="1"/>
  <c r="H183" i="11"/>
  <c r="G183" i="11" a="1"/>
  <c r="G183" i="11"/>
  <c r="F183" i="11" a="1"/>
  <c r="F183" i="11"/>
  <c r="E183" i="11" a="1"/>
  <c r="E183" i="11"/>
  <c r="D183" i="11" a="1"/>
  <c r="D183" i="11"/>
  <c r="C183" i="11" a="1"/>
  <c r="C183" i="11"/>
  <c r="B183" i="11" a="1"/>
  <c r="B183" i="11"/>
  <c r="O182" i="11" a="1"/>
  <c r="O182" i="11"/>
  <c r="L182" i="11" a="1"/>
  <c r="L182" i="11"/>
  <c r="M182" i="11" s="1"/>
  <c r="H182" i="11" a="1"/>
  <c r="H182" i="11"/>
  <c r="G182" i="11" a="1"/>
  <c r="G182" i="11"/>
  <c r="F182" i="11" a="1"/>
  <c r="F182" i="11"/>
  <c r="E182" i="11" a="1"/>
  <c r="E182" i="11"/>
  <c r="D182" i="11" a="1"/>
  <c r="D182" i="11"/>
  <c r="C182" i="11" a="1"/>
  <c r="C182" i="11"/>
  <c r="B182" i="11" a="1"/>
  <c r="B182" i="11"/>
  <c r="O181" i="11" a="1"/>
  <c r="O181" i="11"/>
  <c r="L181" i="11" a="1"/>
  <c r="L181" i="11"/>
  <c r="M181" i="11" s="1"/>
  <c r="H181" i="11" a="1"/>
  <c r="H181" i="11"/>
  <c r="G181" i="11" a="1"/>
  <c r="G181" i="11"/>
  <c r="F181" i="11" a="1"/>
  <c r="F181" i="11"/>
  <c r="E181" i="11" a="1"/>
  <c r="E181" i="11"/>
  <c r="D181" i="11" a="1"/>
  <c r="D181" i="11"/>
  <c r="C181" i="11" a="1"/>
  <c r="C181" i="11"/>
  <c r="B181" i="11" a="1"/>
  <c r="B181" i="11"/>
  <c r="O180" i="11" a="1"/>
  <c r="O180" i="11"/>
  <c r="L180" i="11" a="1"/>
  <c r="L180" i="11"/>
  <c r="M180" i="11" s="1"/>
  <c r="H180" i="11" a="1"/>
  <c r="H180" i="11"/>
  <c r="G180" i="11" a="1"/>
  <c r="G180" i="11"/>
  <c r="F180" i="11" a="1"/>
  <c r="F180" i="11"/>
  <c r="E180" i="11" a="1"/>
  <c r="E180" i="11"/>
  <c r="D180" i="11" a="1"/>
  <c r="D180" i="11"/>
  <c r="C180" i="11" a="1"/>
  <c r="C180" i="11"/>
  <c r="B180" i="11" a="1"/>
  <c r="B180" i="11"/>
  <c r="O179" i="11" a="1"/>
  <c r="O179" i="11"/>
  <c r="L179" i="11" a="1"/>
  <c r="L179" i="11"/>
  <c r="M179" i="11" s="1"/>
  <c r="H179" i="11" a="1"/>
  <c r="H179" i="11"/>
  <c r="G179" i="11" a="1"/>
  <c r="G179" i="11"/>
  <c r="F179" i="11" a="1"/>
  <c r="F179" i="11"/>
  <c r="E179" i="11" a="1"/>
  <c r="E179" i="11"/>
  <c r="D179" i="11" a="1"/>
  <c r="D179" i="11"/>
  <c r="C179" i="11" a="1"/>
  <c r="C179" i="11"/>
  <c r="B179" i="11" a="1"/>
  <c r="B179" i="11"/>
  <c r="O178" i="11" a="1"/>
  <c r="O178" i="11"/>
  <c r="L178" i="11" a="1"/>
  <c r="L178" i="11"/>
  <c r="M178" i="11" s="1"/>
  <c r="H178" i="11" a="1"/>
  <c r="H178" i="11"/>
  <c r="G178" i="11" a="1"/>
  <c r="G178" i="11"/>
  <c r="F178" i="11" a="1"/>
  <c r="F178" i="11"/>
  <c r="E178" i="11" a="1"/>
  <c r="E178" i="11"/>
  <c r="D178" i="11" a="1"/>
  <c r="D178" i="11"/>
  <c r="C178" i="11" a="1"/>
  <c r="C178" i="11"/>
  <c r="B178" i="11" a="1"/>
  <c r="B178" i="11"/>
  <c r="O177" i="11" a="1"/>
  <c r="O177" i="11"/>
  <c r="L177" i="11" a="1"/>
  <c r="L177" i="11"/>
  <c r="M177" i="11" s="1"/>
  <c r="H177" i="11" a="1"/>
  <c r="H177" i="11"/>
  <c r="G177" i="11" a="1"/>
  <c r="G177" i="11"/>
  <c r="F177" i="11" a="1"/>
  <c r="F177" i="11"/>
  <c r="E177" i="11" a="1"/>
  <c r="E177" i="11"/>
  <c r="D177" i="11" a="1"/>
  <c r="D177" i="11"/>
  <c r="C177" i="11" a="1"/>
  <c r="C177" i="11"/>
  <c r="B177" i="11" a="1"/>
  <c r="B177" i="11"/>
  <c r="O176" i="11" a="1"/>
  <c r="O176" i="11"/>
  <c r="L176" i="11" a="1"/>
  <c r="L176" i="11"/>
  <c r="M176" i="11" s="1"/>
  <c r="H176" i="11" a="1"/>
  <c r="H176" i="11"/>
  <c r="G176" i="11" a="1"/>
  <c r="G176" i="11"/>
  <c r="F176" i="11" a="1"/>
  <c r="F176" i="11"/>
  <c r="E176" i="11" a="1"/>
  <c r="E176" i="11"/>
  <c r="D176" i="11" a="1"/>
  <c r="D176" i="11"/>
  <c r="C176" i="11" a="1"/>
  <c r="C176" i="11"/>
  <c r="B176" i="11" a="1"/>
  <c r="B176" i="11"/>
  <c r="O175" i="11" a="1"/>
  <c r="O175" i="11"/>
  <c r="L175" i="11" a="1"/>
  <c r="L175" i="11"/>
  <c r="M175" i="11" s="1"/>
  <c r="H175" i="11" a="1"/>
  <c r="H175" i="11"/>
  <c r="G175" i="11" a="1"/>
  <c r="G175" i="11"/>
  <c r="F175" i="11" a="1"/>
  <c r="F175" i="11"/>
  <c r="E175" i="11" a="1"/>
  <c r="E175" i="11"/>
  <c r="D175" i="11" a="1"/>
  <c r="D175" i="11"/>
  <c r="C175" i="11" a="1"/>
  <c r="C175" i="11"/>
  <c r="B175" i="11" a="1"/>
  <c r="B175" i="11"/>
  <c r="O174" i="11" a="1"/>
  <c r="O174" i="11"/>
  <c r="L174" i="11" a="1"/>
  <c r="L174" i="11"/>
  <c r="M174" i="11" s="1"/>
  <c r="H174" i="11" a="1"/>
  <c r="H174" i="11"/>
  <c r="G174" i="11" a="1"/>
  <c r="G174" i="11"/>
  <c r="F174" i="11" a="1"/>
  <c r="F174" i="11"/>
  <c r="E174" i="11" a="1"/>
  <c r="E174" i="11"/>
  <c r="D174" i="11" a="1"/>
  <c r="D174" i="11"/>
  <c r="C174" i="11" a="1"/>
  <c r="C174" i="11"/>
  <c r="B174" i="11" a="1"/>
  <c r="B174" i="11"/>
  <c r="O173" i="11" a="1"/>
  <c r="O173" i="11"/>
  <c r="L173" i="11" a="1"/>
  <c r="L173" i="11"/>
  <c r="M173" i="11" s="1"/>
  <c r="H173" i="11" a="1"/>
  <c r="H173" i="11"/>
  <c r="G173" i="11" a="1"/>
  <c r="G173" i="11"/>
  <c r="F173" i="11" a="1"/>
  <c r="F173" i="11"/>
  <c r="E173" i="11" a="1"/>
  <c r="E173" i="11"/>
  <c r="D173" i="11" a="1"/>
  <c r="D173" i="11"/>
  <c r="C173" i="11" a="1"/>
  <c r="C173" i="11"/>
  <c r="B173" i="11" a="1"/>
  <c r="B173" i="11"/>
  <c r="O172" i="11" a="1"/>
  <c r="O172" i="11"/>
  <c r="L172" i="11" a="1"/>
  <c r="L172" i="11"/>
  <c r="M172" i="11" s="1"/>
  <c r="H172" i="11" a="1"/>
  <c r="H172" i="11"/>
  <c r="G172" i="11" a="1"/>
  <c r="G172" i="11"/>
  <c r="F172" i="11" a="1"/>
  <c r="F172" i="11"/>
  <c r="E172" i="11" a="1"/>
  <c r="E172" i="11"/>
  <c r="D172" i="11" a="1"/>
  <c r="D172" i="11"/>
  <c r="C172" i="11" a="1"/>
  <c r="C172" i="11"/>
  <c r="B172" i="11" a="1"/>
  <c r="B172" i="11"/>
  <c r="O171" i="11" a="1"/>
  <c r="O171" i="11"/>
  <c r="L171" i="11" a="1"/>
  <c r="L171" i="11"/>
  <c r="M171" i="11" s="1"/>
  <c r="H171" i="11" a="1"/>
  <c r="H171" i="11"/>
  <c r="G171" i="11" a="1"/>
  <c r="G171" i="11"/>
  <c r="F171" i="11" a="1"/>
  <c r="F171" i="11"/>
  <c r="E171" i="11" a="1"/>
  <c r="E171" i="11"/>
  <c r="D171" i="11" a="1"/>
  <c r="D171" i="11"/>
  <c r="C171" i="11" a="1"/>
  <c r="C171" i="11"/>
  <c r="B171" i="11" a="1"/>
  <c r="B171" i="11"/>
  <c r="O170" i="11" a="1"/>
  <c r="O170" i="11"/>
  <c r="L170" i="11" a="1"/>
  <c r="L170" i="11"/>
  <c r="M170" i="11" s="1"/>
  <c r="H170" i="11" a="1"/>
  <c r="H170" i="11"/>
  <c r="G170" i="11" a="1"/>
  <c r="G170" i="11"/>
  <c r="F170" i="11" a="1"/>
  <c r="F170" i="11"/>
  <c r="E170" i="11" a="1"/>
  <c r="E170" i="11"/>
  <c r="D170" i="11" a="1"/>
  <c r="D170" i="11"/>
  <c r="C170" i="11" a="1"/>
  <c r="C170" i="11"/>
  <c r="B170" i="11" a="1"/>
  <c r="B170" i="11"/>
  <c r="O169" i="11" a="1"/>
  <c r="O169" i="11"/>
  <c r="L169" i="11" a="1"/>
  <c r="L169" i="11"/>
  <c r="M169" i="11" s="1"/>
  <c r="H169" i="11" a="1"/>
  <c r="H169" i="11"/>
  <c r="G169" i="11" a="1"/>
  <c r="G169" i="11"/>
  <c r="F169" i="11" a="1"/>
  <c r="F169" i="11"/>
  <c r="E169" i="11" a="1"/>
  <c r="E169" i="11"/>
  <c r="D169" i="11" a="1"/>
  <c r="D169" i="11"/>
  <c r="C169" i="11" a="1"/>
  <c r="C169" i="11"/>
  <c r="B169" i="11" a="1"/>
  <c r="B169" i="11"/>
  <c r="O168" i="11" a="1"/>
  <c r="O168" i="11"/>
  <c r="L168" i="11" a="1"/>
  <c r="L168" i="11"/>
  <c r="M168" i="11" s="1"/>
  <c r="H168" i="11" a="1"/>
  <c r="H168" i="11"/>
  <c r="G168" i="11" a="1"/>
  <c r="G168" i="11"/>
  <c r="F168" i="11" a="1"/>
  <c r="F168" i="11"/>
  <c r="E168" i="11" a="1"/>
  <c r="E168" i="11"/>
  <c r="D168" i="11" a="1"/>
  <c r="D168" i="11"/>
  <c r="C168" i="11" a="1"/>
  <c r="C168" i="11"/>
  <c r="B168" i="11" a="1"/>
  <c r="B168" i="11"/>
  <c r="O167" i="11" a="1"/>
  <c r="O167" i="11"/>
  <c r="L167" i="11" a="1"/>
  <c r="L167" i="11"/>
  <c r="M167" i="11" s="1"/>
  <c r="H167" i="11" a="1"/>
  <c r="H167" i="11"/>
  <c r="G167" i="11" a="1"/>
  <c r="G167" i="11"/>
  <c r="F167" i="11" a="1"/>
  <c r="F167" i="11"/>
  <c r="E167" i="11" a="1"/>
  <c r="E167" i="11"/>
  <c r="D167" i="11" a="1"/>
  <c r="D167" i="11"/>
  <c r="C167" i="11" a="1"/>
  <c r="C167" i="11"/>
  <c r="B167" i="11" a="1"/>
  <c r="B167" i="11"/>
  <c r="O166" i="11" a="1"/>
  <c r="O166" i="11"/>
  <c r="L166" i="11" a="1"/>
  <c r="L166" i="11"/>
  <c r="M166" i="11" s="1"/>
  <c r="H166" i="11" a="1"/>
  <c r="H166" i="11"/>
  <c r="G166" i="11" a="1"/>
  <c r="G166" i="11"/>
  <c r="F166" i="11" a="1"/>
  <c r="F166" i="11"/>
  <c r="E166" i="11" a="1"/>
  <c r="E166" i="11"/>
  <c r="D166" i="11" a="1"/>
  <c r="D166" i="11"/>
  <c r="C166" i="11" a="1"/>
  <c r="C166" i="11"/>
  <c r="B166" i="11" a="1"/>
  <c r="B166" i="11"/>
  <c r="O165" i="11" a="1"/>
  <c r="O165" i="11"/>
  <c r="L165" i="11" a="1"/>
  <c r="L165" i="11"/>
  <c r="M165" i="11" s="1"/>
  <c r="H165" i="11" a="1"/>
  <c r="H165" i="11"/>
  <c r="G165" i="11" a="1"/>
  <c r="G165" i="11"/>
  <c r="F165" i="11" a="1"/>
  <c r="F165" i="11"/>
  <c r="E165" i="11" a="1"/>
  <c r="E165" i="11"/>
  <c r="D165" i="11" a="1"/>
  <c r="D165" i="11"/>
  <c r="C165" i="11" a="1"/>
  <c r="C165" i="11"/>
  <c r="B165" i="11" a="1"/>
  <c r="B165" i="11"/>
  <c r="O164" i="11" a="1"/>
  <c r="O164" i="11"/>
  <c r="L164" i="11" a="1"/>
  <c r="L164" i="11"/>
  <c r="M164" i="11" s="1"/>
  <c r="H164" i="11" a="1"/>
  <c r="H164" i="11"/>
  <c r="G164" i="11" a="1"/>
  <c r="G164" i="11"/>
  <c r="F164" i="11" a="1"/>
  <c r="F164" i="11"/>
  <c r="E164" i="11" a="1"/>
  <c r="E164" i="11"/>
  <c r="D164" i="11" a="1"/>
  <c r="D164" i="11"/>
  <c r="C164" i="11" a="1"/>
  <c r="C164" i="11"/>
  <c r="B164" i="11" a="1"/>
  <c r="B164" i="11"/>
  <c r="O163" i="11" a="1"/>
  <c r="O163" i="11"/>
  <c r="L163" i="11" a="1"/>
  <c r="L163" i="11"/>
  <c r="M163" i="11" s="1"/>
  <c r="H163" i="11" a="1"/>
  <c r="H163" i="11"/>
  <c r="G163" i="11" a="1"/>
  <c r="G163" i="11"/>
  <c r="F163" i="11" a="1"/>
  <c r="F163" i="11"/>
  <c r="E163" i="11" a="1"/>
  <c r="E163" i="11"/>
  <c r="D163" i="11" a="1"/>
  <c r="D163" i="11"/>
  <c r="C163" i="11" a="1"/>
  <c r="C163" i="11"/>
  <c r="B163" i="11" a="1"/>
  <c r="B163" i="11"/>
  <c r="O162" i="11" a="1"/>
  <c r="O162" i="11"/>
  <c r="L162" i="11" a="1"/>
  <c r="L162" i="11"/>
  <c r="M162" i="11" s="1"/>
  <c r="H162" i="11" a="1"/>
  <c r="H162" i="11"/>
  <c r="G162" i="11" a="1"/>
  <c r="G162" i="11"/>
  <c r="F162" i="11" a="1"/>
  <c r="F162" i="11"/>
  <c r="E162" i="11" a="1"/>
  <c r="E162" i="11"/>
  <c r="D162" i="11" a="1"/>
  <c r="D162" i="11"/>
  <c r="C162" i="11" a="1"/>
  <c r="C162" i="11"/>
  <c r="B162" i="11" a="1"/>
  <c r="B162" i="11"/>
  <c r="O161" i="11" a="1"/>
  <c r="O161" i="11"/>
  <c r="L161" i="11" a="1"/>
  <c r="L161" i="11"/>
  <c r="M161" i="11" s="1"/>
  <c r="H161" i="11" a="1"/>
  <c r="H161" i="11"/>
  <c r="G161" i="11" a="1"/>
  <c r="G161" i="11"/>
  <c r="F161" i="11" a="1"/>
  <c r="F161" i="11"/>
  <c r="E161" i="11" a="1"/>
  <c r="E161" i="11"/>
  <c r="D161" i="11" a="1"/>
  <c r="D161" i="11"/>
  <c r="C161" i="11" a="1"/>
  <c r="C161" i="11"/>
  <c r="B161" i="11" a="1"/>
  <c r="B161" i="11"/>
  <c r="O160" i="11" a="1"/>
  <c r="O160" i="11"/>
  <c r="L160" i="11" a="1"/>
  <c r="L160" i="11"/>
  <c r="M160" i="11" s="1"/>
  <c r="H160" i="11" a="1"/>
  <c r="H160" i="11"/>
  <c r="G160" i="11" a="1"/>
  <c r="G160" i="11"/>
  <c r="F160" i="11" a="1"/>
  <c r="F160" i="11"/>
  <c r="E160" i="11" a="1"/>
  <c r="E160" i="11"/>
  <c r="D160" i="11" a="1"/>
  <c r="D160" i="11"/>
  <c r="C160" i="11" a="1"/>
  <c r="C160" i="11"/>
  <c r="B160" i="11" a="1"/>
  <c r="B160" i="11"/>
  <c r="O159" i="11" a="1"/>
  <c r="O159" i="11"/>
  <c r="L159" i="11" a="1"/>
  <c r="L159" i="11"/>
  <c r="M159" i="11" s="1"/>
  <c r="H159" i="11" a="1"/>
  <c r="H159" i="11"/>
  <c r="G159" i="11" a="1"/>
  <c r="G159" i="11"/>
  <c r="F159" i="11" a="1"/>
  <c r="F159" i="11"/>
  <c r="E159" i="11" a="1"/>
  <c r="E159" i="11"/>
  <c r="D159" i="11" a="1"/>
  <c r="D159" i="11"/>
  <c r="C159" i="11" a="1"/>
  <c r="C159" i="11"/>
  <c r="B159" i="11" a="1"/>
  <c r="B159" i="11"/>
  <c r="O158" i="11" a="1"/>
  <c r="O158" i="11"/>
  <c r="L158" i="11" a="1"/>
  <c r="L158" i="11"/>
  <c r="M158" i="11" s="1"/>
  <c r="H158" i="11" a="1"/>
  <c r="H158" i="11"/>
  <c r="G158" i="11" a="1"/>
  <c r="G158" i="11"/>
  <c r="F158" i="11" a="1"/>
  <c r="F158" i="11"/>
  <c r="E158" i="11" a="1"/>
  <c r="E158" i="11"/>
  <c r="D158" i="11" a="1"/>
  <c r="D158" i="11"/>
  <c r="C158" i="11" a="1"/>
  <c r="C158" i="11"/>
  <c r="B158" i="11" a="1"/>
  <c r="B158" i="11"/>
  <c r="O157" i="11" a="1"/>
  <c r="O157" i="11"/>
  <c r="L157" i="11" a="1"/>
  <c r="L157" i="11"/>
  <c r="M157" i="11" s="1"/>
  <c r="H157" i="11" a="1"/>
  <c r="H157" i="11"/>
  <c r="G157" i="11" a="1"/>
  <c r="G157" i="11"/>
  <c r="F157" i="11" a="1"/>
  <c r="F157" i="11"/>
  <c r="E157" i="11" a="1"/>
  <c r="E157" i="11"/>
  <c r="D157" i="11" a="1"/>
  <c r="D157" i="11"/>
  <c r="C157" i="11" a="1"/>
  <c r="C157" i="11"/>
  <c r="B157" i="11" a="1"/>
  <c r="B157" i="11"/>
  <c r="O156" i="11" a="1"/>
  <c r="O156" i="11"/>
  <c r="L156" i="11" a="1"/>
  <c r="L156" i="11"/>
  <c r="M156" i="11" s="1"/>
  <c r="H156" i="11" a="1"/>
  <c r="H156" i="11"/>
  <c r="G156" i="11" a="1"/>
  <c r="G156" i="11"/>
  <c r="F156" i="11" a="1"/>
  <c r="F156" i="11"/>
  <c r="E156" i="11" a="1"/>
  <c r="E156" i="11"/>
  <c r="D156" i="11" a="1"/>
  <c r="D156" i="11"/>
  <c r="C156" i="11" a="1"/>
  <c r="C156" i="11"/>
  <c r="B156" i="11" a="1"/>
  <c r="B156" i="11"/>
  <c r="O155" i="11" a="1"/>
  <c r="O155" i="11"/>
  <c r="L155" i="11" a="1"/>
  <c r="L155" i="11"/>
  <c r="M155" i="11" s="1"/>
  <c r="H155" i="11" a="1"/>
  <c r="H155" i="11"/>
  <c r="G155" i="11" a="1"/>
  <c r="G155" i="11"/>
  <c r="F155" i="11" a="1"/>
  <c r="F155" i="11"/>
  <c r="E155" i="11" a="1"/>
  <c r="E155" i="11"/>
  <c r="D155" i="11" a="1"/>
  <c r="D155" i="11"/>
  <c r="C155" i="11" a="1"/>
  <c r="C155" i="11"/>
  <c r="B155" i="11" a="1"/>
  <c r="B155" i="11"/>
  <c r="O154" i="11" a="1"/>
  <c r="O154" i="11"/>
  <c r="L154" i="11" a="1"/>
  <c r="L154" i="11"/>
  <c r="M154" i="11" s="1"/>
  <c r="H154" i="11" a="1"/>
  <c r="H154" i="11"/>
  <c r="G154" i="11" a="1"/>
  <c r="G154" i="11"/>
  <c r="F154" i="11" a="1"/>
  <c r="F154" i="11"/>
  <c r="E154" i="11" a="1"/>
  <c r="E154" i="11"/>
  <c r="D154" i="11" a="1"/>
  <c r="D154" i="11"/>
  <c r="C154" i="11" a="1"/>
  <c r="C154" i="11"/>
  <c r="B154" i="11" a="1"/>
  <c r="B154" i="11"/>
  <c r="O153" i="11" a="1"/>
  <c r="O153" i="11"/>
  <c r="L153" i="11" a="1"/>
  <c r="L153" i="11"/>
  <c r="M153" i="11" s="1"/>
  <c r="H153" i="11" a="1"/>
  <c r="H153" i="11"/>
  <c r="G153" i="11" a="1"/>
  <c r="G153" i="11"/>
  <c r="F153" i="11" a="1"/>
  <c r="F153" i="11"/>
  <c r="E153" i="11" a="1"/>
  <c r="E153" i="11"/>
  <c r="D153" i="11" a="1"/>
  <c r="D153" i="11"/>
  <c r="C153" i="11" a="1"/>
  <c r="C153" i="11"/>
  <c r="B153" i="11" a="1"/>
  <c r="B153" i="11"/>
  <c r="O152" i="11" a="1"/>
  <c r="O152" i="11"/>
  <c r="L152" i="11" a="1"/>
  <c r="L152" i="11"/>
  <c r="M152" i="11" s="1"/>
  <c r="H152" i="11" a="1"/>
  <c r="H152" i="11"/>
  <c r="G152" i="11" a="1"/>
  <c r="G152" i="11"/>
  <c r="F152" i="11" a="1"/>
  <c r="F152" i="11"/>
  <c r="E152" i="11" a="1"/>
  <c r="E152" i="11"/>
  <c r="D152" i="11" a="1"/>
  <c r="D152" i="11"/>
  <c r="C152" i="11" a="1"/>
  <c r="C152" i="11"/>
  <c r="B152" i="11" a="1"/>
  <c r="B152" i="11"/>
  <c r="O151" i="11" a="1"/>
  <c r="O151" i="11"/>
  <c r="L151" i="11" a="1"/>
  <c r="L151" i="11"/>
  <c r="M151" i="11" s="1"/>
  <c r="H151" i="11" a="1"/>
  <c r="H151" i="11"/>
  <c r="G151" i="11" a="1"/>
  <c r="G151" i="11"/>
  <c r="F151" i="11" a="1"/>
  <c r="F151" i="11"/>
  <c r="E151" i="11" a="1"/>
  <c r="E151" i="11"/>
  <c r="D151" i="11" a="1"/>
  <c r="D151" i="11"/>
  <c r="C151" i="11" a="1"/>
  <c r="C151" i="11"/>
  <c r="B151" i="11" a="1"/>
  <c r="B151" i="11"/>
  <c r="O150" i="11" a="1"/>
  <c r="O150" i="11"/>
  <c r="L150" i="11" a="1"/>
  <c r="L150" i="11"/>
  <c r="M150" i="11" s="1"/>
  <c r="H150" i="11" a="1"/>
  <c r="H150" i="11"/>
  <c r="G150" i="11" a="1"/>
  <c r="G150" i="11"/>
  <c r="F150" i="11" a="1"/>
  <c r="F150" i="11"/>
  <c r="E150" i="11" a="1"/>
  <c r="E150" i="11"/>
  <c r="D150" i="11" a="1"/>
  <c r="D150" i="11"/>
  <c r="C150" i="11" a="1"/>
  <c r="C150" i="11"/>
  <c r="B150" i="11" a="1"/>
  <c r="B150" i="11"/>
  <c r="O149" i="11" a="1"/>
  <c r="O149" i="11"/>
  <c r="L149" i="11" a="1"/>
  <c r="L149" i="11"/>
  <c r="M149" i="11" s="1"/>
  <c r="H149" i="11" a="1"/>
  <c r="H149" i="11"/>
  <c r="G149" i="11" a="1"/>
  <c r="G149" i="11"/>
  <c r="F149" i="11" a="1"/>
  <c r="F149" i="11"/>
  <c r="E149" i="11" a="1"/>
  <c r="E149" i="11"/>
  <c r="D149" i="11" a="1"/>
  <c r="D149" i="11"/>
  <c r="C149" i="11" a="1"/>
  <c r="C149" i="11"/>
  <c r="B149" i="11" a="1"/>
  <c r="B149" i="11"/>
  <c r="O148" i="11" a="1"/>
  <c r="O148" i="11"/>
  <c r="L148" i="11" a="1"/>
  <c r="L148" i="11"/>
  <c r="M148" i="11" s="1"/>
  <c r="H148" i="11" a="1"/>
  <c r="H148" i="11"/>
  <c r="G148" i="11" a="1"/>
  <c r="G148" i="11"/>
  <c r="F148" i="11" a="1"/>
  <c r="F148" i="11"/>
  <c r="E148" i="11" a="1"/>
  <c r="E148" i="11"/>
  <c r="D148" i="11" a="1"/>
  <c r="D148" i="11"/>
  <c r="C148" i="11" a="1"/>
  <c r="C148" i="11"/>
  <c r="B148" i="11" a="1"/>
  <c r="B148" i="11"/>
  <c r="O147" i="11" a="1"/>
  <c r="O147" i="11"/>
  <c r="L147" i="11" a="1"/>
  <c r="L147" i="11"/>
  <c r="M147" i="11" s="1"/>
  <c r="H147" i="11" a="1"/>
  <c r="H147" i="11"/>
  <c r="G147" i="11" a="1"/>
  <c r="G147" i="11"/>
  <c r="F147" i="11" a="1"/>
  <c r="F147" i="11"/>
  <c r="E147" i="11" a="1"/>
  <c r="E147" i="11"/>
  <c r="D147" i="11" a="1"/>
  <c r="D147" i="11"/>
  <c r="C147" i="11" a="1"/>
  <c r="C147" i="11"/>
  <c r="B147" i="11" a="1"/>
  <c r="B147" i="11"/>
  <c r="O146" i="11" a="1"/>
  <c r="O146" i="11"/>
  <c r="L146" i="11" a="1"/>
  <c r="L146" i="11"/>
  <c r="M146" i="11" s="1"/>
  <c r="H146" i="11" a="1"/>
  <c r="H146" i="11"/>
  <c r="G146" i="11" a="1"/>
  <c r="G146" i="11"/>
  <c r="F146" i="11" a="1"/>
  <c r="F146" i="11"/>
  <c r="E146" i="11" a="1"/>
  <c r="E146" i="11"/>
  <c r="D146" i="11" a="1"/>
  <c r="D146" i="11"/>
  <c r="C146" i="11" a="1"/>
  <c r="C146" i="11"/>
  <c r="B146" i="11" a="1"/>
  <c r="B146" i="11"/>
  <c r="O145" i="11" a="1"/>
  <c r="O145" i="11"/>
  <c r="L145" i="11" a="1"/>
  <c r="L145" i="11"/>
  <c r="M145" i="11" s="1"/>
  <c r="H145" i="11" a="1"/>
  <c r="H145" i="11"/>
  <c r="G145" i="11" a="1"/>
  <c r="G145" i="11"/>
  <c r="F145" i="11" a="1"/>
  <c r="F145" i="11"/>
  <c r="E145" i="11" a="1"/>
  <c r="E145" i="11"/>
  <c r="D145" i="11" a="1"/>
  <c r="D145" i="11"/>
  <c r="C145" i="11" a="1"/>
  <c r="C145" i="11"/>
  <c r="B145" i="11" a="1"/>
  <c r="B145" i="11"/>
  <c r="O144" i="11" a="1"/>
  <c r="O144" i="11"/>
  <c r="L144" i="11" a="1"/>
  <c r="L144" i="11"/>
  <c r="M144" i="11" s="1"/>
  <c r="H144" i="11" a="1"/>
  <c r="H144" i="11"/>
  <c r="G144" i="11" a="1"/>
  <c r="G144" i="11"/>
  <c r="F144" i="11" a="1"/>
  <c r="F144" i="11"/>
  <c r="E144" i="11" a="1"/>
  <c r="E144" i="11"/>
  <c r="D144" i="11" a="1"/>
  <c r="D144" i="11"/>
  <c r="C144" i="11" a="1"/>
  <c r="C144" i="11"/>
  <c r="B144" i="11" a="1"/>
  <c r="B144" i="11"/>
  <c r="O143" i="11" a="1"/>
  <c r="O143" i="11"/>
  <c r="L143" i="11" a="1"/>
  <c r="L143" i="11"/>
  <c r="M143" i="11" s="1"/>
  <c r="H143" i="11" a="1"/>
  <c r="H143" i="11"/>
  <c r="G143" i="11" a="1"/>
  <c r="G143" i="11"/>
  <c r="F143" i="11" a="1"/>
  <c r="F143" i="11"/>
  <c r="E143" i="11" a="1"/>
  <c r="E143" i="11"/>
  <c r="D143" i="11" a="1"/>
  <c r="D143" i="11"/>
  <c r="C143" i="11" a="1"/>
  <c r="C143" i="11"/>
  <c r="B143" i="11" a="1"/>
  <c r="B143" i="11"/>
  <c r="O142" i="11" a="1"/>
  <c r="O142" i="11"/>
  <c r="L142" i="11" a="1"/>
  <c r="L142" i="11"/>
  <c r="M142" i="11" s="1"/>
  <c r="H142" i="11" a="1"/>
  <c r="H142" i="11"/>
  <c r="G142" i="11" a="1"/>
  <c r="G142" i="11"/>
  <c r="F142" i="11" a="1"/>
  <c r="F142" i="11"/>
  <c r="E142" i="11" a="1"/>
  <c r="E142" i="11"/>
  <c r="D142" i="11" a="1"/>
  <c r="D142" i="11"/>
  <c r="C142" i="11" a="1"/>
  <c r="C142" i="11"/>
  <c r="B142" i="11" a="1"/>
  <c r="B142" i="11"/>
  <c r="O141" i="11" a="1"/>
  <c r="O141" i="11"/>
  <c r="L141" i="11" a="1"/>
  <c r="L141" i="11"/>
  <c r="M141" i="11" s="1"/>
  <c r="H141" i="11" a="1"/>
  <c r="H141" i="11"/>
  <c r="G141" i="11" a="1"/>
  <c r="G141" i="11"/>
  <c r="F141" i="11" a="1"/>
  <c r="F141" i="11"/>
  <c r="E141" i="11" a="1"/>
  <c r="E141" i="11"/>
  <c r="D141" i="11" a="1"/>
  <c r="D141" i="11"/>
  <c r="C141" i="11" a="1"/>
  <c r="C141" i="11"/>
  <c r="B141" i="11" a="1"/>
  <c r="B141" i="11"/>
  <c r="O140" i="11" a="1"/>
  <c r="O140" i="11"/>
  <c r="L140" i="11" a="1"/>
  <c r="L140" i="11"/>
  <c r="M140" i="11" s="1"/>
  <c r="H140" i="11" a="1"/>
  <c r="H140" i="11"/>
  <c r="G140" i="11" a="1"/>
  <c r="G140" i="11"/>
  <c r="F140" i="11" a="1"/>
  <c r="F140" i="11"/>
  <c r="E140" i="11" a="1"/>
  <c r="E140" i="11"/>
  <c r="D140" i="11" a="1"/>
  <c r="D140" i="11"/>
  <c r="C140" i="11" a="1"/>
  <c r="C140" i="11"/>
  <c r="B140" i="11" a="1"/>
  <c r="B140" i="11"/>
  <c r="O139" i="11" a="1"/>
  <c r="O139" i="11"/>
  <c r="L139" i="11" a="1"/>
  <c r="L139" i="11"/>
  <c r="M139" i="11" s="1"/>
  <c r="H139" i="11" a="1"/>
  <c r="H139" i="11"/>
  <c r="G139" i="11" a="1"/>
  <c r="G139" i="11"/>
  <c r="F139" i="11" a="1"/>
  <c r="F139" i="11"/>
  <c r="E139" i="11" a="1"/>
  <c r="E139" i="11"/>
  <c r="D139" i="11" a="1"/>
  <c r="D139" i="11"/>
  <c r="C139" i="11" a="1"/>
  <c r="C139" i="11"/>
  <c r="B139" i="11" a="1"/>
  <c r="B139" i="11"/>
  <c r="O138" i="11" a="1"/>
  <c r="O138" i="11"/>
  <c r="L138" i="11" a="1"/>
  <c r="L138" i="11"/>
  <c r="M138" i="11" s="1"/>
  <c r="H138" i="11" a="1"/>
  <c r="H138" i="11"/>
  <c r="G138" i="11" a="1"/>
  <c r="G138" i="11"/>
  <c r="F138" i="11" a="1"/>
  <c r="F138" i="11"/>
  <c r="E138" i="11" a="1"/>
  <c r="E138" i="11"/>
  <c r="D138" i="11" a="1"/>
  <c r="D138" i="11"/>
  <c r="C138" i="11" a="1"/>
  <c r="C138" i="11"/>
  <c r="B138" i="11" a="1"/>
  <c r="B138" i="11"/>
  <c r="O137" i="11" a="1"/>
  <c r="O137" i="11"/>
  <c r="L137" i="11" a="1"/>
  <c r="L137" i="11"/>
  <c r="M137" i="11" s="1"/>
  <c r="H137" i="11" a="1"/>
  <c r="H137" i="11"/>
  <c r="G137" i="11" a="1"/>
  <c r="G137" i="11"/>
  <c r="F137" i="11" a="1"/>
  <c r="F137" i="11"/>
  <c r="E137" i="11" a="1"/>
  <c r="E137" i="11"/>
  <c r="D137" i="11" a="1"/>
  <c r="D137" i="11"/>
  <c r="C137" i="11" a="1"/>
  <c r="C137" i="11"/>
  <c r="B137" i="11" a="1"/>
  <c r="B137" i="11"/>
  <c r="O136" i="11" a="1"/>
  <c r="O136" i="11"/>
  <c r="L136" i="11" a="1"/>
  <c r="L136" i="11"/>
  <c r="M136" i="11" s="1"/>
  <c r="H136" i="11" a="1"/>
  <c r="H136" i="11"/>
  <c r="G136" i="11" a="1"/>
  <c r="G136" i="11"/>
  <c r="F136" i="11" a="1"/>
  <c r="F136" i="11"/>
  <c r="E136" i="11" a="1"/>
  <c r="E136" i="11"/>
  <c r="D136" i="11" a="1"/>
  <c r="D136" i="11"/>
  <c r="C136" i="11" a="1"/>
  <c r="C136" i="11"/>
  <c r="B136" i="11" a="1"/>
  <c r="B136" i="11"/>
  <c r="O135" i="11" a="1"/>
  <c r="O135" i="11"/>
  <c r="L135" i="11" a="1"/>
  <c r="L135" i="11"/>
  <c r="M135" i="11" s="1"/>
  <c r="H135" i="11" a="1"/>
  <c r="H135" i="11"/>
  <c r="G135" i="11" a="1"/>
  <c r="G135" i="11"/>
  <c r="F135" i="11" a="1"/>
  <c r="F135" i="11"/>
  <c r="E135" i="11" a="1"/>
  <c r="E135" i="11"/>
  <c r="D135" i="11" a="1"/>
  <c r="D135" i="11"/>
  <c r="C135" i="11" a="1"/>
  <c r="C135" i="11"/>
  <c r="B135" i="11" a="1"/>
  <c r="B135" i="11"/>
  <c r="O134" i="11" a="1"/>
  <c r="O134" i="11"/>
  <c r="L134" i="11" a="1"/>
  <c r="L134" i="11"/>
  <c r="M134" i="11" s="1"/>
  <c r="H134" i="11" a="1"/>
  <c r="H134" i="11"/>
  <c r="G134" i="11" a="1"/>
  <c r="G134" i="11"/>
  <c r="F134" i="11" a="1"/>
  <c r="F134" i="11"/>
  <c r="E134" i="11" a="1"/>
  <c r="E134" i="11"/>
  <c r="D134" i="11" a="1"/>
  <c r="D134" i="11"/>
  <c r="C134" i="11" a="1"/>
  <c r="C134" i="11"/>
  <c r="B134" i="11" a="1"/>
  <c r="B134" i="11"/>
  <c r="O133" i="11" a="1"/>
  <c r="O133" i="11"/>
  <c r="L133" i="11" a="1"/>
  <c r="L133" i="11"/>
  <c r="M133" i="11" s="1"/>
  <c r="H133" i="11" a="1"/>
  <c r="H133" i="11"/>
  <c r="G133" i="11" a="1"/>
  <c r="G133" i="11"/>
  <c r="F133" i="11" a="1"/>
  <c r="F133" i="11"/>
  <c r="E133" i="11" a="1"/>
  <c r="E133" i="11"/>
  <c r="D133" i="11" a="1"/>
  <c r="D133" i="11"/>
  <c r="C133" i="11" a="1"/>
  <c r="C133" i="11"/>
  <c r="B133" i="11" a="1"/>
  <c r="B133" i="11"/>
  <c r="O132" i="11" a="1"/>
  <c r="O132" i="11"/>
  <c r="L132" i="11" a="1"/>
  <c r="L132" i="11"/>
  <c r="M132" i="11" s="1"/>
  <c r="H132" i="11" a="1"/>
  <c r="H132" i="11"/>
  <c r="G132" i="11" a="1"/>
  <c r="G132" i="11"/>
  <c r="F132" i="11" a="1"/>
  <c r="F132" i="11"/>
  <c r="E132" i="11" a="1"/>
  <c r="E132" i="11"/>
  <c r="D132" i="11" a="1"/>
  <c r="D132" i="11"/>
  <c r="C132" i="11" a="1"/>
  <c r="C132" i="11"/>
  <c r="B132" i="11" a="1"/>
  <c r="B132" i="11"/>
  <c r="O131" i="11" a="1"/>
  <c r="O131" i="11"/>
  <c r="L131" i="11" a="1"/>
  <c r="L131" i="11"/>
  <c r="M131" i="11" s="1"/>
  <c r="H131" i="11" a="1"/>
  <c r="H131" i="11"/>
  <c r="G131" i="11" a="1"/>
  <c r="G131" i="11"/>
  <c r="F131" i="11" a="1"/>
  <c r="F131" i="11"/>
  <c r="E131" i="11" a="1"/>
  <c r="E131" i="11"/>
  <c r="D131" i="11" a="1"/>
  <c r="D131" i="11"/>
  <c r="C131" i="11" a="1"/>
  <c r="C131" i="11"/>
  <c r="B131" i="11" a="1"/>
  <c r="B131" i="11"/>
  <c r="O130" i="11" a="1"/>
  <c r="O130" i="11"/>
  <c r="L130" i="11" a="1"/>
  <c r="L130" i="11"/>
  <c r="M130" i="11" s="1"/>
  <c r="H130" i="11" a="1"/>
  <c r="H130" i="11"/>
  <c r="G130" i="11" a="1"/>
  <c r="G130" i="11"/>
  <c r="F130" i="11" a="1"/>
  <c r="F130" i="11"/>
  <c r="E130" i="11" a="1"/>
  <c r="E130" i="11"/>
  <c r="D130" i="11" a="1"/>
  <c r="D130" i="11"/>
  <c r="C130" i="11" a="1"/>
  <c r="C130" i="11"/>
  <c r="B130" i="11" a="1"/>
  <c r="B130" i="11"/>
  <c r="O129" i="11" a="1"/>
  <c r="O129" i="11"/>
  <c r="L129" i="11" a="1"/>
  <c r="L129" i="11"/>
  <c r="M129" i="11" s="1"/>
  <c r="H129" i="11" a="1"/>
  <c r="H129" i="11"/>
  <c r="G129" i="11" a="1"/>
  <c r="G129" i="11"/>
  <c r="F129" i="11" a="1"/>
  <c r="F129" i="11"/>
  <c r="E129" i="11" a="1"/>
  <c r="E129" i="11"/>
  <c r="D129" i="11" a="1"/>
  <c r="D129" i="11"/>
  <c r="C129" i="11" a="1"/>
  <c r="C129" i="11"/>
  <c r="B129" i="11" a="1"/>
  <c r="B129" i="11"/>
  <c r="O128" i="11" a="1"/>
  <c r="O128" i="11"/>
  <c r="L128" i="11" a="1"/>
  <c r="L128" i="11"/>
  <c r="M128" i="11" s="1"/>
  <c r="H128" i="11" a="1"/>
  <c r="H128" i="11"/>
  <c r="G128" i="11" a="1"/>
  <c r="G128" i="11"/>
  <c r="F128" i="11" a="1"/>
  <c r="F128" i="11"/>
  <c r="E128" i="11" a="1"/>
  <c r="E128" i="11"/>
  <c r="D128" i="11" a="1"/>
  <c r="D128" i="11"/>
  <c r="C128" i="11" a="1"/>
  <c r="C128" i="11"/>
  <c r="B128" i="11" a="1"/>
  <c r="B128" i="11"/>
  <c r="O127" i="11" a="1"/>
  <c r="O127" i="11"/>
  <c r="L127" i="11" a="1"/>
  <c r="L127" i="11"/>
  <c r="M127" i="11" s="1"/>
  <c r="H127" i="11" a="1"/>
  <c r="H127" i="11"/>
  <c r="G127" i="11" a="1"/>
  <c r="G127" i="11"/>
  <c r="F127" i="11" a="1"/>
  <c r="F127" i="11"/>
  <c r="E127" i="11" a="1"/>
  <c r="E127" i="11"/>
  <c r="D127" i="11" a="1"/>
  <c r="D127" i="11"/>
  <c r="C127" i="11" a="1"/>
  <c r="C127" i="11"/>
  <c r="B127" i="11" a="1"/>
  <c r="B127" i="11"/>
  <c r="O126" i="11" a="1"/>
  <c r="O126" i="11"/>
  <c r="L126" i="11" a="1"/>
  <c r="L126" i="11"/>
  <c r="M126" i="11" s="1"/>
  <c r="H126" i="11" a="1"/>
  <c r="H126" i="11"/>
  <c r="G126" i="11" a="1"/>
  <c r="G126" i="11"/>
  <c r="F126" i="11" a="1"/>
  <c r="F126" i="11"/>
  <c r="E126" i="11" a="1"/>
  <c r="E126" i="11"/>
  <c r="D126" i="11" a="1"/>
  <c r="D126" i="11"/>
  <c r="C126" i="11" a="1"/>
  <c r="C126" i="11"/>
  <c r="B126" i="11" a="1"/>
  <c r="B126" i="11"/>
  <c r="O125" i="11" a="1"/>
  <c r="O125" i="11"/>
  <c r="L125" i="11" a="1"/>
  <c r="L125" i="11"/>
  <c r="M125" i="11" s="1"/>
  <c r="H125" i="11" a="1"/>
  <c r="H125" i="11"/>
  <c r="G125" i="11" a="1"/>
  <c r="G125" i="11"/>
  <c r="F125" i="11" a="1"/>
  <c r="F125" i="11"/>
  <c r="E125" i="11" a="1"/>
  <c r="E125" i="11"/>
  <c r="D125" i="11" a="1"/>
  <c r="D125" i="11"/>
  <c r="C125" i="11" a="1"/>
  <c r="C125" i="11"/>
  <c r="B125" i="11" a="1"/>
  <c r="B125" i="11"/>
  <c r="O124" i="11" a="1"/>
  <c r="O124" i="11"/>
  <c r="L124" i="11" a="1"/>
  <c r="L124" i="11"/>
  <c r="M124" i="11" s="1"/>
  <c r="H124" i="11" a="1"/>
  <c r="H124" i="11"/>
  <c r="G124" i="11" a="1"/>
  <c r="G124" i="11"/>
  <c r="F124" i="11" a="1"/>
  <c r="F124" i="11"/>
  <c r="E124" i="11" a="1"/>
  <c r="E124" i="11"/>
  <c r="D124" i="11" a="1"/>
  <c r="D124" i="11"/>
  <c r="C124" i="11" a="1"/>
  <c r="C124" i="11"/>
  <c r="B124" i="11" a="1"/>
  <c r="B124" i="11"/>
  <c r="O123" i="11" a="1"/>
  <c r="O123" i="11"/>
  <c r="L123" i="11" a="1"/>
  <c r="L123" i="11"/>
  <c r="M123" i="11" s="1"/>
  <c r="H123" i="11" a="1"/>
  <c r="H123" i="11"/>
  <c r="G123" i="11" a="1"/>
  <c r="G123" i="11"/>
  <c r="F123" i="11" a="1"/>
  <c r="F123" i="11"/>
  <c r="E123" i="11" a="1"/>
  <c r="E123" i="11"/>
  <c r="D123" i="11" a="1"/>
  <c r="D123" i="11"/>
  <c r="C123" i="11" a="1"/>
  <c r="C123" i="11"/>
  <c r="B123" i="11" a="1"/>
  <c r="B123" i="11"/>
  <c r="O122" i="11" a="1"/>
  <c r="O122" i="11"/>
  <c r="L122" i="11" a="1"/>
  <c r="L122" i="11"/>
  <c r="M122" i="11" s="1"/>
  <c r="H122" i="11" a="1"/>
  <c r="H122" i="11"/>
  <c r="G122" i="11" a="1"/>
  <c r="G122" i="11"/>
  <c r="F122" i="11" a="1"/>
  <c r="F122" i="11"/>
  <c r="E122" i="11" a="1"/>
  <c r="E122" i="11"/>
  <c r="D122" i="11" a="1"/>
  <c r="D122" i="11"/>
  <c r="C122" i="11" a="1"/>
  <c r="C122" i="11"/>
  <c r="B122" i="11" a="1"/>
  <c r="B122" i="11"/>
  <c r="O121" i="11" a="1"/>
  <c r="O121" i="11"/>
  <c r="L121" i="11" a="1"/>
  <c r="L121" i="11"/>
  <c r="M121" i="11" s="1"/>
  <c r="H121" i="11" a="1"/>
  <c r="H121" i="11"/>
  <c r="G121" i="11" a="1"/>
  <c r="G121" i="11"/>
  <c r="F121" i="11" a="1"/>
  <c r="F121" i="11"/>
  <c r="E121" i="11" a="1"/>
  <c r="E121" i="11"/>
  <c r="D121" i="11" a="1"/>
  <c r="D121" i="11"/>
  <c r="C121" i="11" a="1"/>
  <c r="C121" i="11"/>
  <c r="B121" i="11" a="1"/>
  <c r="B121" i="11"/>
  <c r="O120" i="11" a="1"/>
  <c r="O120" i="11"/>
  <c r="L120" i="11" a="1"/>
  <c r="L120" i="11"/>
  <c r="M120" i="11" s="1"/>
  <c r="H120" i="11" a="1"/>
  <c r="H120" i="11"/>
  <c r="G120" i="11" a="1"/>
  <c r="G120" i="11"/>
  <c r="F120" i="11" a="1"/>
  <c r="F120" i="11"/>
  <c r="E120" i="11" a="1"/>
  <c r="E120" i="11"/>
  <c r="D120" i="11" a="1"/>
  <c r="D120" i="11"/>
  <c r="C120" i="11" a="1"/>
  <c r="C120" i="11"/>
  <c r="B120" i="11" a="1"/>
  <c r="B120" i="11"/>
  <c r="O119" i="11" a="1"/>
  <c r="O119" i="11"/>
  <c r="L119" i="11" a="1"/>
  <c r="L119" i="11"/>
  <c r="M119" i="11" s="1"/>
  <c r="H119" i="11" a="1"/>
  <c r="H119" i="11"/>
  <c r="G119" i="11" a="1"/>
  <c r="G119" i="11"/>
  <c r="F119" i="11" a="1"/>
  <c r="F119" i="11"/>
  <c r="E119" i="11" a="1"/>
  <c r="E119" i="11"/>
  <c r="D119" i="11" a="1"/>
  <c r="D119" i="11"/>
  <c r="C119" i="11" a="1"/>
  <c r="C119" i="11"/>
  <c r="B119" i="11" a="1"/>
  <c r="B119" i="11"/>
  <c r="O118" i="11" a="1"/>
  <c r="O118" i="11"/>
  <c r="L118" i="11" a="1"/>
  <c r="L118" i="11"/>
  <c r="M118" i="11" s="1"/>
  <c r="H118" i="11" a="1"/>
  <c r="H118" i="11"/>
  <c r="G118" i="11" a="1"/>
  <c r="G118" i="11"/>
  <c r="F118" i="11" a="1"/>
  <c r="F118" i="11"/>
  <c r="E118" i="11" a="1"/>
  <c r="E118" i="11"/>
  <c r="D118" i="11" a="1"/>
  <c r="D118" i="11"/>
  <c r="C118" i="11" a="1"/>
  <c r="C118" i="11"/>
  <c r="B118" i="11" a="1"/>
  <c r="B118" i="11"/>
  <c r="O117" i="11" a="1"/>
  <c r="O117" i="11"/>
  <c r="L117" i="11" a="1"/>
  <c r="L117" i="11"/>
  <c r="M117" i="11" s="1"/>
  <c r="H117" i="11" a="1"/>
  <c r="H117" i="11"/>
  <c r="G117" i="11" a="1"/>
  <c r="G117" i="11"/>
  <c r="F117" i="11" a="1"/>
  <c r="F117" i="11"/>
  <c r="E117" i="11" a="1"/>
  <c r="E117" i="11"/>
  <c r="D117" i="11" a="1"/>
  <c r="D117" i="11"/>
  <c r="C117" i="11" a="1"/>
  <c r="C117" i="11"/>
  <c r="B117" i="11" a="1"/>
  <c r="B117" i="11"/>
  <c r="O116" i="11" a="1"/>
  <c r="O116" i="11"/>
  <c r="L116" i="11" a="1"/>
  <c r="L116" i="11"/>
  <c r="M116" i="11" s="1"/>
  <c r="H116" i="11" a="1"/>
  <c r="H116" i="11"/>
  <c r="G116" i="11" a="1"/>
  <c r="G116" i="11"/>
  <c r="F116" i="11" a="1"/>
  <c r="F116" i="11"/>
  <c r="E116" i="11" a="1"/>
  <c r="E116" i="11"/>
  <c r="D116" i="11" a="1"/>
  <c r="D116" i="11"/>
  <c r="C116" i="11" a="1"/>
  <c r="C116" i="11"/>
  <c r="B116" i="11" a="1"/>
  <c r="B116" i="11"/>
  <c r="O115" i="11" a="1"/>
  <c r="O115" i="11"/>
  <c r="L115" i="11" a="1"/>
  <c r="L115" i="11"/>
  <c r="M115" i="11" s="1"/>
  <c r="H115" i="11" a="1"/>
  <c r="H115" i="11"/>
  <c r="G115" i="11" a="1"/>
  <c r="G115" i="11"/>
  <c r="F115" i="11" a="1"/>
  <c r="F115" i="11"/>
  <c r="E115" i="11" a="1"/>
  <c r="E115" i="11"/>
  <c r="D115" i="11" a="1"/>
  <c r="D115" i="11"/>
  <c r="C115" i="11" a="1"/>
  <c r="C115" i="11"/>
  <c r="B115" i="11" a="1"/>
  <c r="B115" i="11"/>
  <c r="O114" i="11" a="1"/>
  <c r="O114" i="11"/>
  <c r="L114" i="11" a="1"/>
  <c r="L114" i="11"/>
  <c r="M114" i="11" s="1"/>
  <c r="H114" i="11" a="1"/>
  <c r="H114" i="11"/>
  <c r="G114" i="11" a="1"/>
  <c r="G114" i="11"/>
  <c r="F114" i="11" a="1"/>
  <c r="F114" i="11"/>
  <c r="E114" i="11" a="1"/>
  <c r="E114" i="11"/>
  <c r="D114" i="11" a="1"/>
  <c r="D114" i="11"/>
  <c r="C114" i="11" a="1"/>
  <c r="C114" i="11"/>
  <c r="B114" i="11" a="1"/>
  <c r="B114" i="11"/>
  <c r="O113" i="11" a="1"/>
  <c r="O113" i="11"/>
  <c r="L113" i="11" a="1"/>
  <c r="L113" i="11"/>
  <c r="M113" i="11" s="1"/>
  <c r="H113" i="11" a="1"/>
  <c r="H113" i="11"/>
  <c r="G113" i="11" a="1"/>
  <c r="G113" i="11"/>
  <c r="F113" i="11" a="1"/>
  <c r="F113" i="11"/>
  <c r="E113" i="11" a="1"/>
  <c r="E113" i="11"/>
  <c r="D113" i="11" a="1"/>
  <c r="D113" i="11"/>
  <c r="C113" i="11" a="1"/>
  <c r="C113" i="11"/>
  <c r="B113" i="11" a="1"/>
  <c r="B113" i="11"/>
  <c r="O112" i="11" a="1"/>
  <c r="O112" i="11"/>
  <c r="L112" i="11" a="1"/>
  <c r="L112" i="11"/>
  <c r="M112" i="11" s="1"/>
  <c r="H112" i="11" a="1"/>
  <c r="H112" i="11"/>
  <c r="G112" i="11" a="1"/>
  <c r="G112" i="11"/>
  <c r="F112" i="11" a="1"/>
  <c r="F112" i="11"/>
  <c r="E112" i="11" a="1"/>
  <c r="E112" i="11"/>
  <c r="D112" i="11" a="1"/>
  <c r="D112" i="11"/>
  <c r="C112" i="11" a="1"/>
  <c r="C112" i="11"/>
  <c r="B112" i="11" a="1"/>
  <c r="B112" i="11"/>
  <c r="O111" i="11" a="1"/>
  <c r="O111" i="11"/>
  <c r="L111" i="11" a="1"/>
  <c r="L111" i="11"/>
  <c r="M111" i="11" s="1"/>
  <c r="H111" i="11" a="1"/>
  <c r="H111" i="11"/>
  <c r="G111" i="11" a="1"/>
  <c r="G111" i="11"/>
  <c r="F111" i="11" a="1"/>
  <c r="F111" i="11"/>
  <c r="E111" i="11" a="1"/>
  <c r="E111" i="11"/>
  <c r="D111" i="11" a="1"/>
  <c r="D111" i="11"/>
  <c r="C111" i="11" a="1"/>
  <c r="C111" i="11"/>
  <c r="B111" i="11" a="1"/>
  <c r="B111" i="11"/>
  <c r="O110" i="11" a="1"/>
  <c r="O110" i="11"/>
  <c r="L110" i="11" a="1"/>
  <c r="L110" i="11"/>
  <c r="M110" i="11" s="1"/>
  <c r="H110" i="11" a="1"/>
  <c r="H110" i="11"/>
  <c r="G110" i="11" a="1"/>
  <c r="G110" i="11"/>
  <c r="F110" i="11" a="1"/>
  <c r="F110" i="11"/>
  <c r="E110" i="11" a="1"/>
  <c r="E110" i="11"/>
  <c r="D110" i="11" a="1"/>
  <c r="D110" i="11"/>
  <c r="C110" i="11" a="1"/>
  <c r="C110" i="11"/>
  <c r="B110" i="11" a="1"/>
  <c r="B110" i="11"/>
  <c r="O109" i="11" a="1"/>
  <c r="O109" i="11"/>
  <c r="L109" i="11" a="1"/>
  <c r="L109" i="11"/>
  <c r="M109" i="11" s="1"/>
  <c r="H109" i="11" a="1"/>
  <c r="H109" i="11"/>
  <c r="G109" i="11" a="1"/>
  <c r="G109" i="11"/>
  <c r="F109" i="11" a="1"/>
  <c r="F109" i="11"/>
  <c r="E109" i="11" a="1"/>
  <c r="E109" i="11"/>
  <c r="D109" i="11" a="1"/>
  <c r="D109" i="11"/>
  <c r="C109" i="11" a="1"/>
  <c r="C109" i="11"/>
  <c r="B109" i="11" a="1"/>
  <c r="B109" i="11"/>
  <c r="O108" i="11" a="1"/>
  <c r="O108" i="11"/>
  <c r="L108" i="11" a="1"/>
  <c r="L108" i="11"/>
  <c r="M108" i="11" s="1"/>
  <c r="H108" i="11" a="1"/>
  <c r="H108" i="11"/>
  <c r="G108" i="11" a="1"/>
  <c r="G108" i="11"/>
  <c r="F108" i="11" a="1"/>
  <c r="F108" i="11"/>
  <c r="E108" i="11" a="1"/>
  <c r="E108" i="11"/>
  <c r="D108" i="11" a="1"/>
  <c r="D108" i="11"/>
  <c r="C108" i="11" a="1"/>
  <c r="C108" i="11"/>
  <c r="B108" i="11" a="1"/>
  <c r="B108" i="11"/>
  <c r="O107" i="11" a="1"/>
  <c r="O107" i="11"/>
  <c r="L107" i="11" a="1"/>
  <c r="L107" i="11"/>
  <c r="M107" i="11" s="1"/>
  <c r="H107" i="11" a="1"/>
  <c r="H107" i="11"/>
  <c r="G107" i="11" a="1"/>
  <c r="G107" i="11"/>
  <c r="F107" i="11" a="1"/>
  <c r="F107" i="11"/>
  <c r="E107" i="11" a="1"/>
  <c r="E107" i="11"/>
  <c r="D107" i="11" a="1"/>
  <c r="D107" i="11"/>
  <c r="C107" i="11" a="1"/>
  <c r="C107" i="11"/>
  <c r="B107" i="11" a="1"/>
  <c r="B107" i="11"/>
  <c r="O106" i="11" a="1"/>
  <c r="O106" i="11"/>
  <c r="L106" i="11" a="1"/>
  <c r="L106" i="11"/>
  <c r="M106" i="11" s="1"/>
  <c r="H106" i="11" a="1"/>
  <c r="H106" i="11"/>
  <c r="G106" i="11" a="1"/>
  <c r="G106" i="11"/>
  <c r="F106" i="11" a="1"/>
  <c r="F106" i="11"/>
  <c r="E106" i="11" a="1"/>
  <c r="E106" i="11"/>
  <c r="D106" i="11" a="1"/>
  <c r="D106" i="11"/>
  <c r="C106" i="11" a="1"/>
  <c r="C106" i="11"/>
  <c r="B106" i="11" a="1"/>
  <c r="B106" i="11"/>
  <c r="O105" i="11" a="1"/>
  <c r="O105" i="11"/>
  <c r="L105" i="11" a="1"/>
  <c r="L105" i="11"/>
  <c r="M105" i="11" s="1"/>
  <c r="H105" i="11" a="1"/>
  <c r="H105" i="11"/>
  <c r="G105" i="11" a="1"/>
  <c r="G105" i="11"/>
  <c r="F105" i="11" a="1"/>
  <c r="F105" i="11"/>
  <c r="E105" i="11" a="1"/>
  <c r="E105" i="11"/>
  <c r="D105" i="11" a="1"/>
  <c r="D105" i="11"/>
  <c r="C105" i="11" a="1"/>
  <c r="C105" i="11"/>
  <c r="B105" i="11" a="1"/>
  <c r="B105" i="11"/>
  <c r="O104" i="11" a="1"/>
  <c r="O104" i="11"/>
  <c r="L104" i="11" a="1"/>
  <c r="L104" i="11"/>
  <c r="M104" i="11" s="1"/>
  <c r="H104" i="11" a="1"/>
  <c r="H104" i="11"/>
  <c r="G104" i="11" a="1"/>
  <c r="G104" i="11"/>
  <c r="F104" i="11" a="1"/>
  <c r="F104" i="11"/>
  <c r="E104" i="11" a="1"/>
  <c r="E104" i="11"/>
  <c r="D104" i="11" a="1"/>
  <c r="D104" i="11"/>
  <c r="C104" i="11" a="1"/>
  <c r="C104" i="11"/>
  <c r="B104" i="11" a="1"/>
  <c r="B104" i="11"/>
  <c r="O103" i="11" a="1"/>
  <c r="O103" i="11"/>
  <c r="L103" i="11" a="1"/>
  <c r="L103" i="11"/>
  <c r="M103" i="11" s="1"/>
  <c r="H103" i="11" a="1"/>
  <c r="H103" i="11"/>
  <c r="G103" i="11" a="1"/>
  <c r="G103" i="11"/>
  <c r="F103" i="11" a="1"/>
  <c r="F103" i="11"/>
  <c r="E103" i="11" a="1"/>
  <c r="E103" i="11"/>
  <c r="D103" i="11" a="1"/>
  <c r="D103" i="11"/>
  <c r="C103" i="11" a="1"/>
  <c r="C103" i="11"/>
  <c r="B103" i="11" a="1"/>
  <c r="B103" i="11"/>
  <c r="O102" i="11" a="1"/>
  <c r="O102" i="11"/>
  <c r="L102" i="11" a="1"/>
  <c r="L102" i="11"/>
  <c r="M102" i="11" s="1"/>
  <c r="H102" i="11" a="1"/>
  <c r="H102" i="11"/>
  <c r="G102" i="11" a="1"/>
  <c r="G102" i="11"/>
  <c r="F102" i="11" a="1"/>
  <c r="F102" i="11"/>
  <c r="E102" i="11" a="1"/>
  <c r="E102" i="11"/>
  <c r="D102" i="11" a="1"/>
  <c r="D102" i="11"/>
  <c r="C102" i="11" a="1"/>
  <c r="C102" i="11"/>
  <c r="B102" i="11" a="1"/>
  <c r="B102" i="11"/>
  <c r="O101" i="11" a="1"/>
  <c r="O101" i="11"/>
  <c r="L101" i="11" a="1"/>
  <c r="L101" i="11"/>
  <c r="M101" i="11" s="1"/>
  <c r="H101" i="11" a="1"/>
  <c r="H101" i="11"/>
  <c r="G101" i="11" a="1"/>
  <c r="G101" i="11"/>
  <c r="F101" i="11" a="1"/>
  <c r="F101" i="11"/>
  <c r="E101" i="11" a="1"/>
  <c r="E101" i="11"/>
  <c r="D101" i="11" a="1"/>
  <c r="D101" i="11"/>
  <c r="C101" i="11" a="1"/>
  <c r="C101" i="11"/>
  <c r="B101" i="11" a="1"/>
  <c r="B101" i="11"/>
  <c r="O100" i="11" a="1"/>
  <c r="O100" i="11"/>
  <c r="L100" i="11" a="1"/>
  <c r="L100" i="11"/>
  <c r="M100" i="11" s="1"/>
  <c r="H100" i="11" a="1"/>
  <c r="H100" i="11"/>
  <c r="G100" i="11" a="1"/>
  <c r="G100" i="11"/>
  <c r="F100" i="11" a="1"/>
  <c r="F100" i="11"/>
  <c r="E100" i="11" a="1"/>
  <c r="E100" i="11"/>
  <c r="D100" i="11" a="1"/>
  <c r="D100" i="11"/>
  <c r="C100" i="11" a="1"/>
  <c r="C100" i="11"/>
  <c r="B100" i="11" a="1"/>
  <c r="B100" i="11"/>
  <c r="O99" i="11" a="1"/>
  <c r="O99" i="11"/>
  <c r="L99" i="11" a="1"/>
  <c r="L99" i="11"/>
  <c r="M99" i="11" s="1"/>
  <c r="H99" i="11" a="1"/>
  <c r="H99" i="11"/>
  <c r="G99" i="11" a="1"/>
  <c r="G99" i="11"/>
  <c r="F99" i="11" a="1"/>
  <c r="F99" i="11"/>
  <c r="E99" i="11" a="1"/>
  <c r="E99" i="11"/>
  <c r="D99" i="11" a="1"/>
  <c r="D99" i="11"/>
  <c r="C99" i="11" a="1"/>
  <c r="C99" i="11"/>
  <c r="B99" i="11" a="1"/>
  <c r="B99" i="11"/>
  <c r="O98" i="11" a="1"/>
  <c r="O98" i="11"/>
  <c r="L98" i="11" a="1"/>
  <c r="L98" i="11"/>
  <c r="M98" i="11" s="1"/>
  <c r="H98" i="11" a="1"/>
  <c r="H98" i="11"/>
  <c r="G98" i="11" a="1"/>
  <c r="G98" i="11"/>
  <c r="F98" i="11" a="1"/>
  <c r="F98" i="11"/>
  <c r="E98" i="11" a="1"/>
  <c r="E98" i="11"/>
  <c r="D98" i="11" a="1"/>
  <c r="D98" i="11"/>
  <c r="C98" i="11" a="1"/>
  <c r="C98" i="11"/>
  <c r="B98" i="11" a="1"/>
  <c r="B98" i="11"/>
  <c r="O97" i="11" a="1"/>
  <c r="O97" i="11"/>
  <c r="L97" i="11" a="1"/>
  <c r="L97" i="11"/>
  <c r="M97" i="11" s="1"/>
  <c r="H97" i="11" a="1"/>
  <c r="H97" i="11"/>
  <c r="G97" i="11" a="1"/>
  <c r="G97" i="11"/>
  <c r="F97" i="11" a="1"/>
  <c r="F97" i="11"/>
  <c r="E97" i="11" a="1"/>
  <c r="E97" i="11"/>
  <c r="D97" i="11" a="1"/>
  <c r="D97" i="11"/>
  <c r="C97" i="11" a="1"/>
  <c r="C97" i="11"/>
  <c r="B97" i="11" a="1"/>
  <c r="B97" i="11"/>
  <c r="O96" i="11" a="1"/>
  <c r="O96" i="11"/>
  <c r="L96" i="11" a="1"/>
  <c r="L96" i="11"/>
  <c r="M96" i="11" s="1"/>
  <c r="H96" i="11" a="1"/>
  <c r="H96" i="11"/>
  <c r="G96" i="11" a="1"/>
  <c r="G96" i="11"/>
  <c r="F96" i="11" a="1"/>
  <c r="F96" i="11"/>
  <c r="E96" i="11" a="1"/>
  <c r="E96" i="11"/>
  <c r="D96" i="11" a="1"/>
  <c r="D96" i="11"/>
  <c r="C96" i="11" a="1"/>
  <c r="C96" i="11"/>
  <c r="B96" i="11" a="1"/>
  <c r="B96" i="11"/>
  <c r="O95" i="11" a="1"/>
  <c r="O95" i="11"/>
  <c r="L95" i="11" a="1"/>
  <c r="L95" i="11"/>
  <c r="M95" i="11" s="1"/>
  <c r="H95" i="11" a="1"/>
  <c r="H95" i="11"/>
  <c r="G95" i="11" a="1"/>
  <c r="G95" i="11"/>
  <c r="F95" i="11" a="1"/>
  <c r="F95" i="11"/>
  <c r="E95" i="11" a="1"/>
  <c r="E95" i="11"/>
  <c r="D95" i="11" a="1"/>
  <c r="D95" i="11"/>
  <c r="C95" i="11" a="1"/>
  <c r="C95" i="11"/>
  <c r="B95" i="11" a="1"/>
  <c r="B95" i="11"/>
  <c r="O94" i="11" a="1"/>
  <c r="O94" i="11"/>
  <c r="L94" i="11" a="1"/>
  <c r="L94" i="11"/>
  <c r="M94" i="11" s="1"/>
  <c r="H94" i="11" a="1"/>
  <c r="H94" i="11"/>
  <c r="G94" i="11" a="1"/>
  <c r="G94" i="11"/>
  <c r="F94" i="11" a="1"/>
  <c r="F94" i="11"/>
  <c r="E94" i="11" a="1"/>
  <c r="E94" i="11"/>
  <c r="D94" i="11" a="1"/>
  <c r="D94" i="11"/>
  <c r="C94" i="11" a="1"/>
  <c r="C94" i="11"/>
  <c r="B94" i="11" a="1"/>
  <c r="B94" i="11"/>
  <c r="O93" i="11" a="1"/>
  <c r="O93" i="11"/>
  <c r="L93" i="11" a="1"/>
  <c r="L93" i="11"/>
  <c r="M93" i="11" s="1"/>
  <c r="H93" i="11" a="1"/>
  <c r="H93" i="11"/>
  <c r="G93" i="11" a="1"/>
  <c r="G93" i="11"/>
  <c r="F93" i="11" a="1"/>
  <c r="F93" i="11"/>
  <c r="E93" i="11" a="1"/>
  <c r="E93" i="11"/>
  <c r="D93" i="11" a="1"/>
  <c r="D93" i="11"/>
  <c r="C93" i="11" a="1"/>
  <c r="C93" i="11"/>
  <c r="B93" i="11" a="1"/>
  <c r="B93" i="11"/>
  <c r="O92" i="11" a="1"/>
  <c r="O92" i="11"/>
  <c r="L92" i="11" a="1"/>
  <c r="L92" i="11"/>
  <c r="M92" i="11" s="1"/>
  <c r="H92" i="11" a="1"/>
  <c r="H92" i="11"/>
  <c r="G92" i="11" a="1"/>
  <c r="G92" i="11"/>
  <c r="F92" i="11" a="1"/>
  <c r="F92" i="11"/>
  <c r="E92" i="11" a="1"/>
  <c r="E92" i="11"/>
  <c r="D92" i="11" a="1"/>
  <c r="D92" i="11"/>
  <c r="C92" i="11" a="1"/>
  <c r="C92" i="11"/>
  <c r="B92" i="11" a="1"/>
  <c r="B92" i="11"/>
  <c r="O91" i="11" a="1"/>
  <c r="O91" i="11"/>
  <c r="L91" i="11" a="1"/>
  <c r="L91" i="11"/>
  <c r="M91" i="11" s="1"/>
  <c r="H91" i="11" a="1"/>
  <c r="H91" i="11"/>
  <c r="G91" i="11" a="1"/>
  <c r="G91" i="11"/>
  <c r="F91" i="11" a="1"/>
  <c r="F91" i="11"/>
  <c r="E91" i="11" a="1"/>
  <c r="E91" i="11"/>
  <c r="D91" i="11" a="1"/>
  <c r="D91" i="11"/>
  <c r="C91" i="11" a="1"/>
  <c r="C91" i="11"/>
  <c r="B91" i="11" a="1"/>
  <c r="B91" i="11"/>
  <c r="O90" i="11" a="1"/>
  <c r="O90" i="11"/>
  <c r="L90" i="11" a="1"/>
  <c r="L90" i="11"/>
  <c r="M90" i="11" s="1"/>
  <c r="H90" i="11" a="1"/>
  <c r="H90" i="11"/>
  <c r="G90" i="11" a="1"/>
  <c r="G90" i="11"/>
  <c r="F90" i="11" a="1"/>
  <c r="F90" i="11"/>
  <c r="E90" i="11" a="1"/>
  <c r="E90" i="11"/>
  <c r="D90" i="11" a="1"/>
  <c r="D90" i="11"/>
  <c r="C90" i="11" a="1"/>
  <c r="C90" i="11"/>
  <c r="B90" i="11" a="1"/>
  <c r="B90" i="11"/>
  <c r="O89" i="11" a="1"/>
  <c r="O89" i="11"/>
  <c r="L89" i="11" a="1"/>
  <c r="L89" i="11"/>
  <c r="M89" i="11" s="1"/>
  <c r="H89" i="11" a="1"/>
  <c r="H89" i="11"/>
  <c r="G89" i="11" a="1"/>
  <c r="G89" i="11"/>
  <c r="F89" i="11" a="1"/>
  <c r="F89" i="11"/>
  <c r="E89" i="11" a="1"/>
  <c r="E89" i="11"/>
  <c r="D89" i="11" a="1"/>
  <c r="D89" i="11"/>
  <c r="C89" i="11" a="1"/>
  <c r="C89" i="11"/>
  <c r="B89" i="11" a="1"/>
  <c r="B89" i="11"/>
  <c r="O88" i="11" a="1"/>
  <c r="O88" i="11"/>
  <c r="L88" i="11" a="1"/>
  <c r="L88" i="11"/>
  <c r="M88" i="11" s="1"/>
  <c r="H88" i="11" a="1"/>
  <c r="H88" i="11"/>
  <c r="G88" i="11" a="1"/>
  <c r="G88" i="11"/>
  <c r="F88" i="11" a="1"/>
  <c r="F88" i="11"/>
  <c r="E88" i="11" a="1"/>
  <c r="E88" i="11"/>
  <c r="D88" i="11" a="1"/>
  <c r="D88" i="11"/>
  <c r="C88" i="11" a="1"/>
  <c r="C88" i="11"/>
  <c r="B88" i="11" a="1"/>
  <c r="B88" i="11"/>
  <c r="O87" i="11" a="1"/>
  <c r="O87" i="11"/>
  <c r="L87" i="11" a="1"/>
  <c r="L87" i="11"/>
  <c r="M87" i="11" s="1"/>
  <c r="H87" i="11" a="1"/>
  <c r="H87" i="11"/>
  <c r="G87" i="11" a="1"/>
  <c r="G87" i="11"/>
  <c r="F87" i="11" a="1"/>
  <c r="F87" i="11"/>
  <c r="E87" i="11" a="1"/>
  <c r="E87" i="11"/>
  <c r="D87" i="11" a="1"/>
  <c r="D87" i="11"/>
  <c r="C87" i="11" a="1"/>
  <c r="C87" i="11"/>
  <c r="B87" i="11" a="1"/>
  <c r="B87" i="11"/>
  <c r="O86" i="11" a="1"/>
  <c r="O86" i="11"/>
  <c r="L86" i="11" a="1"/>
  <c r="L86" i="11"/>
  <c r="M86" i="11" s="1"/>
  <c r="H86" i="11" a="1"/>
  <c r="H86" i="11"/>
  <c r="G86" i="11" a="1"/>
  <c r="G86" i="11"/>
  <c r="F86" i="11" a="1"/>
  <c r="F86" i="11"/>
  <c r="E86" i="11" a="1"/>
  <c r="E86" i="11"/>
  <c r="D86" i="11" a="1"/>
  <c r="D86" i="11"/>
  <c r="C86" i="11" a="1"/>
  <c r="C86" i="11"/>
  <c r="B86" i="11" a="1"/>
  <c r="B86" i="11"/>
  <c r="O85" i="11" a="1"/>
  <c r="O85" i="11"/>
  <c r="L85" i="11" a="1"/>
  <c r="L85" i="11"/>
  <c r="M85" i="11" s="1"/>
  <c r="H85" i="11" a="1"/>
  <c r="H85" i="11"/>
  <c r="G85" i="11" a="1"/>
  <c r="G85" i="11"/>
  <c r="F85" i="11" a="1"/>
  <c r="F85" i="11"/>
  <c r="E85" i="11" a="1"/>
  <c r="E85" i="11"/>
  <c r="D85" i="11" a="1"/>
  <c r="D85" i="11"/>
  <c r="C85" i="11" a="1"/>
  <c r="C85" i="11"/>
  <c r="B85" i="11" a="1"/>
  <c r="B85" i="11"/>
  <c r="O84" i="11" a="1"/>
  <c r="O84" i="11"/>
  <c r="L84" i="11" a="1"/>
  <c r="L84" i="11"/>
  <c r="M84" i="11" s="1"/>
  <c r="H84" i="11" a="1"/>
  <c r="H84" i="11"/>
  <c r="G84" i="11" a="1"/>
  <c r="G84" i="11"/>
  <c r="F84" i="11" a="1"/>
  <c r="F84" i="11"/>
  <c r="E84" i="11" a="1"/>
  <c r="E84" i="11"/>
  <c r="D84" i="11" a="1"/>
  <c r="D84" i="11"/>
  <c r="C84" i="11" a="1"/>
  <c r="C84" i="11"/>
  <c r="B84" i="11" a="1"/>
  <c r="B84" i="11"/>
  <c r="O83" i="11" a="1"/>
  <c r="O83" i="11"/>
  <c r="L83" i="11" a="1"/>
  <c r="L83" i="11"/>
  <c r="M83" i="11" s="1"/>
  <c r="H83" i="11" a="1"/>
  <c r="H83" i="11"/>
  <c r="G83" i="11" a="1"/>
  <c r="G83" i="11"/>
  <c r="F83" i="11" a="1"/>
  <c r="F83" i="11"/>
  <c r="E83" i="11" a="1"/>
  <c r="E83" i="11"/>
  <c r="D83" i="11" a="1"/>
  <c r="D83" i="11"/>
  <c r="C83" i="11" a="1"/>
  <c r="C83" i="11"/>
  <c r="B83" i="11" a="1"/>
  <c r="B83" i="11"/>
  <c r="O82" i="11" a="1"/>
  <c r="O82" i="11"/>
  <c r="L82" i="11" a="1"/>
  <c r="L82" i="11"/>
  <c r="M82" i="11" s="1"/>
  <c r="H82" i="11" a="1"/>
  <c r="H82" i="11"/>
  <c r="G82" i="11" a="1"/>
  <c r="G82" i="11"/>
  <c r="F82" i="11" a="1"/>
  <c r="F82" i="11"/>
  <c r="E82" i="11" a="1"/>
  <c r="E82" i="11"/>
  <c r="D82" i="11" a="1"/>
  <c r="D82" i="11"/>
  <c r="C82" i="11" a="1"/>
  <c r="C82" i="11"/>
  <c r="B82" i="11" a="1"/>
  <c r="B82" i="11"/>
  <c r="O81" i="11" a="1"/>
  <c r="O81" i="11"/>
  <c r="L81" i="11" a="1"/>
  <c r="L81" i="11"/>
  <c r="M81" i="11" s="1"/>
  <c r="H81" i="11" a="1"/>
  <c r="H81" i="11"/>
  <c r="G81" i="11" a="1"/>
  <c r="G81" i="11"/>
  <c r="F81" i="11" a="1"/>
  <c r="F81" i="11"/>
  <c r="E81" i="11" a="1"/>
  <c r="E81" i="11"/>
  <c r="D81" i="11" a="1"/>
  <c r="D81" i="11"/>
  <c r="C81" i="11" a="1"/>
  <c r="C81" i="11"/>
  <c r="B81" i="11" a="1"/>
  <c r="B81" i="11"/>
  <c r="O80" i="11" a="1"/>
  <c r="O80" i="11"/>
  <c r="L80" i="11" a="1"/>
  <c r="L80" i="11"/>
  <c r="M80" i="11" s="1"/>
  <c r="H80" i="11" a="1"/>
  <c r="H80" i="11"/>
  <c r="G80" i="11" a="1"/>
  <c r="G80" i="11"/>
  <c r="F80" i="11" a="1"/>
  <c r="F80" i="11"/>
  <c r="E80" i="11" a="1"/>
  <c r="E80" i="11"/>
  <c r="D80" i="11" a="1"/>
  <c r="D80" i="11"/>
  <c r="C80" i="11" a="1"/>
  <c r="C80" i="11"/>
  <c r="B80" i="11" a="1"/>
  <c r="B80" i="11"/>
  <c r="O79" i="11" a="1"/>
  <c r="O79" i="11"/>
  <c r="L79" i="11" a="1"/>
  <c r="L79" i="11"/>
  <c r="M79" i="11" s="1"/>
  <c r="H79" i="11" a="1"/>
  <c r="H79" i="11"/>
  <c r="G79" i="11" a="1"/>
  <c r="G79" i="11"/>
  <c r="F79" i="11" a="1"/>
  <c r="F79" i="11"/>
  <c r="E79" i="11" a="1"/>
  <c r="E79" i="11"/>
  <c r="D79" i="11" a="1"/>
  <c r="D79" i="11"/>
  <c r="C79" i="11" a="1"/>
  <c r="C79" i="11"/>
  <c r="B79" i="11" a="1"/>
  <c r="B79" i="11"/>
  <c r="O78" i="11" a="1"/>
  <c r="O78" i="11"/>
  <c r="L78" i="11" a="1"/>
  <c r="L78" i="11"/>
  <c r="M78" i="11" s="1"/>
  <c r="H78" i="11" a="1"/>
  <c r="H78" i="11"/>
  <c r="G78" i="11" a="1"/>
  <c r="G78" i="11"/>
  <c r="F78" i="11" a="1"/>
  <c r="F78" i="11"/>
  <c r="E78" i="11" a="1"/>
  <c r="E78" i="11"/>
  <c r="D78" i="11" a="1"/>
  <c r="D78" i="11"/>
  <c r="C78" i="11" a="1"/>
  <c r="C78" i="11"/>
  <c r="B78" i="11" a="1"/>
  <c r="B78" i="11"/>
  <c r="O77" i="11" a="1"/>
  <c r="O77" i="11"/>
  <c r="L77" i="11" a="1"/>
  <c r="L77" i="11"/>
  <c r="M77" i="11" s="1"/>
  <c r="H77" i="11" a="1"/>
  <c r="H77" i="11"/>
  <c r="G77" i="11" a="1"/>
  <c r="G77" i="11"/>
  <c r="F77" i="11" a="1"/>
  <c r="F77" i="11"/>
  <c r="E77" i="11" a="1"/>
  <c r="E77" i="11"/>
  <c r="D77" i="11" a="1"/>
  <c r="D77" i="11"/>
  <c r="C77" i="11" a="1"/>
  <c r="C77" i="11"/>
  <c r="B77" i="11" a="1"/>
  <c r="B77" i="11"/>
  <c r="O76" i="11" a="1"/>
  <c r="O76" i="11"/>
  <c r="L76" i="11" a="1"/>
  <c r="L76" i="11"/>
  <c r="M76" i="11" s="1"/>
  <c r="H76" i="11" a="1"/>
  <c r="H76" i="11"/>
  <c r="G76" i="11" a="1"/>
  <c r="G76" i="11"/>
  <c r="F76" i="11" a="1"/>
  <c r="F76" i="11"/>
  <c r="E76" i="11" a="1"/>
  <c r="E76" i="11"/>
  <c r="D76" i="11" a="1"/>
  <c r="D76" i="11"/>
  <c r="C76" i="11" a="1"/>
  <c r="C76" i="11"/>
  <c r="B76" i="11" a="1"/>
  <c r="B76" i="11"/>
  <c r="O75" i="11" a="1"/>
  <c r="O75" i="11"/>
  <c r="L75" i="11" a="1"/>
  <c r="L75" i="11"/>
  <c r="M75" i="11" s="1"/>
  <c r="H75" i="11" a="1"/>
  <c r="H75" i="11"/>
  <c r="G75" i="11" a="1"/>
  <c r="G75" i="11"/>
  <c r="F75" i="11" a="1"/>
  <c r="F75" i="11"/>
  <c r="E75" i="11" a="1"/>
  <c r="E75" i="11"/>
  <c r="D75" i="11" a="1"/>
  <c r="D75" i="11"/>
  <c r="C75" i="11" a="1"/>
  <c r="C75" i="11"/>
  <c r="B75" i="11" a="1"/>
  <c r="B75" i="11"/>
  <c r="O74" i="11" a="1"/>
  <c r="O74" i="11"/>
  <c r="L74" i="11" a="1"/>
  <c r="L74" i="11"/>
  <c r="M74" i="11" s="1"/>
  <c r="H74" i="11" a="1"/>
  <c r="H74" i="11"/>
  <c r="G74" i="11" a="1"/>
  <c r="G74" i="11"/>
  <c r="F74" i="11" a="1"/>
  <c r="F74" i="11"/>
  <c r="E74" i="11" a="1"/>
  <c r="E74" i="11"/>
  <c r="D74" i="11" a="1"/>
  <c r="D74" i="11"/>
  <c r="C74" i="11" a="1"/>
  <c r="C74" i="11"/>
  <c r="B74" i="11" a="1"/>
  <c r="B74" i="11"/>
  <c r="O73" i="11" a="1"/>
  <c r="O73" i="11"/>
  <c r="L73" i="11" a="1"/>
  <c r="L73" i="11"/>
  <c r="M73" i="11" s="1"/>
  <c r="H73" i="11" a="1"/>
  <c r="H73" i="11"/>
  <c r="G73" i="11" a="1"/>
  <c r="G73" i="11"/>
  <c r="F73" i="11" a="1"/>
  <c r="F73" i="11"/>
  <c r="E73" i="11" a="1"/>
  <c r="E73" i="11"/>
  <c r="D73" i="11" a="1"/>
  <c r="D73" i="11"/>
  <c r="C73" i="11" a="1"/>
  <c r="C73" i="11"/>
  <c r="B73" i="11" a="1"/>
  <c r="B73" i="11"/>
  <c r="O72" i="11" a="1"/>
  <c r="O72" i="11"/>
  <c r="L72" i="11" a="1"/>
  <c r="L72" i="11"/>
  <c r="M72" i="11" s="1"/>
  <c r="H72" i="11" a="1"/>
  <c r="H72" i="11"/>
  <c r="G72" i="11" a="1"/>
  <c r="G72" i="11"/>
  <c r="F72" i="11" a="1"/>
  <c r="F72" i="11"/>
  <c r="E72" i="11" a="1"/>
  <c r="E72" i="11"/>
  <c r="D72" i="11" a="1"/>
  <c r="D72" i="11"/>
  <c r="C72" i="11" a="1"/>
  <c r="C72" i="11"/>
  <c r="B72" i="11" a="1"/>
  <c r="B72" i="11"/>
  <c r="O71" i="11" a="1"/>
  <c r="O71" i="11"/>
  <c r="L71" i="11" a="1"/>
  <c r="L71" i="11"/>
  <c r="M71" i="11" s="1"/>
  <c r="H71" i="11" a="1"/>
  <c r="H71" i="11"/>
  <c r="G71" i="11" a="1"/>
  <c r="G71" i="11"/>
  <c r="F71" i="11" a="1"/>
  <c r="F71" i="11"/>
  <c r="E71" i="11" a="1"/>
  <c r="E71" i="11"/>
  <c r="D71" i="11" a="1"/>
  <c r="D71" i="11"/>
  <c r="C71" i="11" a="1"/>
  <c r="C71" i="11"/>
  <c r="B71" i="11" a="1"/>
  <c r="B71" i="11"/>
  <c r="O70" i="11" a="1"/>
  <c r="O70" i="11"/>
  <c r="L70" i="11" a="1"/>
  <c r="L70" i="11"/>
  <c r="M70" i="11" s="1"/>
  <c r="H70" i="11" a="1"/>
  <c r="H70" i="11"/>
  <c r="G70" i="11" a="1"/>
  <c r="G70" i="11"/>
  <c r="F70" i="11" a="1"/>
  <c r="F70" i="11"/>
  <c r="E70" i="11" a="1"/>
  <c r="E70" i="11"/>
  <c r="D70" i="11" a="1"/>
  <c r="D70" i="11"/>
  <c r="C70" i="11" a="1"/>
  <c r="C70" i="11"/>
  <c r="B70" i="11" a="1"/>
  <c r="B70" i="11"/>
  <c r="O69" i="11" a="1"/>
  <c r="O69" i="11"/>
  <c r="L69" i="11" a="1"/>
  <c r="L69" i="11"/>
  <c r="M69" i="11" s="1"/>
  <c r="H69" i="11" a="1"/>
  <c r="H69" i="11"/>
  <c r="G69" i="11" a="1"/>
  <c r="G69" i="11"/>
  <c r="F69" i="11" a="1"/>
  <c r="F69" i="11"/>
  <c r="E69" i="11" a="1"/>
  <c r="E69" i="11"/>
  <c r="D69" i="11" a="1"/>
  <c r="D69" i="11"/>
  <c r="C69" i="11" a="1"/>
  <c r="C69" i="11"/>
  <c r="B69" i="11" a="1"/>
  <c r="B69" i="11"/>
  <c r="O68" i="11" a="1"/>
  <c r="O68" i="11"/>
  <c r="L68" i="11" a="1"/>
  <c r="L68" i="11"/>
  <c r="M68" i="11" s="1"/>
  <c r="H68" i="11" a="1"/>
  <c r="H68" i="11"/>
  <c r="G68" i="11" a="1"/>
  <c r="G68" i="11"/>
  <c r="F68" i="11" a="1"/>
  <c r="F68" i="11"/>
  <c r="E68" i="11" a="1"/>
  <c r="E68" i="11"/>
  <c r="D68" i="11" a="1"/>
  <c r="D68" i="11"/>
  <c r="C68" i="11" a="1"/>
  <c r="C68" i="11"/>
  <c r="B68" i="11" a="1"/>
  <c r="B68" i="11"/>
  <c r="O67" i="11" a="1"/>
  <c r="O67" i="11"/>
  <c r="L67" i="11" a="1"/>
  <c r="L67" i="11"/>
  <c r="M67" i="11" s="1"/>
  <c r="H67" i="11" a="1"/>
  <c r="H67" i="11"/>
  <c r="G67" i="11" a="1"/>
  <c r="G67" i="11"/>
  <c r="F67" i="11" a="1"/>
  <c r="F67" i="11"/>
  <c r="E67" i="11" a="1"/>
  <c r="E67" i="11"/>
  <c r="D67" i="11" a="1"/>
  <c r="D67" i="11"/>
  <c r="C67" i="11" a="1"/>
  <c r="C67" i="11"/>
  <c r="B67" i="11" a="1"/>
  <c r="B67" i="11"/>
  <c r="O66" i="11" a="1"/>
  <c r="O66" i="11"/>
  <c r="L66" i="11" a="1"/>
  <c r="L66" i="11"/>
  <c r="M66" i="11" s="1"/>
  <c r="H66" i="11" a="1"/>
  <c r="H66" i="11"/>
  <c r="G66" i="11" a="1"/>
  <c r="G66" i="11"/>
  <c r="F66" i="11" a="1"/>
  <c r="F66" i="11"/>
  <c r="E66" i="11" a="1"/>
  <c r="E66" i="11"/>
  <c r="D66" i="11" a="1"/>
  <c r="D66" i="11"/>
  <c r="C66" i="11" a="1"/>
  <c r="C66" i="11"/>
  <c r="B66" i="11" a="1"/>
  <c r="B66" i="11"/>
  <c r="O65" i="11" a="1"/>
  <c r="O65" i="11"/>
  <c r="L65" i="11" a="1"/>
  <c r="L65" i="11"/>
  <c r="M65" i="11" s="1"/>
  <c r="H65" i="11" a="1"/>
  <c r="H65" i="11"/>
  <c r="G65" i="11" a="1"/>
  <c r="G65" i="11"/>
  <c r="F65" i="11" a="1"/>
  <c r="F65" i="11"/>
  <c r="E65" i="11" a="1"/>
  <c r="E65" i="11"/>
  <c r="D65" i="11" a="1"/>
  <c r="D65" i="11"/>
  <c r="C65" i="11" a="1"/>
  <c r="C65" i="11"/>
  <c r="B65" i="11" a="1"/>
  <c r="B65" i="11"/>
  <c r="O64" i="11" a="1"/>
  <c r="O64" i="11"/>
  <c r="L64" i="11" a="1"/>
  <c r="L64" i="11"/>
  <c r="M64" i="11" s="1"/>
  <c r="H64" i="11" a="1"/>
  <c r="H64" i="11"/>
  <c r="G64" i="11" a="1"/>
  <c r="G64" i="11"/>
  <c r="F64" i="11" a="1"/>
  <c r="F64" i="11"/>
  <c r="E64" i="11" a="1"/>
  <c r="E64" i="11"/>
  <c r="D64" i="11" a="1"/>
  <c r="D64" i="11"/>
  <c r="C64" i="11" a="1"/>
  <c r="C64" i="11"/>
  <c r="B64" i="11" a="1"/>
  <c r="B64" i="11"/>
  <c r="O63" i="11" a="1"/>
  <c r="O63" i="11"/>
  <c r="L63" i="11" a="1"/>
  <c r="L63" i="11"/>
  <c r="M63" i="11" s="1"/>
  <c r="H63" i="11" a="1"/>
  <c r="H63" i="11"/>
  <c r="G63" i="11" a="1"/>
  <c r="G63" i="11"/>
  <c r="F63" i="11" a="1"/>
  <c r="F63" i="11"/>
  <c r="E63" i="11" a="1"/>
  <c r="E63" i="11"/>
  <c r="D63" i="11" a="1"/>
  <c r="D63" i="11"/>
  <c r="C63" i="11" a="1"/>
  <c r="C63" i="11"/>
  <c r="B63" i="11" a="1"/>
  <c r="B63" i="11"/>
  <c r="O62" i="11" a="1"/>
  <c r="O62" i="11"/>
  <c r="L62" i="11" a="1"/>
  <c r="L62" i="11"/>
  <c r="M62" i="11" s="1"/>
  <c r="H62" i="11" a="1"/>
  <c r="H62" i="11"/>
  <c r="G62" i="11" a="1"/>
  <c r="G62" i="11"/>
  <c r="F62" i="11" a="1"/>
  <c r="F62" i="11"/>
  <c r="E62" i="11" a="1"/>
  <c r="E62" i="11"/>
  <c r="D62" i="11" a="1"/>
  <c r="D62" i="11"/>
  <c r="C62" i="11" a="1"/>
  <c r="C62" i="11"/>
  <c r="B62" i="11" a="1"/>
  <c r="B62" i="11"/>
  <c r="O61" i="11" a="1"/>
  <c r="O61" i="11"/>
  <c r="L61" i="11" a="1"/>
  <c r="L61" i="11"/>
  <c r="M61" i="11" s="1"/>
  <c r="H61" i="11" a="1"/>
  <c r="H61" i="11"/>
  <c r="G61" i="11" a="1"/>
  <c r="G61" i="11"/>
  <c r="F61" i="11" a="1"/>
  <c r="F61" i="11"/>
  <c r="E61" i="11" a="1"/>
  <c r="E61" i="11"/>
  <c r="D61" i="11" a="1"/>
  <c r="D61" i="11"/>
  <c r="C61" i="11" a="1"/>
  <c r="C61" i="11"/>
  <c r="B61" i="11" a="1"/>
  <c r="B61" i="11"/>
  <c r="O60" i="11" a="1"/>
  <c r="O60" i="11"/>
  <c r="L60" i="11" a="1"/>
  <c r="L60" i="11"/>
  <c r="M60" i="11" s="1"/>
  <c r="H60" i="11" a="1"/>
  <c r="H60" i="11"/>
  <c r="G60" i="11" a="1"/>
  <c r="G60" i="11"/>
  <c r="F60" i="11" a="1"/>
  <c r="F60" i="11"/>
  <c r="E60" i="11" a="1"/>
  <c r="E60" i="11"/>
  <c r="D60" i="11" a="1"/>
  <c r="D60" i="11"/>
  <c r="C60" i="11" a="1"/>
  <c r="C60" i="11"/>
  <c r="B60" i="11" a="1"/>
  <c r="B60" i="11"/>
  <c r="O59" i="11" a="1"/>
  <c r="O59" i="11"/>
  <c r="L59" i="11" a="1"/>
  <c r="L59" i="11"/>
  <c r="M59" i="11" s="1"/>
  <c r="H59" i="11" a="1"/>
  <c r="H59" i="11"/>
  <c r="G59" i="11" a="1"/>
  <c r="G59" i="11"/>
  <c r="F59" i="11" a="1"/>
  <c r="F59" i="11"/>
  <c r="E59" i="11" a="1"/>
  <c r="E59" i="11"/>
  <c r="D59" i="11" a="1"/>
  <c r="D59" i="11"/>
  <c r="C59" i="11" a="1"/>
  <c r="C59" i="11"/>
  <c r="B59" i="11" a="1"/>
  <c r="B59" i="11"/>
  <c r="O58" i="11" a="1"/>
  <c r="O58" i="11"/>
  <c r="L58" i="11" a="1"/>
  <c r="L58" i="11"/>
  <c r="M58" i="11" s="1"/>
  <c r="H58" i="11" a="1"/>
  <c r="H58" i="11"/>
  <c r="G58" i="11" a="1"/>
  <c r="G58" i="11"/>
  <c r="F58" i="11" a="1"/>
  <c r="F58" i="11"/>
  <c r="E58" i="11" a="1"/>
  <c r="E58" i="11"/>
  <c r="D58" i="11" a="1"/>
  <c r="D58" i="11"/>
  <c r="C58" i="11" a="1"/>
  <c r="C58" i="11"/>
  <c r="B58" i="11" a="1"/>
  <c r="B58" i="11"/>
  <c r="O57" i="11" a="1"/>
  <c r="O57" i="11"/>
  <c r="L57" i="11" a="1"/>
  <c r="L57" i="11"/>
  <c r="M57" i="11" s="1"/>
  <c r="H57" i="11" a="1"/>
  <c r="H57" i="11"/>
  <c r="G57" i="11" a="1"/>
  <c r="G57" i="11"/>
  <c r="F57" i="11" a="1"/>
  <c r="F57" i="11"/>
  <c r="E57" i="11" a="1"/>
  <c r="E57" i="11"/>
  <c r="D57" i="11" a="1"/>
  <c r="D57" i="11"/>
  <c r="C57" i="11" a="1"/>
  <c r="C57" i="11"/>
  <c r="B57" i="11" a="1"/>
  <c r="B57" i="11"/>
  <c r="O56" i="11" a="1"/>
  <c r="O56" i="11"/>
  <c r="L56" i="11" a="1"/>
  <c r="L56" i="11"/>
  <c r="M56" i="11" s="1"/>
  <c r="H56" i="11" a="1"/>
  <c r="H56" i="11"/>
  <c r="G56" i="11" a="1"/>
  <c r="G56" i="11"/>
  <c r="F56" i="11" a="1"/>
  <c r="F56" i="11"/>
  <c r="E56" i="11" a="1"/>
  <c r="E56" i="11"/>
  <c r="D56" i="11" a="1"/>
  <c r="D56" i="11"/>
  <c r="C56" i="11" a="1"/>
  <c r="C56" i="11"/>
  <c r="B56" i="11" a="1"/>
  <c r="B56" i="11"/>
  <c r="O55" i="11" a="1"/>
  <c r="O55" i="11"/>
  <c r="L55" i="11" a="1"/>
  <c r="L55" i="11"/>
  <c r="M55" i="11" s="1"/>
  <c r="H55" i="11" a="1"/>
  <c r="H55" i="11"/>
  <c r="G55" i="11" a="1"/>
  <c r="G55" i="11"/>
  <c r="F55" i="11" a="1"/>
  <c r="F55" i="11"/>
  <c r="E55" i="11" a="1"/>
  <c r="E55" i="11"/>
  <c r="D55" i="11" a="1"/>
  <c r="D55" i="11"/>
  <c r="C55" i="11" a="1"/>
  <c r="C55" i="11"/>
  <c r="B55" i="11" a="1"/>
  <c r="B55" i="11"/>
  <c r="O54" i="11" a="1"/>
  <c r="O54" i="11"/>
  <c r="L54" i="11" a="1"/>
  <c r="L54" i="11"/>
  <c r="M54" i="11" s="1"/>
  <c r="H54" i="11" a="1"/>
  <c r="H54" i="11"/>
  <c r="G54" i="11" a="1"/>
  <c r="G54" i="11"/>
  <c r="F54" i="11" a="1"/>
  <c r="F54" i="11"/>
  <c r="E54" i="11" a="1"/>
  <c r="E54" i="11"/>
  <c r="D54" i="11" a="1"/>
  <c r="D54" i="11"/>
  <c r="C54" i="11" a="1"/>
  <c r="C54" i="11"/>
  <c r="B54" i="11" a="1"/>
  <c r="B54" i="11"/>
  <c r="O53" i="11" a="1"/>
  <c r="O53" i="11"/>
  <c r="L53" i="11" a="1"/>
  <c r="L53" i="11"/>
  <c r="M53" i="11" s="1"/>
  <c r="H53" i="11" a="1"/>
  <c r="H53" i="11"/>
  <c r="G53" i="11" a="1"/>
  <c r="G53" i="11"/>
  <c r="F53" i="11" a="1"/>
  <c r="F53" i="11"/>
  <c r="E53" i="11" a="1"/>
  <c r="E53" i="11"/>
  <c r="D53" i="11" a="1"/>
  <c r="D53" i="11"/>
  <c r="C53" i="11" a="1"/>
  <c r="C53" i="11"/>
  <c r="B53" i="11" a="1"/>
  <c r="B53" i="11"/>
  <c r="O52" i="11" a="1"/>
  <c r="O52" i="11"/>
  <c r="L52" i="11" a="1"/>
  <c r="L52" i="11"/>
  <c r="M52" i="11" s="1"/>
  <c r="H52" i="11" a="1"/>
  <c r="H52" i="11"/>
  <c r="G52" i="11" a="1"/>
  <c r="G52" i="11"/>
  <c r="F52" i="11" a="1"/>
  <c r="F52" i="11"/>
  <c r="E52" i="11" a="1"/>
  <c r="E52" i="11"/>
  <c r="D52" i="11" a="1"/>
  <c r="D52" i="11"/>
  <c r="C52" i="11" a="1"/>
  <c r="C52" i="11"/>
  <c r="B52" i="11" a="1"/>
  <c r="B52" i="11"/>
  <c r="O51" i="11" a="1"/>
  <c r="O51" i="11"/>
  <c r="L51" i="11" a="1"/>
  <c r="L51" i="11"/>
  <c r="M51" i="11" s="1"/>
  <c r="H51" i="11" a="1"/>
  <c r="H51" i="11"/>
  <c r="G51" i="11" a="1"/>
  <c r="G51" i="11"/>
  <c r="F51" i="11" a="1"/>
  <c r="F51" i="11"/>
  <c r="E51" i="11" a="1"/>
  <c r="E51" i="11"/>
  <c r="D51" i="11" a="1"/>
  <c r="D51" i="11"/>
  <c r="C51" i="11" a="1"/>
  <c r="C51" i="11"/>
  <c r="B51" i="11" a="1"/>
  <c r="B51" i="11"/>
  <c r="O50" i="11" a="1"/>
  <c r="O50" i="11"/>
  <c r="L50" i="11" a="1"/>
  <c r="L50" i="11"/>
  <c r="M50" i="11" s="1"/>
  <c r="H50" i="11" a="1"/>
  <c r="H50" i="11"/>
  <c r="G50" i="11" a="1"/>
  <c r="G50" i="11"/>
  <c r="F50" i="11" a="1"/>
  <c r="F50" i="11"/>
  <c r="E50" i="11" a="1"/>
  <c r="E50" i="11"/>
  <c r="D50" i="11" a="1"/>
  <c r="D50" i="11"/>
  <c r="C50" i="11" a="1"/>
  <c r="C50" i="11"/>
  <c r="B50" i="11" a="1"/>
  <c r="B50" i="11"/>
  <c r="O49" i="11" a="1"/>
  <c r="O49" i="11"/>
  <c r="L49" i="11" a="1"/>
  <c r="L49" i="11"/>
  <c r="M49" i="11" s="1"/>
  <c r="H49" i="11" a="1"/>
  <c r="H49" i="11"/>
  <c r="G49" i="11" a="1"/>
  <c r="G49" i="11"/>
  <c r="F49" i="11" a="1"/>
  <c r="F49" i="11"/>
  <c r="E49" i="11" a="1"/>
  <c r="E49" i="11"/>
  <c r="D49" i="11" a="1"/>
  <c r="D49" i="11"/>
  <c r="C49" i="11" a="1"/>
  <c r="C49" i="11"/>
  <c r="B49" i="11" a="1"/>
  <c r="B49" i="11"/>
  <c r="O48" i="11" a="1"/>
  <c r="O48" i="11"/>
  <c r="L48" i="11" a="1"/>
  <c r="L48" i="11"/>
  <c r="M48" i="11" s="1"/>
  <c r="H48" i="11" a="1"/>
  <c r="H48" i="11"/>
  <c r="G48" i="11" a="1"/>
  <c r="G48" i="11"/>
  <c r="F48" i="11" a="1"/>
  <c r="F48" i="11"/>
  <c r="E48" i="11" a="1"/>
  <c r="E48" i="11"/>
  <c r="D48" i="11" a="1"/>
  <c r="D48" i="11"/>
  <c r="C48" i="11" a="1"/>
  <c r="C48" i="11"/>
  <c r="B48" i="11" a="1"/>
  <c r="B48" i="11"/>
  <c r="O47" i="11" a="1"/>
  <c r="O47" i="11"/>
  <c r="L47" i="11" a="1"/>
  <c r="L47" i="11"/>
  <c r="M47" i="11" s="1"/>
  <c r="H47" i="11" a="1"/>
  <c r="H47" i="11"/>
  <c r="G47" i="11" a="1"/>
  <c r="G47" i="11"/>
  <c r="F47" i="11" a="1"/>
  <c r="F47" i="11"/>
  <c r="E47" i="11" a="1"/>
  <c r="E47" i="11"/>
  <c r="D47" i="11" a="1"/>
  <c r="D47" i="11"/>
  <c r="C47" i="11" a="1"/>
  <c r="C47" i="11"/>
  <c r="B47" i="11" a="1"/>
  <c r="B47" i="11"/>
  <c r="O46" i="11" a="1"/>
  <c r="O46" i="11"/>
  <c r="L46" i="11" a="1"/>
  <c r="L46" i="11"/>
  <c r="M46" i="11" s="1"/>
  <c r="H46" i="11" a="1"/>
  <c r="H46" i="11"/>
  <c r="G46" i="11" a="1"/>
  <c r="G46" i="11"/>
  <c r="F46" i="11" a="1"/>
  <c r="F46" i="11"/>
  <c r="E46" i="11" a="1"/>
  <c r="E46" i="11"/>
  <c r="D46" i="11" a="1"/>
  <c r="D46" i="11"/>
  <c r="C46" i="11" a="1"/>
  <c r="C46" i="11"/>
  <c r="B46" i="11" a="1"/>
  <c r="B46" i="11"/>
  <c r="O45" i="11" a="1"/>
  <c r="O45" i="11"/>
  <c r="L45" i="11" a="1"/>
  <c r="L45" i="11"/>
  <c r="M45" i="11" s="1"/>
  <c r="H45" i="11" a="1"/>
  <c r="H45" i="11"/>
  <c r="G45" i="11" a="1"/>
  <c r="G45" i="11"/>
  <c r="F45" i="11" a="1"/>
  <c r="F45" i="11"/>
  <c r="E45" i="11" a="1"/>
  <c r="E45" i="11"/>
  <c r="D45" i="11" a="1"/>
  <c r="D45" i="11"/>
  <c r="C45" i="11" a="1"/>
  <c r="C45" i="11"/>
  <c r="B45" i="11" a="1"/>
  <c r="B45" i="11"/>
  <c r="O44" i="11" a="1"/>
  <c r="O44" i="11"/>
  <c r="L44" i="11" a="1"/>
  <c r="L44" i="11"/>
  <c r="M44" i="11" s="1"/>
  <c r="H44" i="11" a="1"/>
  <c r="H44" i="11"/>
  <c r="G44" i="11" a="1"/>
  <c r="G44" i="11"/>
  <c r="F44" i="11" a="1"/>
  <c r="F44" i="11"/>
  <c r="E44" i="11" a="1"/>
  <c r="E44" i="11"/>
  <c r="D44" i="11" a="1"/>
  <c r="D44" i="11"/>
  <c r="C44" i="11" a="1"/>
  <c r="C44" i="11"/>
  <c r="B44" i="11" a="1"/>
  <c r="B44" i="11"/>
  <c r="O43" i="11" a="1"/>
  <c r="O43" i="11"/>
  <c r="L43" i="11" a="1"/>
  <c r="L43" i="11"/>
  <c r="M43" i="11" s="1"/>
  <c r="H43" i="11" a="1"/>
  <c r="H43" i="11"/>
  <c r="G43" i="11" a="1"/>
  <c r="G43" i="11"/>
  <c r="F43" i="11" a="1"/>
  <c r="F43" i="11"/>
  <c r="E43" i="11" a="1"/>
  <c r="E43" i="11"/>
  <c r="D43" i="11" a="1"/>
  <c r="D43" i="11"/>
  <c r="C43" i="11" a="1"/>
  <c r="C43" i="11"/>
  <c r="B43" i="11" a="1"/>
  <c r="B43" i="11"/>
  <c r="O42" i="11" a="1"/>
  <c r="O42" i="11"/>
  <c r="L42" i="11" a="1"/>
  <c r="L42" i="11"/>
  <c r="M42" i="11" s="1"/>
  <c r="H42" i="11" a="1"/>
  <c r="H42" i="11"/>
  <c r="G42" i="11" a="1"/>
  <c r="G42" i="11"/>
  <c r="F42" i="11" a="1"/>
  <c r="F42" i="11"/>
  <c r="E42" i="11" a="1"/>
  <c r="E42" i="11"/>
  <c r="D42" i="11" a="1"/>
  <c r="D42" i="11"/>
  <c r="C42" i="11" a="1"/>
  <c r="C42" i="11"/>
  <c r="B42" i="11" a="1"/>
  <c r="B42" i="11"/>
  <c r="O41" i="11" a="1"/>
  <c r="O41" i="11"/>
  <c r="L41" i="11" a="1"/>
  <c r="L41" i="11"/>
  <c r="M41" i="11" s="1"/>
  <c r="H41" i="11" a="1"/>
  <c r="H41" i="11"/>
  <c r="G41" i="11" a="1"/>
  <c r="G41" i="11"/>
  <c r="F41" i="11" a="1"/>
  <c r="F41" i="11"/>
  <c r="E41" i="11" a="1"/>
  <c r="E41" i="11"/>
  <c r="D41" i="11" a="1"/>
  <c r="D41" i="11"/>
  <c r="C41" i="11" a="1"/>
  <c r="C41" i="11"/>
  <c r="B41" i="11" a="1"/>
  <c r="B41" i="11"/>
  <c r="O40" i="11" a="1"/>
  <c r="O40" i="11"/>
  <c r="L40" i="11" a="1"/>
  <c r="L40" i="11"/>
  <c r="M40" i="11" s="1"/>
  <c r="H40" i="11" a="1"/>
  <c r="H40" i="11"/>
  <c r="G40" i="11" a="1"/>
  <c r="G40" i="11"/>
  <c r="F40" i="11" a="1"/>
  <c r="F40" i="11"/>
  <c r="E40" i="11" a="1"/>
  <c r="E40" i="11"/>
  <c r="D40" i="11" a="1"/>
  <c r="D40" i="11"/>
  <c r="C40" i="11" a="1"/>
  <c r="C40" i="11"/>
  <c r="B40" i="11" a="1"/>
  <c r="B40" i="11"/>
  <c r="O39" i="11" a="1"/>
  <c r="O39" i="11"/>
  <c r="L39" i="11" a="1"/>
  <c r="L39" i="11"/>
  <c r="M39" i="11" s="1"/>
  <c r="H39" i="11" a="1"/>
  <c r="H39" i="11"/>
  <c r="G39" i="11" a="1"/>
  <c r="G39" i="11"/>
  <c r="F39" i="11" a="1"/>
  <c r="F39" i="11"/>
  <c r="E39" i="11" a="1"/>
  <c r="E39" i="11"/>
  <c r="D39" i="11" a="1"/>
  <c r="D39" i="11"/>
  <c r="C39" i="11" a="1"/>
  <c r="C39" i="11"/>
  <c r="B39" i="11" a="1"/>
  <c r="B39" i="11"/>
  <c r="O38" i="11" a="1"/>
  <c r="O38" i="11"/>
  <c r="L38" i="11" a="1"/>
  <c r="L38" i="11"/>
  <c r="M38" i="11" s="1"/>
  <c r="H38" i="11" a="1"/>
  <c r="H38" i="11"/>
  <c r="G38" i="11" a="1"/>
  <c r="G38" i="11"/>
  <c r="F38" i="11" a="1"/>
  <c r="F38" i="11"/>
  <c r="E38" i="11" a="1"/>
  <c r="E38" i="11"/>
  <c r="D38" i="11" a="1"/>
  <c r="D38" i="11"/>
  <c r="C38" i="11" a="1"/>
  <c r="C38" i="11"/>
  <c r="B38" i="11" a="1"/>
  <c r="B38" i="11"/>
  <c r="O37" i="11" a="1"/>
  <c r="O37" i="11"/>
  <c r="L37" i="11" a="1"/>
  <c r="L37" i="11"/>
  <c r="M37" i="11" s="1"/>
  <c r="H37" i="11" a="1"/>
  <c r="H37" i="11"/>
  <c r="G37" i="11" a="1"/>
  <c r="G37" i="11"/>
  <c r="F37" i="11" a="1"/>
  <c r="F37" i="11"/>
  <c r="E37" i="11" a="1"/>
  <c r="E37" i="11"/>
  <c r="D37" i="11" a="1"/>
  <c r="D37" i="11"/>
  <c r="C37" i="11" a="1"/>
  <c r="C37" i="11"/>
  <c r="B37" i="11" a="1"/>
  <c r="B37" i="11"/>
  <c r="O36" i="11" a="1"/>
  <c r="O36" i="11"/>
  <c r="L36" i="11" a="1"/>
  <c r="L36" i="11"/>
  <c r="M36" i="11" s="1"/>
  <c r="H36" i="11" a="1"/>
  <c r="H36" i="11"/>
  <c r="G36" i="11" a="1"/>
  <c r="G36" i="11"/>
  <c r="F36" i="11" a="1"/>
  <c r="F36" i="11"/>
  <c r="E36" i="11" a="1"/>
  <c r="E36" i="11"/>
  <c r="D36" i="11" a="1"/>
  <c r="D36" i="11"/>
  <c r="C36" i="11" a="1"/>
  <c r="C36" i="11"/>
  <c r="B36" i="11" a="1"/>
  <c r="B36" i="11"/>
  <c r="O35" i="11" a="1"/>
  <c r="O35" i="11"/>
  <c r="L35" i="11" a="1"/>
  <c r="L35" i="11"/>
  <c r="M35" i="11" s="1"/>
  <c r="H35" i="11" a="1"/>
  <c r="H35" i="11"/>
  <c r="G35" i="11" a="1"/>
  <c r="G35" i="11"/>
  <c r="F35" i="11" a="1"/>
  <c r="F35" i="11"/>
  <c r="E35" i="11" a="1"/>
  <c r="E35" i="11"/>
  <c r="D35" i="11" a="1"/>
  <c r="D35" i="11"/>
  <c r="C35" i="11" a="1"/>
  <c r="C35" i="11"/>
  <c r="B35" i="11" a="1"/>
  <c r="B35" i="11"/>
  <c r="O34" i="11" a="1"/>
  <c r="O34" i="11"/>
  <c r="L34" i="11" a="1"/>
  <c r="L34" i="11"/>
  <c r="M34" i="11" s="1"/>
  <c r="H34" i="11" a="1"/>
  <c r="H34" i="11"/>
  <c r="G34" i="11" a="1"/>
  <c r="G34" i="11"/>
  <c r="F34" i="11" a="1"/>
  <c r="F34" i="11"/>
  <c r="E34" i="11" a="1"/>
  <c r="E34" i="11"/>
  <c r="D34" i="11" a="1"/>
  <c r="D34" i="11"/>
  <c r="C34" i="11" a="1"/>
  <c r="C34" i="11"/>
  <c r="B34" i="11" a="1"/>
  <c r="B34" i="11"/>
  <c r="O33" i="11" a="1"/>
  <c r="O33" i="11"/>
  <c r="L33" i="11" a="1"/>
  <c r="L33" i="11"/>
  <c r="M33" i="11" s="1"/>
  <c r="H33" i="11" a="1"/>
  <c r="H33" i="11"/>
  <c r="G33" i="11" a="1"/>
  <c r="G33" i="11"/>
  <c r="F33" i="11" a="1"/>
  <c r="F33" i="11"/>
  <c r="E33" i="11" a="1"/>
  <c r="E33" i="11"/>
  <c r="D33" i="11" a="1"/>
  <c r="D33" i="11"/>
  <c r="C33" i="11" a="1"/>
  <c r="C33" i="11"/>
  <c r="B33" i="11" a="1"/>
  <c r="B33" i="11"/>
  <c r="O32" i="11" a="1"/>
  <c r="O32" i="11"/>
  <c r="L32" i="11" a="1"/>
  <c r="L32" i="11"/>
  <c r="M32" i="11" s="1"/>
  <c r="H32" i="11" a="1"/>
  <c r="H32" i="11"/>
  <c r="G32" i="11" a="1"/>
  <c r="G32" i="11"/>
  <c r="F32" i="11" a="1"/>
  <c r="F32" i="11"/>
  <c r="E32" i="11" a="1"/>
  <c r="E32" i="11"/>
  <c r="D32" i="11" a="1"/>
  <c r="D32" i="11"/>
  <c r="C32" i="11" a="1"/>
  <c r="C32" i="11"/>
  <c r="B32" i="11" a="1"/>
  <c r="B32" i="11"/>
  <c r="O31" i="11" a="1"/>
  <c r="O31" i="11"/>
  <c r="L31" i="11" a="1"/>
  <c r="L31" i="11"/>
  <c r="M31" i="11" s="1"/>
  <c r="H31" i="11" a="1"/>
  <c r="H31" i="11"/>
  <c r="G31" i="11" a="1"/>
  <c r="G31" i="11"/>
  <c r="F31" i="11" a="1"/>
  <c r="F31" i="11"/>
  <c r="E31" i="11" a="1"/>
  <c r="E31" i="11"/>
  <c r="D31" i="11" a="1"/>
  <c r="D31" i="11"/>
  <c r="C31" i="11" a="1"/>
  <c r="C31" i="11"/>
  <c r="B31" i="11" a="1"/>
  <c r="B31" i="11"/>
  <c r="O30" i="11" a="1"/>
  <c r="O30" i="11"/>
  <c r="L30" i="11" a="1"/>
  <c r="L30" i="11"/>
  <c r="M30" i="11" s="1"/>
  <c r="H30" i="11" a="1"/>
  <c r="H30" i="11"/>
  <c r="G30" i="11" a="1"/>
  <c r="G30" i="11"/>
  <c r="F30" i="11" a="1"/>
  <c r="F30" i="11"/>
  <c r="E30" i="11" a="1"/>
  <c r="E30" i="11"/>
  <c r="D30" i="11" a="1"/>
  <c r="D30" i="11"/>
  <c r="C30" i="11" a="1"/>
  <c r="C30" i="11"/>
  <c r="B30" i="11" a="1"/>
  <c r="B30" i="11"/>
  <c r="O29" i="11" a="1"/>
  <c r="O29" i="11"/>
  <c r="L29" i="11" a="1"/>
  <c r="L29" i="11"/>
  <c r="M29" i="11" s="1"/>
  <c r="H29" i="11" a="1"/>
  <c r="H29" i="11"/>
  <c r="G29" i="11" a="1"/>
  <c r="G29" i="11"/>
  <c r="F29" i="11" a="1"/>
  <c r="F29" i="11"/>
  <c r="E29" i="11" a="1"/>
  <c r="E29" i="11"/>
  <c r="D29" i="11" a="1"/>
  <c r="D29" i="11"/>
  <c r="C29" i="11" a="1"/>
  <c r="C29" i="11"/>
  <c r="B29" i="11" a="1"/>
  <c r="B29" i="11"/>
  <c r="O28" i="11" a="1"/>
  <c r="O28" i="11"/>
  <c r="L28" i="11" a="1"/>
  <c r="L28" i="11"/>
  <c r="M28" i="11" s="1"/>
  <c r="H28" i="11" a="1"/>
  <c r="H28" i="11"/>
  <c r="G28" i="11" a="1"/>
  <c r="G28" i="11"/>
  <c r="F28" i="11" a="1"/>
  <c r="F28" i="11"/>
  <c r="E28" i="11" a="1"/>
  <c r="E28" i="11"/>
  <c r="D28" i="11" a="1"/>
  <c r="D28" i="11"/>
  <c r="C28" i="11" a="1"/>
  <c r="C28" i="11"/>
  <c r="B28" i="11" a="1"/>
  <c r="B28" i="11"/>
  <c r="O27" i="11" a="1"/>
  <c r="O27" i="11"/>
  <c r="L27" i="11" a="1"/>
  <c r="L27" i="11"/>
  <c r="M27" i="11" s="1"/>
  <c r="H27" i="11" a="1"/>
  <c r="H27" i="11"/>
  <c r="G27" i="11" a="1"/>
  <c r="G27" i="11"/>
  <c r="F27" i="11" a="1"/>
  <c r="F27" i="11"/>
  <c r="E27" i="11" a="1"/>
  <c r="E27" i="11"/>
  <c r="D27" i="11" a="1"/>
  <c r="D27" i="11"/>
  <c r="C27" i="11" a="1"/>
  <c r="C27" i="11"/>
  <c r="B27" i="11" a="1"/>
  <c r="B27" i="11"/>
  <c r="O26" i="11" a="1"/>
  <c r="O26" i="11"/>
  <c r="L26" i="11" a="1"/>
  <c r="L26" i="11"/>
  <c r="M26" i="11" s="1"/>
  <c r="H26" i="11" a="1"/>
  <c r="H26" i="11"/>
  <c r="G26" i="11" a="1"/>
  <c r="G26" i="11"/>
  <c r="F26" i="11" a="1"/>
  <c r="F26" i="11"/>
  <c r="E26" i="11" a="1"/>
  <c r="E26" i="11"/>
  <c r="D26" i="11" a="1"/>
  <c r="D26" i="11"/>
  <c r="C26" i="11" a="1"/>
  <c r="C26" i="11"/>
  <c r="B26" i="11" a="1"/>
  <c r="B26" i="11"/>
  <c r="O25" i="11" a="1"/>
  <c r="O25" i="11"/>
  <c r="L25" i="11" a="1"/>
  <c r="L25" i="11"/>
  <c r="M25" i="11" s="1"/>
  <c r="H25" i="11" a="1"/>
  <c r="H25" i="11"/>
  <c r="G25" i="11" a="1"/>
  <c r="G25" i="11"/>
  <c r="F25" i="11" a="1"/>
  <c r="F25" i="11"/>
  <c r="E25" i="11" a="1"/>
  <c r="E25" i="11"/>
  <c r="D25" i="11" a="1"/>
  <c r="D25" i="11"/>
  <c r="C25" i="11" a="1"/>
  <c r="C25" i="11"/>
  <c r="B25" i="11" a="1"/>
  <c r="B25" i="11"/>
  <c r="O24" i="11" a="1"/>
  <c r="O24" i="11"/>
  <c r="L24" i="11" a="1"/>
  <c r="L24" i="11"/>
  <c r="M24" i="11" s="1"/>
  <c r="H24" i="11" a="1"/>
  <c r="H24" i="11"/>
  <c r="G24" i="11" a="1"/>
  <c r="G24" i="11"/>
  <c r="F24" i="11" a="1"/>
  <c r="F24" i="11"/>
  <c r="E24" i="11" a="1"/>
  <c r="E24" i="11"/>
  <c r="D24" i="11" a="1"/>
  <c r="D24" i="11"/>
  <c r="C24" i="11" a="1"/>
  <c r="C24" i="11"/>
  <c r="B24" i="11" a="1"/>
  <c r="B24" i="11"/>
  <c r="O23" i="11" a="1"/>
  <c r="O23" i="11"/>
  <c r="L23" i="11" a="1"/>
  <c r="L23" i="11"/>
  <c r="M23" i="11" s="1"/>
  <c r="H23" i="11" a="1"/>
  <c r="H23" i="11"/>
  <c r="G23" i="11" a="1"/>
  <c r="G23" i="11"/>
  <c r="F23" i="11" a="1"/>
  <c r="F23" i="11"/>
  <c r="E23" i="11" a="1"/>
  <c r="E23" i="11"/>
  <c r="D23" i="11" a="1"/>
  <c r="D23" i="11"/>
  <c r="C23" i="11" a="1"/>
  <c r="C23" i="11"/>
  <c r="B23" i="11" a="1"/>
  <c r="B23" i="11"/>
  <c r="O22" i="11" a="1"/>
  <c r="O22" i="11"/>
  <c r="L22" i="11" a="1"/>
  <c r="L22" i="11"/>
  <c r="M22" i="11" s="1"/>
  <c r="H22" i="11" a="1"/>
  <c r="H22" i="11"/>
  <c r="G22" i="11" a="1"/>
  <c r="G22" i="11"/>
  <c r="F22" i="11" a="1"/>
  <c r="F22" i="11"/>
  <c r="E22" i="11" a="1"/>
  <c r="E22" i="11"/>
  <c r="D22" i="11" a="1"/>
  <c r="D22" i="11"/>
  <c r="C22" i="11" a="1"/>
  <c r="C22" i="11"/>
  <c r="B22" i="11" a="1"/>
  <c r="B22" i="11"/>
  <c r="O21" i="11" a="1"/>
  <c r="O21" i="11"/>
  <c r="L21" i="11" a="1"/>
  <c r="L21" i="11"/>
  <c r="M21" i="11" s="1"/>
  <c r="H21" i="11" a="1"/>
  <c r="H21" i="11"/>
  <c r="G21" i="11" a="1"/>
  <c r="G21" i="11"/>
  <c r="F21" i="11" a="1"/>
  <c r="F21" i="11"/>
  <c r="E21" i="11" a="1"/>
  <c r="E21" i="11"/>
  <c r="D21" i="11" a="1"/>
  <c r="D21" i="11"/>
  <c r="C21" i="11" a="1"/>
  <c r="C21" i="11"/>
  <c r="B21" i="11" a="1"/>
  <c r="B21" i="11"/>
  <c r="O20" i="11" a="1"/>
  <c r="O20" i="11"/>
  <c r="L20" i="11" a="1"/>
  <c r="L20" i="11"/>
  <c r="M20" i="11" s="1"/>
  <c r="H20" i="11" a="1"/>
  <c r="H20" i="11"/>
  <c r="G20" i="11" a="1"/>
  <c r="G20" i="11"/>
  <c r="F20" i="11" a="1"/>
  <c r="F20" i="11"/>
  <c r="E20" i="11" a="1"/>
  <c r="E20" i="11"/>
  <c r="D20" i="11" a="1"/>
  <c r="D20" i="11"/>
  <c r="C20" i="11" a="1"/>
  <c r="C20" i="11"/>
  <c r="B20" i="11" a="1"/>
  <c r="B20" i="11"/>
  <c r="O19" i="11" a="1"/>
  <c r="O19" i="11"/>
  <c r="L19" i="11" a="1"/>
  <c r="L19" i="11"/>
  <c r="M19" i="11" s="1"/>
  <c r="H19" i="11" a="1"/>
  <c r="H19" i="11"/>
  <c r="G19" i="11" a="1"/>
  <c r="G19" i="11"/>
  <c r="F19" i="11" a="1"/>
  <c r="F19" i="11"/>
  <c r="E19" i="11" a="1"/>
  <c r="E19" i="11"/>
  <c r="D19" i="11" a="1"/>
  <c r="D19" i="11"/>
  <c r="C19" i="11" a="1"/>
  <c r="C19" i="11"/>
  <c r="B19" i="11" a="1"/>
  <c r="B19" i="11"/>
  <c r="O18" i="11" a="1"/>
  <c r="O18" i="11"/>
  <c r="L18" i="11" a="1"/>
  <c r="L18" i="11"/>
  <c r="M18" i="11" s="1"/>
  <c r="H18" i="11" a="1"/>
  <c r="H18" i="11"/>
  <c r="G18" i="11" a="1"/>
  <c r="G18" i="11"/>
  <c r="F18" i="11" a="1"/>
  <c r="F18" i="11"/>
  <c r="E18" i="11" a="1"/>
  <c r="E18" i="11"/>
  <c r="D18" i="11" a="1"/>
  <c r="D18" i="11"/>
  <c r="C18" i="11" a="1"/>
  <c r="C18" i="11"/>
  <c r="B18" i="11" a="1"/>
  <c r="B18" i="11"/>
  <c r="O17" i="11" a="1"/>
  <c r="O17" i="11"/>
  <c r="L17" i="11" a="1"/>
  <c r="L17" i="11"/>
  <c r="M17" i="11" s="1"/>
  <c r="H17" i="11" a="1"/>
  <c r="H17" i="11"/>
  <c r="G17" i="11" a="1"/>
  <c r="G17" i="11"/>
  <c r="F17" i="11" a="1"/>
  <c r="F17" i="11"/>
  <c r="E17" i="11" a="1"/>
  <c r="E17" i="11"/>
  <c r="D17" i="11" a="1"/>
  <c r="D17" i="11"/>
  <c r="C17" i="11" a="1"/>
  <c r="C17" i="11"/>
  <c r="B17" i="11" a="1"/>
  <c r="B17" i="11"/>
  <c r="O16" i="11" a="1"/>
  <c r="O16" i="11"/>
  <c r="L16" i="11" a="1"/>
  <c r="L16" i="11"/>
  <c r="M16" i="11" s="1"/>
  <c r="H16" i="11" a="1"/>
  <c r="H16" i="11"/>
  <c r="G16" i="11" a="1"/>
  <c r="G16" i="11"/>
  <c r="F16" i="11" a="1"/>
  <c r="F16" i="11"/>
  <c r="E16" i="11" a="1"/>
  <c r="E16" i="11"/>
  <c r="D16" i="11" a="1"/>
  <c r="D16" i="11"/>
  <c r="C16" i="11" a="1"/>
  <c r="C16" i="11"/>
  <c r="B16" i="11" a="1"/>
  <c r="B16" i="11"/>
  <c r="O15" i="11" a="1"/>
  <c r="O15" i="11"/>
  <c r="L15" i="11" a="1"/>
  <c r="L15" i="11"/>
  <c r="M15" i="11" s="1"/>
  <c r="H15" i="11" a="1"/>
  <c r="H15" i="11"/>
  <c r="G15" i="11" a="1"/>
  <c r="G15" i="11"/>
  <c r="F15" i="11" a="1"/>
  <c r="F15" i="11"/>
  <c r="E15" i="11" a="1"/>
  <c r="E15" i="11"/>
  <c r="D15" i="11" a="1"/>
  <c r="D15" i="11"/>
  <c r="C15" i="11" a="1"/>
  <c r="C15" i="11"/>
  <c r="B15" i="11" a="1"/>
  <c r="B15" i="11"/>
  <c r="O14" i="11" a="1"/>
  <c r="O14" i="11"/>
  <c r="L14" i="11" a="1"/>
  <c r="L14" i="11"/>
  <c r="M14" i="11" s="1"/>
  <c r="H14" i="11" a="1"/>
  <c r="H14" i="11"/>
  <c r="G14" i="11" a="1"/>
  <c r="G14" i="11"/>
  <c r="F14" i="11" a="1"/>
  <c r="F14" i="11"/>
  <c r="E14" i="11" a="1"/>
  <c r="E14" i="11"/>
  <c r="D14" i="11" a="1"/>
  <c r="D14" i="11"/>
  <c r="C14" i="11" a="1"/>
  <c r="C14" i="11"/>
  <c r="B14" i="11" a="1"/>
  <c r="B14" i="11"/>
  <c r="O13" i="11" a="1"/>
  <c r="O13" i="11"/>
  <c r="L13" i="11" a="1"/>
  <c r="L13" i="11"/>
  <c r="M13" i="11" s="1"/>
  <c r="H13" i="11" a="1"/>
  <c r="H13" i="11"/>
  <c r="G13" i="11" a="1"/>
  <c r="G13" i="11"/>
  <c r="F13" i="11" a="1"/>
  <c r="F13" i="11"/>
  <c r="E13" i="11" a="1"/>
  <c r="E13" i="11"/>
  <c r="D13" i="11" a="1"/>
  <c r="D13" i="11"/>
  <c r="C13" i="11" a="1"/>
  <c r="C13" i="11"/>
  <c r="B13" i="11" a="1"/>
  <c r="B13" i="11"/>
  <c r="O12" i="11" a="1"/>
  <c r="O12" i="11"/>
  <c r="L12" i="11" a="1"/>
  <c r="L12" i="11"/>
  <c r="M12" i="11" s="1"/>
  <c r="H12" i="11" a="1"/>
  <c r="H12" i="11"/>
  <c r="G12" i="11" a="1"/>
  <c r="G12" i="11"/>
  <c r="F12" i="11" a="1"/>
  <c r="F12" i="11"/>
  <c r="E12" i="11" a="1"/>
  <c r="E12" i="11"/>
  <c r="D12" i="11" a="1"/>
  <c r="D12" i="11"/>
  <c r="C12" i="11" a="1"/>
  <c r="C12" i="11"/>
  <c r="B12" i="11" a="1"/>
  <c r="B12" i="11"/>
  <c r="O11" i="11" a="1"/>
  <c r="O11" i="11"/>
  <c r="L11" i="11" a="1"/>
  <c r="L11" i="11"/>
  <c r="M11" i="11" s="1"/>
  <c r="H11" i="11" a="1"/>
  <c r="H11" i="11"/>
  <c r="G11" i="11" a="1"/>
  <c r="G11" i="11"/>
  <c r="F11" i="11" a="1"/>
  <c r="F11" i="11"/>
  <c r="E11" i="11" a="1"/>
  <c r="E11" i="11"/>
  <c r="D11" i="11" a="1"/>
  <c r="D11" i="11"/>
  <c r="C11" i="11" a="1"/>
  <c r="C11" i="11"/>
  <c r="B11" i="11" a="1"/>
  <c r="B11" i="11"/>
  <c r="O10" i="11" a="1"/>
  <c r="O10" i="11"/>
  <c r="L10" i="11" a="1"/>
  <c r="L10" i="11"/>
  <c r="M10" i="11" s="1"/>
  <c r="H10" i="11" a="1"/>
  <c r="H10" i="11"/>
  <c r="G10" i="11" a="1"/>
  <c r="G10" i="11"/>
  <c r="F10" i="11" a="1"/>
  <c r="F10" i="11"/>
  <c r="E10" i="11" a="1"/>
  <c r="E10" i="11"/>
  <c r="D10" i="11" a="1"/>
  <c r="D10" i="11"/>
  <c r="C10" i="11" a="1"/>
  <c r="C10" i="11"/>
  <c r="B10" i="11" a="1"/>
  <c r="B10" i="11"/>
  <c r="O9" i="11" a="1"/>
  <c r="O9" i="11"/>
  <c r="L9" i="11" a="1"/>
  <c r="L9" i="11"/>
  <c r="M9" i="11" s="1"/>
  <c r="H9" i="11" a="1"/>
  <c r="H9" i="11"/>
  <c r="G9" i="11" a="1"/>
  <c r="G9" i="11"/>
  <c r="F9" i="11" a="1"/>
  <c r="F9" i="11"/>
  <c r="E9" i="11" a="1"/>
  <c r="E9" i="11"/>
  <c r="D9" i="11" a="1"/>
  <c r="D9" i="11"/>
  <c r="C9" i="11" a="1"/>
  <c r="C9" i="11"/>
  <c r="B9" i="11" a="1"/>
  <c r="B9" i="11"/>
  <c r="O8" i="11" a="1"/>
  <c r="O8" i="11"/>
  <c r="L8" i="11" a="1"/>
  <c r="L8" i="11"/>
  <c r="M8" i="11" s="1"/>
  <c r="H8" i="11" a="1"/>
  <c r="H8" i="11"/>
  <c r="G8" i="11" a="1"/>
  <c r="G8" i="11"/>
  <c r="F8" i="11" a="1"/>
  <c r="F8" i="11"/>
  <c r="E8" i="11" a="1"/>
  <c r="E8" i="11"/>
  <c r="D8" i="11" a="1"/>
  <c r="D8" i="11"/>
  <c r="C8" i="11" a="1"/>
  <c r="C8" i="11"/>
  <c r="B8" i="11" a="1"/>
  <c r="B8" i="11"/>
  <c r="O7" i="11" a="1"/>
  <c r="O7" i="11"/>
  <c r="L7" i="11" a="1"/>
  <c r="L7" i="11"/>
  <c r="M7" i="11" s="1"/>
  <c r="H7" i="11" a="1"/>
  <c r="H7" i="11"/>
  <c r="G7" i="11" a="1"/>
  <c r="G7" i="11"/>
  <c r="F7" i="11" a="1"/>
  <c r="F7" i="11"/>
  <c r="E7" i="11" a="1"/>
  <c r="E7" i="11"/>
  <c r="D7" i="11" a="1"/>
  <c r="D7" i="11"/>
  <c r="C7" i="11" a="1"/>
  <c r="C7" i="11"/>
  <c r="B7" i="11" a="1"/>
  <c r="B7" i="11"/>
  <c r="O6" i="11" a="1"/>
  <c r="O6" i="11"/>
  <c r="L6" i="11" a="1"/>
  <c r="L6" i="11"/>
  <c r="M6" i="11" s="1"/>
  <c r="H6" i="11" a="1"/>
  <c r="H6" i="11"/>
  <c r="G6" i="11" a="1"/>
  <c r="G6" i="11"/>
  <c r="F6" i="11" a="1"/>
  <c r="F6" i="11"/>
  <c r="E6" i="11" a="1"/>
  <c r="E6" i="11"/>
  <c r="D6" i="11" a="1"/>
  <c r="D6" i="11"/>
  <c r="C6" i="11" a="1"/>
  <c r="C6" i="11"/>
  <c r="B6" i="11" a="1"/>
  <c r="B6" i="11"/>
  <c r="O5" i="11" a="1"/>
  <c r="O5" i="11"/>
  <c r="L5" i="11" a="1"/>
  <c r="L5" i="11"/>
  <c r="M5" i="11" s="1"/>
  <c r="H5" i="11" a="1"/>
  <c r="H5" i="11"/>
  <c r="G5" i="11" a="1"/>
  <c r="G5" i="11"/>
  <c r="F5" i="11" a="1"/>
  <c r="F5" i="11"/>
  <c r="E5" i="11" a="1"/>
  <c r="E5" i="11"/>
  <c r="D5" i="11" a="1"/>
  <c r="D5" i="11"/>
  <c r="C5" i="11" a="1"/>
  <c r="C5" i="11"/>
  <c r="B5" i="11" a="1"/>
  <c r="B5" i="11"/>
  <c r="O4" i="11" a="1"/>
  <c r="O4" i="11"/>
  <c r="L4" i="11" a="1"/>
  <c r="L4" i="11"/>
  <c r="M4" i="11" s="1"/>
  <c r="H4" i="11" a="1"/>
  <c r="H4" i="11"/>
  <c r="G4" i="11" a="1"/>
  <c r="G4" i="11"/>
  <c r="F4" i="11" a="1"/>
  <c r="F4" i="11"/>
  <c r="E4" i="11" a="1"/>
  <c r="E4" i="11"/>
  <c r="D4" i="11" a="1"/>
  <c r="D4" i="11"/>
  <c r="C4" i="11" a="1"/>
  <c r="C4" i="11"/>
  <c r="B4" i="11" a="1"/>
  <c r="B4" i="11"/>
  <c r="O3" i="11" a="1"/>
  <c r="O3" i="11"/>
  <c r="L3" i="11" a="1"/>
  <c r="L3" i="11"/>
  <c r="M3" i="11" s="1"/>
  <c r="H3" i="11" a="1"/>
  <c r="H3" i="11"/>
  <c r="G3" i="11" a="1"/>
  <c r="G3" i="11"/>
  <c r="F3" i="11" a="1"/>
  <c r="F3" i="11"/>
  <c r="E3" i="11" a="1"/>
  <c r="E3" i="11"/>
  <c r="D3" i="11" a="1"/>
  <c r="D3" i="11"/>
  <c r="C3" i="11" a="1"/>
  <c r="C3" i="11"/>
  <c r="B3" i="11" a="1"/>
  <c r="B3" i="11"/>
  <c r="O2" i="11" a="1"/>
  <c r="O2" i="11"/>
  <c r="L2" i="11" a="1"/>
  <c r="L2" i="11"/>
  <c r="M2" i="11" s="1"/>
  <c r="H2" i="11" a="1"/>
  <c r="H2" i="11"/>
  <c r="G2" i="11" a="1"/>
  <c r="G2" i="11"/>
  <c r="F2" i="11" a="1"/>
  <c r="F2" i="11"/>
  <c r="E2" i="11" a="1"/>
  <c r="E2" i="11"/>
  <c r="D2" i="11" a="1"/>
  <c r="D2" i="11"/>
  <c r="C2" i="11" a="1"/>
  <c r="C2" i="11"/>
  <c r="B2" i="11" a="1"/>
  <c r="B2" i="11"/>
  <c r="O51" i="12" a="1"/>
  <c r="O51" i="12"/>
  <c r="L51" i="12" a="1"/>
  <c r="L51" i="12"/>
  <c r="M51" i="12" s="1"/>
  <c r="H51" i="12" a="1"/>
  <c r="H51" i="12"/>
  <c r="G51" i="12" a="1"/>
  <c r="G51" i="12"/>
  <c r="F51" i="12" a="1"/>
  <c r="F51" i="12"/>
  <c r="E51" i="12" a="1"/>
  <c r="E51" i="12"/>
  <c r="D51" i="12" a="1"/>
  <c r="D51" i="12"/>
  <c r="C51" i="12" a="1"/>
  <c r="C51" i="12"/>
  <c r="B51" i="12" a="1"/>
  <c r="B51" i="12"/>
  <c r="O50" i="12" a="1"/>
  <c r="O50" i="12"/>
  <c r="L50" i="12" a="1"/>
  <c r="L50" i="12"/>
  <c r="M50" i="12" s="1"/>
  <c r="H50" i="12" a="1"/>
  <c r="H50" i="12"/>
  <c r="G50" i="12" a="1"/>
  <c r="G50" i="12"/>
  <c r="F50" i="12" a="1"/>
  <c r="F50" i="12"/>
  <c r="E50" i="12" a="1"/>
  <c r="E50" i="12"/>
  <c r="D50" i="12" a="1"/>
  <c r="D50" i="12"/>
  <c r="C50" i="12" a="1"/>
  <c r="C50" i="12"/>
  <c r="B50" i="12" a="1"/>
  <c r="B50" i="12"/>
  <c r="O49" i="12" a="1"/>
  <c r="O49" i="12"/>
  <c r="L49" i="12" a="1"/>
  <c r="L49" i="12"/>
  <c r="M49" i="12" s="1"/>
  <c r="H49" i="12" a="1"/>
  <c r="H49" i="12"/>
  <c r="G49" i="12" a="1"/>
  <c r="G49" i="12"/>
  <c r="F49" i="12" a="1"/>
  <c r="F49" i="12"/>
  <c r="E49" i="12" a="1"/>
  <c r="E49" i="12"/>
  <c r="D49" i="12" a="1"/>
  <c r="D49" i="12"/>
  <c r="C49" i="12" a="1"/>
  <c r="C49" i="12"/>
  <c r="B49" i="12" a="1"/>
  <c r="B49" i="12"/>
  <c r="O48" i="12" a="1"/>
  <c r="O48" i="12"/>
  <c r="L48" i="12" a="1"/>
  <c r="L48" i="12"/>
  <c r="M48" i="12" s="1"/>
  <c r="H48" i="12" a="1"/>
  <c r="H48" i="12"/>
  <c r="G48" i="12" a="1"/>
  <c r="G48" i="12"/>
  <c r="F48" i="12" a="1"/>
  <c r="F48" i="12"/>
  <c r="E48" i="12" a="1"/>
  <c r="E48" i="12"/>
  <c r="D48" i="12" a="1"/>
  <c r="D48" i="12"/>
  <c r="C48" i="12" a="1"/>
  <c r="C48" i="12"/>
  <c r="B48" i="12" a="1"/>
  <c r="B48" i="12"/>
  <c r="O47" i="12" a="1"/>
  <c r="O47" i="12"/>
  <c r="L47" i="12" a="1"/>
  <c r="L47" i="12"/>
  <c r="M47" i="12" s="1"/>
  <c r="H47" i="12" a="1"/>
  <c r="H47" i="12"/>
  <c r="G47" i="12" a="1"/>
  <c r="G47" i="12"/>
  <c r="F47" i="12" a="1"/>
  <c r="F47" i="12"/>
  <c r="E47" i="12" a="1"/>
  <c r="E47" i="12"/>
  <c r="D47" i="12" a="1"/>
  <c r="D47" i="12"/>
  <c r="C47" i="12" a="1"/>
  <c r="C47" i="12"/>
  <c r="B47" i="12" a="1"/>
  <c r="B47" i="12"/>
  <c r="O46" i="12" a="1"/>
  <c r="O46" i="12"/>
  <c r="L46" i="12" a="1"/>
  <c r="L46" i="12"/>
  <c r="M46" i="12" s="1"/>
  <c r="H46" i="12" a="1"/>
  <c r="H46" i="12"/>
  <c r="G46" i="12" a="1"/>
  <c r="G46" i="12"/>
  <c r="F46" i="12" a="1"/>
  <c r="F46" i="12"/>
  <c r="E46" i="12" a="1"/>
  <c r="E46" i="12"/>
  <c r="D46" i="12" a="1"/>
  <c r="D46" i="12"/>
  <c r="C46" i="12" a="1"/>
  <c r="C46" i="12"/>
  <c r="B46" i="12" a="1"/>
  <c r="B46" i="12"/>
  <c r="O45" i="12" a="1"/>
  <c r="O45" i="12"/>
  <c r="L45" i="12" a="1"/>
  <c r="L45" i="12"/>
  <c r="M45" i="12" s="1"/>
  <c r="H45" i="12" a="1"/>
  <c r="H45" i="12"/>
  <c r="G45" i="12" a="1"/>
  <c r="G45" i="12"/>
  <c r="F45" i="12" a="1"/>
  <c r="F45" i="12"/>
  <c r="E45" i="12" a="1"/>
  <c r="E45" i="12"/>
  <c r="D45" i="12" a="1"/>
  <c r="D45" i="12"/>
  <c r="C45" i="12" a="1"/>
  <c r="C45" i="12"/>
  <c r="B45" i="12" a="1"/>
  <c r="B45" i="12"/>
  <c r="O44" i="12" a="1"/>
  <c r="O44" i="12"/>
  <c r="L44" i="12" a="1"/>
  <c r="L44" i="12"/>
  <c r="M44" i="12" s="1"/>
  <c r="H44" i="12" a="1"/>
  <c r="H44" i="12"/>
  <c r="G44" i="12" a="1"/>
  <c r="G44" i="12"/>
  <c r="F44" i="12" a="1"/>
  <c r="F44" i="12"/>
  <c r="E44" i="12" a="1"/>
  <c r="E44" i="12"/>
  <c r="D44" i="12" a="1"/>
  <c r="D44" i="12"/>
  <c r="C44" i="12" a="1"/>
  <c r="C44" i="12"/>
  <c r="B44" i="12" a="1"/>
  <c r="B44" i="12"/>
  <c r="O43" i="12" a="1"/>
  <c r="O43" i="12"/>
  <c r="L43" i="12" a="1"/>
  <c r="L43" i="12"/>
  <c r="M43" i="12" s="1"/>
  <c r="H43" i="12" a="1"/>
  <c r="H43" i="12"/>
  <c r="G43" i="12" a="1"/>
  <c r="G43" i="12"/>
  <c r="F43" i="12" a="1"/>
  <c r="F43" i="12"/>
  <c r="E43" i="12" a="1"/>
  <c r="E43" i="12"/>
  <c r="D43" i="12" a="1"/>
  <c r="D43" i="12"/>
  <c r="C43" i="12" a="1"/>
  <c r="C43" i="12"/>
  <c r="B43" i="12" a="1"/>
  <c r="B43" i="12"/>
  <c r="O42" i="12" a="1"/>
  <c r="O42" i="12"/>
  <c r="L42" i="12" a="1"/>
  <c r="L42" i="12"/>
  <c r="M42" i="12" s="1"/>
  <c r="H42" i="12" a="1"/>
  <c r="H42" i="12"/>
  <c r="G42" i="12" a="1"/>
  <c r="G42" i="12"/>
  <c r="F42" i="12" a="1"/>
  <c r="F42" i="12"/>
  <c r="E42" i="12" a="1"/>
  <c r="E42" i="12"/>
  <c r="D42" i="12" a="1"/>
  <c r="D42" i="12"/>
  <c r="C42" i="12" a="1"/>
  <c r="C42" i="12"/>
  <c r="B42" i="12" a="1"/>
  <c r="B42" i="12"/>
  <c r="O41" i="12" a="1"/>
  <c r="O41" i="12"/>
  <c r="L41" i="12" a="1"/>
  <c r="L41" i="12"/>
  <c r="M41" i="12" s="1"/>
  <c r="H41" i="12" a="1"/>
  <c r="H41" i="12"/>
  <c r="G41" i="12" a="1"/>
  <c r="G41" i="12"/>
  <c r="F41" i="12" a="1"/>
  <c r="F41" i="12"/>
  <c r="E41" i="12" a="1"/>
  <c r="E41" i="12"/>
  <c r="D41" i="12" a="1"/>
  <c r="D41" i="12"/>
  <c r="C41" i="12" a="1"/>
  <c r="C41" i="12"/>
  <c r="B41" i="12" a="1"/>
  <c r="B41" i="12"/>
  <c r="O40" i="12" a="1"/>
  <c r="O40" i="12"/>
  <c r="L40" i="12" a="1"/>
  <c r="L40" i="12"/>
  <c r="M40" i="12" s="1"/>
  <c r="H40" i="12" a="1"/>
  <c r="H40" i="12"/>
  <c r="G40" i="12" a="1"/>
  <c r="G40" i="12"/>
  <c r="F40" i="12" a="1"/>
  <c r="F40" i="12"/>
  <c r="E40" i="12" a="1"/>
  <c r="E40" i="12"/>
  <c r="D40" i="12" a="1"/>
  <c r="D40" i="12"/>
  <c r="C40" i="12" a="1"/>
  <c r="C40" i="12"/>
  <c r="B40" i="12" a="1"/>
  <c r="B40" i="12"/>
  <c r="O39" i="12" a="1"/>
  <c r="O39" i="12"/>
  <c r="L39" i="12" a="1"/>
  <c r="L39" i="12"/>
  <c r="M39" i="12" s="1"/>
  <c r="H39" i="12" a="1"/>
  <c r="H39" i="12"/>
  <c r="G39" i="12" a="1"/>
  <c r="G39" i="12"/>
  <c r="F39" i="12" a="1"/>
  <c r="F39" i="12"/>
  <c r="E39" i="12" a="1"/>
  <c r="E39" i="12"/>
  <c r="D39" i="12" a="1"/>
  <c r="D39" i="12"/>
  <c r="C39" i="12" a="1"/>
  <c r="C39" i="12"/>
  <c r="B39" i="12" a="1"/>
  <c r="B39" i="12"/>
  <c r="O38" i="12" a="1"/>
  <c r="O38" i="12"/>
  <c r="L38" i="12" a="1"/>
  <c r="L38" i="12"/>
  <c r="M38" i="12" s="1"/>
  <c r="H38" i="12" a="1"/>
  <c r="H38" i="12"/>
  <c r="G38" i="12" a="1"/>
  <c r="G38" i="12"/>
  <c r="F38" i="12" a="1"/>
  <c r="F38" i="12"/>
  <c r="E38" i="12" a="1"/>
  <c r="E38" i="12"/>
  <c r="D38" i="12" a="1"/>
  <c r="D38" i="12"/>
  <c r="C38" i="12" a="1"/>
  <c r="C38" i="12"/>
  <c r="B38" i="12" a="1"/>
  <c r="B38" i="12"/>
  <c r="O37" i="12" a="1"/>
  <c r="O37" i="12"/>
  <c r="L37" i="12" a="1"/>
  <c r="L37" i="12"/>
  <c r="M37" i="12" s="1"/>
  <c r="H37" i="12" a="1"/>
  <c r="H37" i="12"/>
  <c r="G37" i="12" a="1"/>
  <c r="G37" i="12"/>
  <c r="F37" i="12" a="1"/>
  <c r="F37" i="12"/>
  <c r="E37" i="12" a="1"/>
  <c r="E37" i="12"/>
  <c r="D37" i="12" a="1"/>
  <c r="D37" i="12"/>
  <c r="C37" i="12" a="1"/>
  <c r="C37" i="12"/>
  <c r="B37" i="12" a="1"/>
  <c r="B37" i="12"/>
  <c r="O36" i="12" a="1"/>
  <c r="O36" i="12"/>
  <c r="L36" i="12" a="1"/>
  <c r="L36" i="12"/>
  <c r="M36" i="12" s="1"/>
  <c r="H36" i="12" a="1"/>
  <c r="H36" i="12"/>
  <c r="G36" i="12" a="1"/>
  <c r="G36" i="12"/>
  <c r="F36" i="12" a="1"/>
  <c r="F36" i="12"/>
  <c r="E36" i="12" a="1"/>
  <c r="E36" i="12"/>
  <c r="D36" i="12" a="1"/>
  <c r="D36" i="12"/>
  <c r="C36" i="12" a="1"/>
  <c r="C36" i="12"/>
  <c r="B36" i="12" a="1"/>
  <c r="B36" i="12"/>
  <c r="O35" i="12" a="1"/>
  <c r="O35" i="12"/>
  <c r="L35" i="12" a="1"/>
  <c r="L35" i="12"/>
  <c r="M35" i="12" s="1"/>
  <c r="H35" i="12" a="1"/>
  <c r="H35" i="12"/>
  <c r="G35" i="12" a="1"/>
  <c r="G35" i="12"/>
  <c r="F35" i="12" a="1"/>
  <c r="F35" i="12"/>
  <c r="E35" i="12" a="1"/>
  <c r="E35" i="12"/>
  <c r="D35" i="12" a="1"/>
  <c r="D35" i="12"/>
  <c r="C35" i="12" a="1"/>
  <c r="C35" i="12"/>
  <c r="B35" i="12" a="1"/>
  <c r="B35" i="12"/>
  <c r="O34" i="12" a="1"/>
  <c r="O34" i="12"/>
  <c r="L34" i="12" a="1"/>
  <c r="L34" i="12"/>
  <c r="M34" i="12" s="1"/>
  <c r="H34" i="12" a="1"/>
  <c r="H34" i="12"/>
  <c r="G34" i="12" a="1"/>
  <c r="G34" i="12"/>
  <c r="F34" i="12" a="1"/>
  <c r="F34" i="12"/>
  <c r="E34" i="12" a="1"/>
  <c r="E34" i="12"/>
  <c r="D34" i="12" a="1"/>
  <c r="D34" i="12"/>
  <c r="C34" i="12" a="1"/>
  <c r="C34" i="12"/>
  <c r="B34" i="12" a="1"/>
  <c r="B34" i="12"/>
  <c r="O33" i="12" a="1"/>
  <c r="O33" i="12"/>
  <c r="L33" i="12" a="1"/>
  <c r="L33" i="12"/>
  <c r="M33" i="12" s="1"/>
  <c r="H33" i="12" a="1"/>
  <c r="H33" i="12"/>
  <c r="G33" i="12" a="1"/>
  <c r="G33" i="12"/>
  <c r="F33" i="12" a="1"/>
  <c r="F33" i="12"/>
  <c r="E33" i="12" a="1"/>
  <c r="E33" i="12"/>
  <c r="D33" i="12" a="1"/>
  <c r="D33" i="12"/>
  <c r="C33" i="12" a="1"/>
  <c r="C33" i="12"/>
  <c r="B33" i="12" a="1"/>
  <c r="B33" i="12"/>
  <c r="O32" i="12" a="1"/>
  <c r="O32" i="12"/>
  <c r="L32" i="12" a="1"/>
  <c r="L32" i="12"/>
  <c r="M32" i="12" s="1"/>
  <c r="H32" i="12" a="1"/>
  <c r="H32" i="12"/>
  <c r="G32" i="12" a="1"/>
  <c r="G32" i="12"/>
  <c r="F32" i="12" a="1"/>
  <c r="F32" i="12"/>
  <c r="E32" i="12" a="1"/>
  <c r="E32" i="12"/>
  <c r="D32" i="12" a="1"/>
  <c r="D32" i="12"/>
  <c r="C32" i="12" a="1"/>
  <c r="C32" i="12"/>
  <c r="B32" i="12" a="1"/>
  <c r="B32" i="12"/>
  <c r="O31" i="12" a="1"/>
  <c r="O31" i="12"/>
  <c r="L31" i="12" a="1"/>
  <c r="L31" i="12"/>
  <c r="M31" i="12" s="1"/>
  <c r="H31" i="12" a="1"/>
  <c r="H31" i="12"/>
  <c r="G31" i="12" a="1"/>
  <c r="G31" i="12"/>
  <c r="F31" i="12" a="1"/>
  <c r="F31" i="12"/>
  <c r="E31" i="12" a="1"/>
  <c r="E31" i="12"/>
  <c r="D31" i="12" a="1"/>
  <c r="D31" i="12"/>
  <c r="C31" i="12" a="1"/>
  <c r="C31" i="12"/>
  <c r="B31" i="12" a="1"/>
  <c r="B31" i="12"/>
  <c r="O30" i="12" a="1"/>
  <c r="O30" i="12"/>
  <c r="L30" i="12" a="1"/>
  <c r="L30" i="12"/>
  <c r="M30" i="12" s="1"/>
  <c r="H30" i="12" a="1"/>
  <c r="H30" i="12"/>
  <c r="G30" i="12" a="1"/>
  <c r="G30" i="12"/>
  <c r="F30" i="12" a="1"/>
  <c r="F30" i="12"/>
  <c r="E30" i="12" a="1"/>
  <c r="E30" i="12"/>
  <c r="D30" i="12" a="1"/>
  <c r="D30" i="12"/>
  <c r="C30" i="12" a="1"/>
  <c r="C30" i="12"/>
  <c r="B30" i="12" a="1"/>
  <c r="B30" i="12"/>
  <c r="O29" i="12" a="1"/>
  <c r="O29" i="12"/>
  <c r="L29" i="12" a="1"/>
  <c r="L29" i="12"/>
  <c r="M29" i="12" s="1"/>
  <c r="H29" i="12" a="1"/>
  <c r="H29" i="12"/>
  <c r="G29" i="12" a="1"/>
  <c r="G29" i="12"/>
  <c r="F29" i="12" a="1"/>
  <c r="F29" i="12"/>
  <c r="E29" i="12" a="1"/>
  <c r="E29" i="12"/>
  <c r="D29" i="12" a="1"/>
  <c r="D29" i="12"/>
  <c r="C29" i="12" a="1"/>
  <c r="C29" i="12"/>
  <c r="B29" i="12" a="1"/>
  <c r="B29" i="12"/>
  <c r="O28" i="12" a="1"/>
  <c r="O28" i="12"/>
  <c r="L28" i="12" a="1"/>
  <c r="L28" i="12"/>
  <c r="M28" i="12" s="1"/>
  <c r="H28" i="12" a="1"/>
  <c r="H28" i="12"/>
  <c r="G28" i="12" a="1"/>
  <c r="G28" i="12"/>
  <c r="F28" i="12" a="1"/>
  <c r="F28" i="12"/>
  <c r="E28" i="12" a="1"/>
  <c r="E28" i="12"/>
  <c r="D28" i="12" a="1"/>
  <c r="D28" i="12"/>
  <c r="C28" i="12" a="1"/>
  <c r="C28" i="12"/>
  <c r="B28" i="12" a="1"/>
  <c r="B28" i="12"/>
  <c r="O27" i="12" a="1"/>
  <c r="O27" i="12"/>
  <c r="L27" i="12" a="1"/>
  <c r="L27" i="12"/>
  <c r="M27" i="12" s="1"/>
  <c r="H27" i="12" a="1"/>
  <c r="H27" i="12"/>
  <c r="G27" i="12" a="1"/>
  <c r="G27" i="12"/>
  <c r="F27" i="12" a="1"/>
  <c r="F27" i="12"/>
  <c r="E27" i="12" a="1"/>
  <c r="E27" i="12"/>
  <c r="D27" i="12" a="1"/>
  <c r="D27" i="12"/>
  <c r="C27" i="12" a="1"/>
  <c r="C27" i="12"/>
  <c r="B27" i="12" a="1"/>
  <c r="B27" i="12"/>
  <c r="O26" i="12" a="1"/>
  <c r="O26" i="12"/>
  <c r="L26" i="12" a="1"/>
  <c r="L26" i="12"/>
  <c r="M26" i="12" s="1"/>
  <c r="H26" i="12" a="1"/>
  <c r="H26" i="12"/>
  <c r="G26" i="12" a="1"/>
  <c r="G26" i="12"/>
  <c r="F26" i="12" a="1"/>
  <c r="F26" i="12"/>
  <c r="E26" i="12" a="1"/>
  <c r="E26" i="12"/>
  <c r="D26" i="12" a="1"/>
  <c r="D26" i="12"/>
  <c r="C26" i="12" a="1"/>
  <c r="C26" i="12"/>
  <c r="B26" i="12" a="1"/>
  <c r="B26" i="12"/>
  <c r="O25" i="12" a="1"/>
  <c r="O25" i="12"/>
  <c r="L25" i="12" a="1"/>
  <c r="L25" i="12"/>
  <c r="M25" i="12" s="1"/>
  <c r="H25" i="12" a="1"/>
  <c r="H25" i="12"/>
  <c r="G25" i="12" a="1"/>
  <c r="G25" i="12"/>
  <c r="F25" i="12" a="1"/>
  <c r="F25" i="12"/>
  <c r="E25" i="12" a="1"/>
  <c r="E25" i="12"/>
  <c r="D25" i="12" a="1"/>
  <c r="D25" i="12"/>
  <c r="C25" i="12" a="1"/>
  <c r="C25" i="12"/>
  <c r="B25" i="12" a="1"/>
  <c r="B25" i="12"/>
  <c r="O24" i="12" a="1"/>
  <c r="O24" i="12"/>
  <c r="L24" i="12" a="1"/>
  <c r="L24" i="12"/>
  <c r="M24" i="12" s="1"/>
  <c r="H24" i="12" a="1"/>
  <c r="H24" i="12"/>
  <c r="G24" i="12" a="1"/>
  <c r="G24" i="12"/>
  <c r="F24" i="12" a="1"/>
  <c r="F24" i="12"/>
  <c r="E24" i="12" a="1"/>
  <c r="E24" i="12"/>
  <c r="D24" i="12" a="1"/>
  <c r="D24" i="12"/>
  <c r="C24" i="12" a="1"/>
  <c r="C24" i="12"/>
  <c r="B24" i="12" a="1"/>
  <c r="B24" i="12"/>
  <c r="O23" i="12" a="1"/>
  <c r="O23" i="12"/>
  <c r="L23" i="12" a="1"/>
  <c r="L23" i="12"/>
  <c r="M23" i="12" s="1"/>
  <c r="H23" i="12" a="1"/>
  <c r="H23" i="12"/>
  <c r="G23" i="12" a="1"/>
  <c r="G23" i="12"/>
  <c r="F23" i="12" a="1"/>
  <c r="F23" i="12"/>
  <c r="E23" i="12" a="1"/>
  <c r="E23" i="12"/>
  <c r="D23" i="12" a="1"/>
  <c r="D23" i="12"/>
  <c r="C23" i="12" a="1"/>
  <c r="C23" i="12"/>
  <c r="B23" i="12" a="1"/>
  <c r="B23" i="12"/>
  <c r="O22" i="12" a="1"/>
  <c r="O22" i="12"/>
  <c r="L22" i="12" a="1"/>
  <c r="L22" i="12"/>
  <c r="M22" i="12" s="1"/>
  <c r="H22" i="12" a="1"/>
  <c r="H22" i="12"/>
  <c r="G22" i="12" a="1"/>
  <c r="G22" i="12"/>
  <c r="F22" i="12" a="1"/>
  <c r="F22" i="12"/>
  <c r="E22" i="12" a="1"/>
  <c r="E22" i="12"/>
  <c r="D22" i="12" a="1"/>
  <c r="D22" i="12"/>
  <c r="C22" i="12" a="1"/>
  <c r="C22" i="12"/>
  <c r="B22" i="12" a="1"/>
  <c r="B22" i="12"/>
  <c r="O21" i="12" a="1"/>
  <c r="O21" i="12"/>
  <c r="L21" i="12" a="1"/>
  <c r="L21" i="12"/>
  <c r="M21" i="12" s="1"/>
  <c r="H21" i="12" a="1"/>
  <c r="H21" i="12"/>
  <c r="G21" i="12" a="1"/>
  <c r="G21" i="12"/>
  <c r="F21" i="12" a="1"/>
  <c r="F21" i="12"/>
  <c r="E21" i="12" a="1"/>
  <c r="E21" i="12"/>
  <c r="D21" i="12" a="1"/>
  <c r="D21" i="12"/>
  <c r="C21" i="12" a="1"/>
  <c r="C21" i="12"/>
  <c r="B21" i="12" a="1"/>
  <c r="B21" i="12"/>
  <c r="O20" i="12" a="1"/>
  <c r="O20" i="12"/>
  <c r="L20" i="12" a="1"/>
  <c r="L20" i="12"/>
  <c r="M20" i="12" s="1"/>
  <c r="H20" i="12" a="1"/>
  <c r="H20" i="12"/>
  <c r="G20" i="12" a="1"/>
  <c r="G20" i="12"/>
  <c r="F20" i="12" a="1"/>
  <c r="F20" i="12"/>
  <c r="E20" i="12" a="1"/>
  <c r="E20" i="12"/>
  <c r="D20" i="12" a="1"/>
  <c r="D20" i="12"/>
  <c r="C20" i="12" a="1"/>
  <c r="C20" i="12"/>
  <c r="B20" i="12" a="1"/>
  <c r="B20" i="12"/>
  <c r="O19" i="12" a="1"/>
  <c r="O19" i="12"/>
  <c r="L19" i="12" a="1"/>
  <c r="L19" i="12"/>
  <c r="M19" i="12" s="1"/>
  <c r="H19" i="12" a="1"/>
  <c r="H19" i="12"/>
  <c r="G19" i="12" a="1"/>
  <c r="G19" i="12"/>
  <c r="F19" i="12" a="1"/>
  <c r="F19" i="12"/>
  <c r="E19" i="12" a="1"/>
  <c r="E19" i="12"/>
  <c r="D19" i="12" a="1"/>
  <c r="D19" i="12"/>
  <c r="C19" i="12" a="1"/>
  <c r="C19" i="12"/>
  <c r="B19" i="12" a="1"/>
  <c r="B19" i="12"/>
  <c r="O18" i="12" a="1"/>
  <c r="O18" i="12"/>
  <c r="L18" i="12" a="1"/>
  <c r="L18" i="12"/>
  <c r="M18" i="12" s="1"/>
  <c r="H18" i="12" a="1"/>
  <c r="H18" i="12"/>
  <c r="G18" i="12" a="1"/>
  <c r="G18" i="12"/>
  <c r="F18" i="12" a="1"/>
  <c r="F18" i="12"/>
  <c r="E18" i="12" a="1"/>
  <c r="E18" i="12"/>
  <c r="D18" i="12" a="1"/>
  <c r="D18" i="12"/>
  <c r="C18" i="12" a="1"/>
  <c r="C18" i="12"/>
  <c r="B18" i="12" a="1"/>
  <c r="B18" i="12"/>
  <c r="O17" i="12" a="1"/>
  <c r="O17" i="12"/>
  <c r="L17" i="12" a="1"/>
  <c r="L17" i="12"/>
  <c r="M17" i="12" s="1"/>
  <c r="H17" i="12" a="1"/>
  <c r="H17" i="12"/>
  <c r="G17" i="12" a="1"/>
  <c r="G17" i="12"/>
  <c r="F17" i="12" a="1"/>
  <c r="F17" i="12"/>
  <c r="E17" i="12" a="1"/>
  <c r="E17" i="12"/>
  <c r="D17" i="12" a="1"/>
  <c r="D17" i="12"/>
  <c r="C17" i="12" a="1"/>
  <c r="C17" i="12"/>
  <c r="B17" i="12" a="1"/>
  <c r="B17" i="12"/>
  <c r="O16" i="12" a="1"/>
  <c r="O16" i="12"/>
  <c r="L16" i="12" a="1"/>
  <c r="L16" i="12"/>
  <c r="M16" i="12" s="1"/>
  <c r="H16" i="12" a="1"/>
  <c r="H16" i="12"/>
  <c r="G16" i="12" a="1"/>
  <c r="G16" i="12"/>
  <c r="F16" i="12" a="1"/>
  <c r="F16" i="12"/>
  <c r="E16" i="12" a="1"/>
  <c r="E16" i="12"/>
  <c r="D16" i="12" a="1"/>
  <c r="D16" i="12"/>
  <c r="C16" i="12" a="1"/>
  <c r="C16" i="12"/>
  <c r="B16" i="12" a="1"/>
  <c r="B16" i="12"/>
  <c r="O15" i="12" a="1"/>
  <c r="O15" i="12"/>
  <c r="L15" i="12" a="1"/>
  <c r="L15" i="12"/>
  <c r="M15" i="12" s="1"/>
  <c r="H15" i="12" a="1"/>
  <c r="H15" i="12"/>
  <c r="G15" i="12" a="1"/>
  <c r="G15" i="12"/>
  <c r="F15" i="12" a="1"/>
  <c r="F15" i="12"/>
  <c r="E15" i="12" a="1"/>
  <c r="E15" i="12"/>
  <c r="D15" i="12" a="1"/>
  <c r="D15" i="12"/>
  <c r="C15" i="12" a="1"/>
  <c r="C15" i="12"/>
  <c r="B15" i="12" a="1"/>
  <c r="B15" i="12"/>
  <c r="O14" i="12" a="1"/>
  <c r="O14" i="12"/>
  <c r="L14" i="12" a="1"/>
  <c r="L14" i="12"/>
  <c r="M14" i="12" s="1"/>
  <c r="H14" i="12" a="1"/>
  <c r="H14" i="12"/>
  <c r="G14" i="12" a="1"/>
  <c r="G14" i="12"/>
  <c r="F14" i="12" a="1"/>
  <c r="F14" i="12"/>
  <c r="E14" i="12" a="1"/>
  <c r="E14" i="12"/>
  <c r="D14" i="12" a="1"/>
  <c r="D14" i="12"/>
  <c r="C14" i="12" a="1"/>
  <c r="C14" i="12"/>
  <c r="B14" i="12" a="1"/>
  <c r="B14" i="12"/>
  <c r="O13" i="12" a="1"/>
  <c r="O13" i="12"/>
  <c r="L13" i="12" a="1"/>
  <c r="L13" i="12"/>
  <c r="M13" i="12" s="1"/>
  <c r="H13" i="12" a="1"/>
  <c r="H13" i="12"/>
  <c r="G13" i="12" a="1"/>
  <c r="G13" i="12"/>
  <c r="F13" i="12" a="1"/>
  <c r="F13" i="12"/>
  <c r="E13" i="12" a="1"/>
  <c r="E13" i="12"/>
  <c r="D13" i="12" a="1"/>
  <c r="D13" i="12"/>
  <c r="C13" i="12" a="1"/>
  <c r="C13" i="12"/>
  <c r="B13" i="12" a="1"/>
  <c r="B13" i="12"/>
  <c r="O12" i="12" a="1"/>
  <c r="O12" i="12"/>
  <c r="L12" i="12" a="1"/>
  <c r="L12" i="12"/>
  <c r="M12" i="12" s="1"/>
  <c r="H12" i="12" a="1"/>
  <c r="H12" i="12"/>
  <c r="G12" i="12" a="1"/>
  <c r="G12" i="12"/>
  <c r="F12" i="12" a="1"/>
  <c r="F12" i="12"/>
  <c r="E12" i="12" a="1"/>
  <c r="E12" i="12"/>
  <c r="D12" i="12" a="1"/>
  <c r="D12" i="12"/>
  <c r="C12" i="12" a="1"/>
  <c r="C12" i="12"/>
  <c r="B12" i="12" a="1"/>
  <c r="B12" i="12"/>
  <c r="O11" i="12" a="1"/>
  <c r="O11" i="12"/>
  <c r="L11" i="12" a="1"/>
  <c r="L11" i="12"/>
  <c r="M11" i="12" s="1"/>
  <c r="H11" i="12" a="1"/>
  <c r="H11" i="12"/>
  <c r="G11" i="12" a="1"/>
  <c r="G11" i="12"/>
  <c r="F11" i="12" a="1"/>
  <c r="F11" i="12"/>
  <c r="E11" i="12" a="1"/>
  <c r="E11" i="12"/>
  <c r="D11" i="12" a="1"/>
  <c r="D11" i="12"/>
  <c r="C11" i="12" a="1"/>
  <c r="C11" i="12"/>
  <c r="B11" i="12" a="1"/>
  <c r="B11" i="12"/>
  <c r="O10" i="12" a="1"/>
  <c r="O10" i="12"/>
  <c r="L10" i="12" a="1"/>
  <c r="L10" i="12"/>
  <c r="M10" i="12" s="1"/>
  <c r="H10" i="12" a="1"/>
  <c r="H10" i="12"/>
  <c r="G10" i="12" a="1"/>
  <c r="G10" i="12"/>
  <c r="F10" i="12" a="1"/>
  <c r="F10" i="12"/>
  <c r="E10" i="12" a="1"/>
  <c r="E10" i="12"/>
  <c r="D10" i="12" a="1"/>
  <c r="D10" i="12"/>
  <c r="C10" i="12" a="1"/>
  <c r="C10" i="12"/>
  <c r="B10" i="12" a="1"/>
  <c r="B10" i="12"/>
  <c r="O9" i="12" a="1"/>
  <c r="O9" i="12"/>
  <c r="L9" i="12" a="1"/>
  <c r="L9" i="12"/>
  <c r="M9" i="12" s="1"/>
  <c r="H9" i="12" a="1"/>
  <c r="H9" i="12"/>
  <c r="G9" i="12" a="1"/>
  <c r="G9" i="12"/>
  <c r="F9" i="12" a="1"/>
  <c r="F9" i="12"/>
  <c r="E9" i="12" a="1"/>
  <c r="E9" i="12"/>
  <c r="D9" i="12" a="1"/>
  <c r="D9" i="12"/>
  <c r="C9" i="12" a="1"/>
  <c r="C9" i="12"/>
  <c r="B9" i="12" a="1"/>
  <c r="B9" i="12"/>
  <c r="O8" i="12" a="1"/>
  <c r="O8" i="12"/>
  <c r="L8" i="12" a="1"/>
  <c r="L8" i="12"/>
  <c r="M8" i="12" s="1"/>
  <c r="H8" i="12" a="1"/>
  <c r="H8" i="12"/>
  <c r="G8" i="12" a="1"/>
  <c r="G8" i="12"/>
  <c r="F8" i="12" a="1"/>
  <c r="F8" i="12"/>
  <c r="E8" i="12" a="1"/>
  <c r="E8" i="12"/>
  <c r="D8" i="12" a="1"/>
  <c r="D8" i="12"/>
  <c r="C8" i="12" a="1"/>
  <c r="C8" i="12"/>
  <c r="B8" i="12" a="1"/>
  <c r="B8" i="12"/>
  <c r="O7" i="12" a="1"/>
  <c r="O7" i="12"/>
  <c r="L7" i="12" a="1"/>
  <c r="L7" i="12"/>
  <c r="M7" i="12" s="1"/>
  <c r="H7" i="12" a="1"/>
  <c r="H7" i="12"/>
  <c r="G7" i="12" a="1"/>
  <c r="G7" i="12"/>
  <c r="F7" i="12" a="1"/>
  <c r="F7" i="12"/>
  <c r="E7" i="12" a="1"/>
  <c r="E7" i="12"/>
  <c r="D7" i="12" a="1"/>
  <c r="D7" i="12"/>
  <c r="C7" i="12" a="1"/>
  <c r="C7" i="12"/>
  <c r="B7" i="12" a="1"/>
  <c r="B7" i="12"/>
  <c r="O6" i="12" a="1"/>
  <c r="O6" i="12"/>
  <c r="L6" i="12" a="1"/>
  <c r="L6" i="12"/>
  <c r="M6" i="12" s="1"/>
  <c r="H6" i="12" a="1"/>
  <c r="H6" i="12"/>
  <c r="G6" i="12" a="1"/>
  <c r="G6" i="12"/>
  <c r="F6" i="12" a="1"/>
  <c r="F6" i="12"/>
  <c r="E6" i="12" a="1"/>
  <c r="E6" i="12"/>
  <c r="D6" i="12" a="1"/>
  <c r="D6" i="12"/>
  <c r="C6" i="12" a="1"/>
  <c r="C6" i="12"/>
  <c r="B6" i="12" a="1"/>
  <c r="B6" i="12"/>
  <c r="O5" i="12" a="1"/>
  <c r="O5" i="12"/>
  <c r="L5" i="12" a="1"/>
  <c r="L5" i="12"/>
  <c r="M5" i="12" s="1"/>
  <c r="H5" i="12" a="1"/>
  <c r="H5" i="12"/>
  <c r="G5" i="12" a="1"/>
  <c r="G5" i="12"/>
  <c r="F5" i="12" a="1"/>
  <c r="F5" i="12"/>
  <c r="E5" i="12" a="1"/>
  <c r="E5" i="12"/>
  <c r="D5" i="12" a="1"/>
  <c r="D5" i="12"/>
  <c r="C5" i="12" a="1"/>
  <c r="C5" i="12"/>
  <c r="B5" i="12" a="1"/>
  <c r="B5" i="12"/>
  <c r="O4" i="12" a="1"/>
  <c r="O4" i="12"/>
  <c r="L4" i="12" a="1"/>
  <c r="L4" i="12"/>
  <c r="M4" i="12" s="1"/>
  <c r="H4" i="12" a="1"/>
  <c r="H4" i="12"/>
  <c r="G4" i="12" a="1"/>
  <c r="G4" i="12"/>
  <c r="F4" i="12" a="1"/>
  <c r="F4" i="12"/>
  <c r="E4" i="12" a="1"/>
  <c r="E4" i="12"/>
  <c r="D4" i="12" a="1"/>
  <c r="D4" i="12"/>
  <c r="C4" i="12" a="1"/>
  <c r="C4" i="12"/>
  <c r="B4" i="12" a="1"/>
  <c r="B4" i="12"/>
  <c r="O3" i="12" a="1"/>
  <c r="O3" i="12"/>
  <c r="L3" i="12" a="1"/>
  <c r="L3" i="12"/>
  <c r="M3" i="12" s="1"/>
  <c r="H3" i="12" a="1"/>
  <c r="H3" i="12"/>
  <c r="G3" i="12" a="1"/>
  <c r="G3" i="12"/>
  <c r="F3" i="12" a="1"/>
  <c r="F3" i="12"/>
  <c r="E3" i="12" a="1"/>
  <c r="E3" i="12"/>
  <c r="D3" i="12" a="1"/>
  <c r="D3" i="12"/>
  <c r="C3" i="12" a="1"/>
  <c r="C3" i="12"/>
  <c r="B3" i="12" a="1"/>
  <c r="B3" i="12"/>
  <c r="O2" i="12" a="1"/>
  <c r="O2" i="12"/>
  <c r="L2" i="12" a="1"/>
  <c r="L2" i="12"/>
  <c r="M2" i="12" s="1"/>
  <c r="H2" i="12" a="1"/>
  <c r="H2" i="12"/>
  <c r="G2" i="12" a="1"/>
  <c r="G2" i="12"/>
  <c r="F2" i="12" a="1"/>
  <c r="F2" i="12"/>
  <c r="E2" i="12" a="1"/>
  <c r="E2" i="12"/>
  <c r="D2" i="12" a="1"/>
  <c r="D2" i="12"/>
  <c r="C2" i="12" a="1"/>
  <c r="C2" i="12"/>
  <c r="B2" i="12" a="1"/>
  <c r="B2" i="12"/>
  <c r="N51" i="10" a="1"/>
  <c r="N51" i="10"/>
  <c r="L51" i="10" a="1"/>
  <c r="L51" i="10"/>
  <c r="M51" i="10" s="1"/>
  <c r="H51" i="10" a="1"/>
  <c r="H51" i="10"/>
  <c r="G51" i="10" a="1"/>
  <c r="G51" i="10"/>
  <c r="F51" i="10" a="1"/>
  <c r="F51" i="10"/>
  <c r="E51" i="10" a="1"/>
  <c r="E51" i="10"/>
  <c r="D51" i="10" a="1"/>
  <c r="D51" i="10"/>
  <c r="C51" i="10" a="1"/>
  <c r="C51" i="10"/>
  <c r="B51" i="10" a="1"/>
  <c r="B51" i="10"/>
  <c r="N50" i="10" a="1"/>
  <c r="N50" i="10"/>
  <c r="L50" i="10" a="1"/>
  <c r="L50" i="10"/>
  <c r="M50" i="10" s="1"/>
  <c r="H50" i="10" a="1"/>
  <c r="H50" i="10"/>
  <c r="G50" i="10" a="1"/>
  <c r="G50" i="10"/>
  <c r="F50" i="10" a="1"/>
  <c r="F50" i="10"/>
  <c r="E50" i="10" a="1"/>
  <c r="E50" i="10"/>
  <c r="D50" i="10" a="1"/>
  <c r="D50" i="10"/>
  <c r="C50" i="10" a="1"/>
  <c r="C50" i="10"/>
  <c r="B50" i="10" a="1"/>
  <c r="B50" i="10"/>
  <c r="N49" i="10" a="1"/>
  <c r="N49" i="10"/>
  <c r="L49" i="10" a="1"/>
  <c r="L49" i="10"/>
  <c r="M49" i="10" s="1"/>
  <c r="H49" i="10" a="1"/>
  <c r="H49" i="10"/>
  <c r="G49" i="10" a="1"/>
  <c r="G49" i="10"/>
  <c r="F49" i="10" a="1"/>
  <c r="F49" i="10"/>
  <c r="E49" i="10" a="1"/>
  <c r="E49" i="10"/>
  <c r="D49" i="10" a="1"/>
  <c r="D49" i="10"/>
  <c r="C49" i="10" a="1"/>
  <c r="C49" i="10"/>
  <c r="B49" i="10" a="1"/>
  <c r="B49" i="10"/>
  <c r="N48" i="10" a="1"/>
  <c r="N48" i="10"/>
  <c r="L48" i="10" a="1"/>
  <c r="L48" i="10"/>
  <c r="M48" i="10" s="1"/>
  <c r="H48" i="10" a="1"/>
  <c r="H48" i="10"/>
  <c r="G48" i="10" a="1"/>
  <c r="G48" i="10"/>
  <c r="F48" i="10" a="1"/>
  <c r="F48" i="10"/>
  <c r="E48" i="10" a="1"/>
  <c r="E48" i="10"/>
  <c r="D48" i="10" a="1"/>
  <c r="D48" i="10"/>
  <c r="C48" i="10" a="1"/>
  <c r="C48" i="10"/>
  <c r="B48" i="10" a="1"/>
  <c r="B48" i="10"/>
  <c r="N47" i="10" a="1"/>
  <c r="N47" i="10"/>
  <c r="L47" i="10" a="1"/>
  <c r="L47" i="10"/>
  <c r="M47" i="10" s="1"/>
  <c r="H47" i="10" a="1"/>
  <c r="H47" i="10"/>
  <c r="G47" i="10" a="1"/>
  <c r="G47" i="10"/>
  <c r="F47" i="10" a="1"/>
  <c r="F47" i="10"/>
  <c r="E47" i="10" a="1"/>
  <c r="E47" i="10"/>
  <c r="D47" i="10" a="1"/>
  <c r="D47" i="10"/>
  <c r="C47" i="10" a="1"/>
  <c r="C47" i="10"/>
  <c r="B47" i="10" a="1"/>
  <c r="B47" i="10"/>
  <c r="N46" i="10" a="1"/>
  <c r="N46" i="10"/>
  <c r="L46" i="10" a="1"/>
  <c r="L46" i="10"/>
  <c r="M46" i="10" s="1"/>
  <c r="H46" i="10" a="1"/>
  <c r="H46" i="10"/>
  <c r="G46" i="10" a="1"/>
  <c r="G46" i="10"/>
  <c r="F46" i="10" a="1"/>
  <c r="F46" i="10"/>
  <c r="E46" i="10" a="1"/>
  <c r="E46" i="10"/>
  <c r="D46" i="10" a="1"/>
  <c r="D46" i="10"/>
  <c r="C46" i="10" a="1"/>
  <c r="C46" i="10"/>
  <c r="B46" i="10" a="1"/>
  <c r="B46" i="10"/>
  <c r="N45" i="10" a="1"/>
  <c r="N45" i="10"/>
  <c r="L45" i="10" a="1"/>
  <c r="L45" i="10"/>
  <c r="M45" i="10" s="1"/>
  <c r="H45" i="10" a="1"/>
  <c r="H45" i="10"/>
  <c r="G45" i="10" a="1"/>
  <c r="G45" i="10"/>
  <c r="F45" i="10" a="1"/>
  <c r="F45" i="10"/>
  <c r="E45" i="10" a="1"/>
  <c r="E45" i="10"/>
  <c r="D45" i="10" a="1"/>
  <c r="D45" i="10"/>
  <c r="C45" i="10" a="1"/>
  <c r="C45" i="10"/>
  <c r="B45" i="10" a="1"/>
  <c r="B45" i="10"/>
  <c r="N44" i="10" a="1"/>
  <c r="N44" i="10"/>
  <c r="L44" i="10" a="1"/>
  <c r="L44" i="10"/>
  <c r="M44" i="10" s="1"/>
  <c r="H44" i="10" a="1"/>
  <c r="H44" i="10"/>
  <c r="G44" i="10" a="1"/>
  <c r="G44" i="10"/>
  <c r="F44" i="10" a="1"/>
  <c r="F44" i="10"/>
  <c r="E44" i="10" a="1"/>
  <c r="E44" i="10"/>
  <c r="D44" i="10" a="1"/>
  <c r="D44" i="10"/>
  <c r="C44" i="10" a="1"/>
  <c r="C44" i="10"/>
  <c r="B44" i="10" a="1"/>
  <c r="B44" i="10"/>
  <c r="N43" i="10" a="1"/>
  <c r="N43" i="10"/>
  <c r="L43" i="10" a="1"/>
  <c r="L43" i="10"/>
  <c r="M43" i="10" s="1"/>
  <c r="H43" i="10" a="1"/>
  <c r="H43" i="10"/>
  <c r="G43" i="10" a="1"/>
  <c r="G43" i="10"/>
  <c r="F43" i="10" a="1"/>
  <c r="F43" i="10"/>
  <c r="E43" i="10" a="1"/>
  <c r="E43" i="10"/>
  <c r="D43" i="10" a="1"/>
  <c r="D43" i="10"/>
  <c r="C43" i="10" a="1"/>
  <c r="C43" i="10"/>
  <c r="B43" i="10" a="1"/>
  <c r="B43" i="10"/>
  <c r="N42" i="10" a="1"/>
  <c r="N42" i="10"/>
  <c r="L42" i="10" a="1"/>
  <c r="L42" i="10"/>
  <c r="M42" i="10" s="1"/>
  <c r="H42" i="10" a="1"/>
  <c r="H42" i="10"/>
  <c r="G42" i="10" a="1"/>
  <c r="G42" i="10"/>
  <c r="F42" i="10" a="1"/>
  <c r="F42" i="10"/>
  <c r="E42" i="10" a="1"/>
  <c r="E42" i="10"/>
  <c r="D42" i="10" a="1"/>
  <c r="D42" i="10"/>
  <c r="C42" i="10" a="1"/>
  <c r="C42" i="10"/>
  <c r="B42" i="10" a="1"/>
  <c r="B42" i="10"/>
  <c r="N41" i="10" a="1"/>
  <c r="N41" i="10"/>
  <c r="L41" i="10" a="1"/>
  <c r="L41" i="10"/>
  <c r="M41" i="10" s="1"/>
  <c r="H41" i="10" a="1"/>
  <c r="H41" i="10"/>
  <c r="G41" i="10" a="1"/>
  <c r="G41" i="10"/>
  <c r="F41" i="10" a="1"/>
  <c r="F41" i="10"/>
  <c r="E41" i="10" a="1"/>
  <c r="E41" i="10"/>
  <c r="D41" i="10" a="1"/>
  <c r="D41" i="10"/>
  <c r="C41" i="10" a="1"/>
  <c r="C41" i="10"/>
  <c r="B41" i="10" a="1"/>
  <c r="B41" i="10"/>
  <c r="N40" i="10" a="1"/>
  <c r="N40" i="10"/>
  <c r="L40" i="10" a="1"/>
  <c r="L40" i="10"/>
  <c r="M40" i="10" s="1"/>
  <c r="H40" i="10" a="1"/>
  <c r="H40" i="10"/>
  <c r="G40" i="10" a="1"/>
  <c r="G40" i="10"/>
  <c r="F40" i="10" a="1"/>
  <c r="F40" i="10"/>
  <c r="E40" i="10" a="1"/>
  <c r="E40" i="10"/>
  <c r="D40" i="10" a="1"/>
  <c r="D40" i="10"/>
  <c r="C40" i="10" a="1"/>
  <c r="C40" i="10"/>
  <c r="B40" i="10" a="1"/>
  <c r="B40" i="10"/>
  <c r="N39" i="10" a="1"/>
  <c r="N39" i="10"/>
  <c r="L39" i="10" a="1"/>
  <c r="L39" i="10"/>
  <c r="M39" i="10" s="1"/>
  <c r="H39" i="10" a="1"/>
  <c r="H39" i="10"/>
  <c r="G39" i="10" a="1"/>
  <c r="G39" i="10"/>
  <c r="F39" i="10" a="1"/>
  <c r="F39" i="10"/>
  <c r="E39" i="10" a="1"/>
  <c r="E39" i="10"/>
  <c r="D39" i="10" a="1"/>
  <c r="D39" i="10"/>
  <c r="C39" i="10" a="1"/>
  <c r="C39" i="10"/>
  <c r="B39" i="10" a="1"/>
  <c r="B39" i="10"/>
  <c r="N38" i="10" a="1"/>
  <c r="N38" i="10"/>
  <c r="L38" i="10" a="1"/>
  <c r="L38" i="10"/>
  <c r="M38" i="10" s="1"/>
  <c r="H38" i="10" a="1"/>
  <c r="H38" i="10"/>
  <c r="G38" i="10" a="1"/>
  <c r="G38" i="10"/>
  <c r="F38" i="10" a="1"/>
  <c r="F38" i="10"/>
  <c r="E38" i="10" a="1"/>
  <c r="E38" i="10"/>
  <c r="D38" i="10" a="1"/>
  <c r="D38" i="10"/>
  <c r="C38" i="10" a="1"/>
  <c r="C38" i="10"/>
  <c r="B38" i="10" a="1"/>
  <c r="B38" i="10"/>
  <c r="N37" i="10" a="1"/>
  <c r="N37" i="10"/>
  <c r="L37" i="10" a="1"/>
  <c r="L37" i="10"/>
  <c r="M37" i="10" s="1"/>
  <c r="H37" i="10" a="1"/>
  <c r="H37" i="10"/>
  <c r="G37" i="10" a="1"/>
  <c r="G37" i="10"/>
  <c r="F37" i="10" a="1"/>
  <c r="F37" i="10"/>
  <c r="E37" i="10" a="1"/>
  <c r="E37" i="10"/>
  <c r="D37" i="10" a="1"/>
  <c r="D37" i="10"/>
  <c r="C37" i="10" a="1"/>
  <c r="C37" i="10"/>
  <c r="B37" i="10" a="1"/>
  <c r="B37" i="10"/>
  <c r="N36" i="10" a="1"/>
  <c r="N36" i="10"/>
  <c r="L36" i="10" a="1"/>
  <c r="L36" i="10"/>
  <c r="M36" i="10" s="1"/>
  <c r="H36" i="10" a="1"/>
  <c r="H36" i="10"/>
  <c r="G36" i="10" a="1"/>
  <c r="G36" i="10"/>
  <c r="F36" i="10" a="1"/>
  <c r="F36" i="10"/>
  <c r="E36" i="10" a="1"/>
  <c r="E36" i="10"/>
  <c r="D36" i="10" a="1"/>
  <c r="D36" i="10"/>
  <c r="C36" i="10" a="1"/>
  <c r="C36" i="10"/>
  <c r="B36" i="10" a="1"/>
  <c r="B36" i="10"/>
  <c r="N35" i="10" a="1"/>
  <c r="N35" i="10"/>
  <c r="L35" i="10" a="1"/>
  <c r="L35" i="10"/>
  <c r="M35" i="10" s="1"/>
  <c r="H35" i="10" a="1"/>
  <c r="H35" i="10"/>
  <c r="G35" i="10" a="1"/>
  <c r="G35" i="10"/>
  <c r="F35" i="10" a="1"/>
  <c r="F35" i="10"/>
  <c r="E35" i="10" a="1"/>
  <c r="E35" i="10"/>
  <c r="D35" i="10" a="1"/>
  <c r="D35" i="10"/>
  <c r="C35" i="10" a="1"/>
  <c r="C35" i="10"/>
  <c r="B35" i="10" a="1"/>
  <c r="B35" i="10"/>
  <c r="N34" i="10" a="1"/>
  <c r="N34" i="10"/>
  <c r="L34" i="10" a="1"/>
  <c r="L34" i="10"/>
  <c r="M34" i="10" s="1"/>
  <c r="H34" i="10" a="1"/>
  <c r="H34" i="10"/>
  <c r="G34" i="10" a="1"/>
  <c r="G34" i="10"/>
  <c r="F34" i="10" a="1"/>
  <c r="F34" i="10"/>
  <c r="E34" i="10" a="1"/>
  <c r="E34" i="10"/>
  <c r="D34" i="10" a="1"/>
  <c r="D34" i="10"/>
  <c r="C34" i="10" a="1"/>
  <c r="C34" i="10"/>
  <c r="B34" i="10" a="1"/>
  <c r="B34" i="10"/>
  <c r="N33" i="10" a="1"/>
  <c r="N33" i="10"/>
  <c r="L33" i="10" a="1"/>
  <c r="L33" i="10"/>
  <c r="M33" i="10" s="1"/>
  <c r="H33" i="10" a="1"/>
  <c r="H33" i="10"/>
  <c r="G33" i="10" a="1"/>
  <c r="G33" i="10"/>
  <c r="F33" i="10" a="1"/>
  <c r="F33" i="10"/>
  <c r="E33" i="10" a="1"/>
  <c r="E33" i="10"/>
  <c r="D33" i="10" a="1"/>
  <c r="D33" i="10"/>
  <c r="C33" i="10" a="1"/>
  <c r="C33" i="10"/>
  <c r="B33" i="10" a="1"/>
  <c r="B33" i="10"/>
  <c r="N32" i="10" a="1"/>
  <c r="N32" i="10"/>
  <c r="L32" i="10" a="1"/>
  <c r="L32" i="10"/>
  <c r="M32" i="10" s="1"/>
  <c r="H32" i="10" a="1"/>
  <c r="H32" i="10"/>
  <c r="G32" i="10" a="1"/>
  <c r="G32" i="10"/>
  <c r="F32" i="10" a="1"/>
  <c r="F32" i="10"/>
  <c r="E32" i="10" a="1"/>
  <c r="E32" i="10"/>
  <c r="D32" i="10" a="1"/>
  <c r="D32" i="10"/>
  <c r="C32" i="10" a="1"/>
  <c r="C32" i="10"/>
  <c r="B32" i="10" a="1"/>
  <c r="B32" i="10"/>
  <c r="N31" i="10" a="1"/>
  <c r="N31" i="10"/>
  <c r="L31" i="10" a="1"/>
  <c r="L31" i="10"/>
  <c r="M31" i="10" s="1"/>
  <c r="H31" i="10" a="1"/>
  <c r="H31" i="10"/>
  <c r="G31" i="10" a="1"/>
  <c r="G31" i="10"/>
  <c r="F31" i="10" a="1"/>
  <c r="F31" i="10"/>
  <c r="E31" i="10" a="1"/>
  <c r="E31" i="10"/>
  <c r="D31" i="10" a="1"/>
  <c r="D31" i="10"/>
  <c r="C31" i="10" a="1"/>
  <c r="C31" i="10"/>
  <c r="B31" i="10" a="1"/>
  <c r="B31" i="10"/>
  <c r="N30" i="10" a="1"/>
  <c r="N30" i="10"/>
  <c r="L30" i="10" a="1"/>
  <c r="L30" i="10"/>
  <c r="M30" i="10" s="1"/>
  <c r="H30" i="10" a="1"/>
  <c r="H30" i="10"/>
  <c r="G30" i="10" a="1"/>
  <c r="G30" i="10"/>
  <c r="F30" i="10" a="1"/>
  <c r="F30" i="10"/>
  <c r="E30" i="10" a="1"/>
  <c r="E30" i="10"/>
  <c r="D30" i="10" a="1"/>
  <c r="D30" i="10"/>
  <c r="C30" i="10" a="1"/>
  <c r="C30" i="10"/>
  <c r="B30" i="10" a="1"/>
  <c r="B30" i="10"/>
  <c r="N29" i="10" a="1"/>
  <c r="N29" i="10"/>
  <c r="L29" i="10" a="1"/>
  <c r="L29" i="10"/>
  <c r="M29" i="10" s="1"/>
  <c r="H29" i="10" a="1"/>
  <c r="H29" i="10"/>
  <c r="G29" i="10" a="1"/>
  <c r="G29" i="10"/>
  <c r="F29" i="10" a="1"/>
  <c r="F29" i="10"/>
  <c r="E29" i="10" a="1"/>
  <c r="E29" i="10"/>
  <c r="D29" i="10" a="1"/>
  <c r="D29" i="10"/>
  <c r="C29" i="10" a="1"/>
  <c r="C29" i="10"/>
  <c r="B29" i="10" a="1"/>
  <c r="B29" i="10"/>
  <c r="N28" i="10" a="1"/>
  <c r="N28" i="10"/>
  <c r="L28" i="10" a="1"/>
  <c r="L28" i="10"/>
  <c r="M28" i="10" s="1"/>
  <c r="H28" i="10" a="1"/>
  <c r="H28" i="10"/>
  <c r="G28" i="10" a="1"/>
  <c r="G28" i="10"/>
  <c r="F28" i="10" a="1"/>
  <c r="F28" i="10"/>
  <c r="E28" i="10" a="1"/>
  <c r="E28" i="10"/>
  <c r="D28" i="10" a="1"/>
  <c r="D28" i="10"/>
  <c r="C28" i="10" a="1"/>
  <c r="C28" i="10"/>
  <c r="B28" i="10" a="1"/>
  <c r="B28" i="10"/>
  <c r="N27" i="10" a="1"/>
  <c r="N27" i="10"/>
  <c r="L27" i="10" a="1"/>
  <c r="L27" i="10"/>
  <c r="M27" i="10" s="1"/>
  <c r="H27" i="10" a="1"/>
  <c r="H27" i="10"/>
  <c r="G27" i="10" a="1"/>
  <c r="G27" i="10"/>
  <c r="F27" i="10" a="1"/>
  <c r="F27" i="10"/>
  <c r="E27" i="10" a="1"/>
  <c r="E27" i="10"/>
  <c r="D27" i="10" a="1"/>
  <c r="D27" i="10"/>
  <c r="C27" i="10" a="1"/>
  <c r="C27" i="10"/>
  <c r="B27" i="10" a="1"/>
  <c r="B27" i="10"/>
  <c r="N26" i="10" a="1"/>
  <c r="N26" i="10"/>
  <c r="L26" i="10" a="1"/>
  <c r="L26" i="10"/>
  <c r="M26" i="10" s="1"/>
  <c r="H26" i="10" a="1"/>
  <c r="H26" i="10"/>
  <c r="G26" i="10" a="1"/>
  <c r="G26" i="10"/>
  <c r="F26" i="10" a="1"/>
  <c r="F26" i="10"/>
  <c r="E26" i="10" a="1"/>
  <c r="E26" i="10"/>
  <c r="D26" i="10" a="1"/>
  <c r="D26" i="10"/>
  <c r="C26" i="10" a="1"/>
  <c r="C26" i="10"/>
  <c r="B26" i="10" a="1"/>
  <c r="B26" i="10"/>
  <c r="N25" i="10" a="1"/>
  <c r="N25" i="10"/>
  <c r="L25" i="10" a="1"/>
  <c r="L25" i="10"/>
  <c r="M25" i="10" s="1"/>
  <c r="H25" i="10" a="1"/>
  <c r="H25" i="10"/>
  <c r="G25" i="10" a="1"/>
  <c r="G25" i="10"/>
  <c r="F25" i="10" a="1"/>
  <c r="F25" i="10"/>
  <c r="E25" i="10" a="1"/>
  <c r="E25" i="10"/>
  <c r="D25" i="10" a="1"/>
  <c r="D25" i="10"/>
  <c r="C25" i="10" a="1"/>
  <c r="C25" i="10"/>
  <c r="B25" i="10" a="1"/>
  <c r="B25" i="10"/>
  <c r="N24" i="10" a="1"/>
  <c r="N24" i="10"/>
  <c r="L24" i="10" a="1"/>
  <c r="L24" i="10"/>
  <c r="M24" i="10" s="1"/>
  <c r="H24" i="10" a="1"/>
  <c r="H24" i="10"/>
  <c r="G24" i="10" a="1"/>
  <c r="G24" i="10"/>
  <c r="F24" i="10" a="1"/>
  <c r="F24" i="10"/>
  <c r="E24" i="10" a="1"/>
  <c r="E24" i="10"/>
  <c r="D24" i="10" a="1"/>
  <c r="D24" i="10"/>
  <c r="C24" i="10" a="1"/>
  <c r="C24" i="10"/>
  <c r="B24" i="10" a="1"/>
  <c r="B24" i="10"/>
  <c r="N23" i="10" a="1"/>
  <c r="N23" i="10"/>
  <c r="L23" i="10" a="1"/>
  <c r="L23" i="10"/>
  <c r="M23" i="10" s="1"/>
  <c r="H23" i="10" a="1"/>
  <c r="H23" i="10"/>
  <c r="G23" i="10" a="1"/>
  <c r="G23" i="10"/>
  <c r="F23" i="10" a="1"/>
  <c r="F23" i="10"/>
  <c r="E23" i="10" a="1"/>
  <c r="E23" i="10"/>
  <c r="D23" i="10" a="1"/>
  <c r="D23" i="10"/>
  <c r="C23" i="10" a="1"/>
  <c r="C23" i="10"/>
  <c r="B23" i="10" a="1"/>
  <c r="B23" i="10"/>
  <c r="N22" i="10" a="1"/>
  <c r="N22" i="10"/>
  <c r="L22" i="10" a="1"/>
  <c r="L22" i="10"/>
  <c r="M22" i="10" s="1"/>
  <c r="H22" i="10" a="1"/>
  <c r="H22" i="10"/>
  <c r="G22" i="10" a="1"/>
  <c r="G22" i="10"/>
  <c r="F22" i="10" a="1"/>
  <c r="F22" i="10"/>
  <c r="E22" i="10" a="1"/>
  <c r="E22" i="10"/>
  <c r="D22" i="10" a="1"/>
  <c r="D22" i="10"/>
  <c r="C22" i="10" a="1"/>
  <c r="C22" i="10"/>
  <c r="B22" i="10" a="1"/>
  <c r="B22" i="10"/>
  <c r="N21" i="10" a="1"/>
  <c r="N21" i="10"/>
  <c r="L21" i="10" a="1"/>
  <c r="L21" i="10"/>
  <c r="M21" i="10" s="1"/>
  <c r="H21" i="10" a="1"/>
  <c r="H21" i="10"/>
  <c r="G21" i="10" a="1"/>
  <c r="G21" i="10"/>
  <c r="F21" i="10" a="1"/>
  <c r="F21" i="10"/>
  <c r="E21" i="10" a="1"/>
  <c r="E21" i="10"/>
  <c r="D21" i="10" a="1"/>
  <c r="D21" i="10"/>
  <c r="C21" i="10" a="1"/>
  <c r="C21" i="10"/>
  <c r="B21" i="10" a="1"/>
  <c r="B21" i="10"/>
  <c r="N20" i="10" a="1"/>
  <c r="N20" i="10"/>
  <c r="L20" i="10" a="1"/>
  <c r="L20" i="10"/>
  <c r="M20" i="10" s="1"/>
  <c r="H20" i="10" a="1"/>
  <c r="H20" i="10"/>
  <c r="G20" i="10" a="1"/>
  <c r="G20" i="10"/>
  <c r="F20" i="10" a="1"/>
  <c r="F20" i="10"/>
  <c r="E20" i="10" a="1"/>
  <c r="E20" i="10"/>
  <c r="D20" i="10" a="1"/>
  <c r="D20" i="10"/>
  <c r="C20" i="10" a="1"/>
  <c r="C20" i="10"/>
  <c r="B20" i="10" a="1"/>
  <c r="B20" i="10"/>
  <c r="N19" i="10" a="1"/>
  <c r="N19" i="10"/>
  <c r="L19" i="10" a="1"/>
  <c r="L19" i="10"/>
  <c r="M19" i="10" s="1"/>
  <c r="H19" i="10" a="1"/>
  <c r="H19" i="10"/>
  <c r="G19" i="10" a="1"/>
  <c r="G19" i="10"/>
  <c r="F19" i="10" a="1"/>
  <c r="F19" i="10"/>
  <c r="E19" i="10" a="1"/>
  <c r="E19" i="10"/>
  <c r="D19" i="10" a="1"/>
  <c r="D19" i="10"/>
  <c r="C19" i="10" a="1"/>
  <c r="C19" i="10"/>
  <c r="B19" i="10" a="1"/>
  <c r="B19" i="10"/>
  <c r="N18" i="10" a="1"/>
  <c r="N18" i="10"/>
  <c r="L18" i="10" a="1"/>
  <c r="L18" i="10"/>
  <c r="M18" i="10" s="1"/>
  <c r="H18" i="10" a="1"/>
  <c r="H18" i="10"/>
  <c r="G18" i="10" a="1"/>
  <c r="G18" i="10"/>
  <c r="F18" i="10" a="1"/>
  <c r="F18" i="10"/>
  <c r="E18" i="10" a="1"/>
  <c r="E18" i="10"/>
  <c r="D18" i="10" a="1"/>
  <c r="D18" i="10"/>
  <c r="C18" i="10" a="1"/>
  <c r="C18" i="10"/>
  <c r="B18" i="10" a="1"/>
  <c r="B18" i="10"/>
  <c r="N17" i="10" a="1"/>
  <c r="N17" i="10"/>
  <c r="L17" i="10" a="1"/>
  <c r="L17" i="10"/>
  <c r="M17" i="10" s="1"/>
  <c r="H17" i="10" a="1"/>
  <c r="H17" i="10"/>
  <c r="G17" i="10" a="1"/>
  <c r="G17" i="10"/>
  <c r="F17" i="10" a="1"/>
  <c r="F17" i="10"/>
  <c r="E17" i="10" a="1"/>
  <c r="E17" i="10"/>
  <c r="D17" i="10" a="1"/>
  <c r="D17" i="10"/>
  <c r="C17" i="10" a="1"/>
  <c r="C17" i="10"/>
  <c r="B17" i="10" a="1"/>
  <c r="B17" i="10"/>
  <c r="N16" i="10" a="1"/>
  <c r="N16" i="10"/>
  <c r="L16" i="10" a="1"/>
  <c r="L16" i="10"/>
  <c r="M16" i="10" s="1"/>
  <c r="H16" i="10" a="1"/>
  <c r="H16" i="10"/>
  <c r="G16" i="10" a="1"/>
  <c r="G16" i="10"/>
  <c r="F16" i="10" a="1"/>
  <c r="F16" i="10"/>
  <c r="E16" i="10" a="1"/>
  <c r="E16" i="10"/>
  <c r="D16" i="10" a="1"/>
  <c r="D16" i="10"/>
  <c r="C16" i="10" a="1"/>
  <c r="C16" i="10"/>
  <c r="B16" i="10" a="1"/>
  <c r="B16" i="10"/>
  <c r="N15" i="10" a="1"/>
  <c r="N15" i="10"/>
  <c r="L15" i="10" a="1"/>
  <c r="L15" i="10"/>
  <c r="M15" i="10" s="1"/>
  <c r="H15" i="10" a="1"/>
  <c r="H15" i="10"/>
  <c r="G15" i="10" a="1"/>
  <c r="G15" i="10"/>
  <c r="F15" i="10" a="1"/>
  <c r="F15" i="10"/>
  <c r="E15" i="10" a="1"/>
  <c r="E15" i="10"/>
  <c r="D15" i="10" a="1"/>
  <c r="D15" i="10"/>
  <c r="C15" i="10" a="1"/>
  <c r="C15" i="10"/>
  <c r="B15" i="10" a="1"/>
  <c r="B15" i="10"/>
  <c r="N14" i="10" a="1"/>
  <c r="N14" i="10"/>
  <c r="L14" i="10" a="1"/>
  <c r="L14" i="10"/>
  <c r="M14" i="10" s="1"/>
  <c r="H14" i="10" a="1"/>
  <c r="H14" i="10"/>
  <c r="G14" i="10" a="1"/>
  <c r="G14" i="10"/>
  <c r="F14" i="10" a="1"/>
  <c r="F14" i="10"/>
  <c r="E14" i="10" a="1"/>
  <c r="E14" i="10"/>
  <c r="D14" i="10" a="1"/>
  <c r="D14" i="10"/>
  <c r="C14" i="10" a="1"/>
  <c r="C14" i="10"/>
  <c r="B14" i="10" a="1"/>
  <c r="B14" i="10"/>
  <c r="N13" i="10" a="1"/>
  <c r="N13" i="10"/>
  <c r="L13" i="10" a="1"/>
  <c r="L13" i="10"/>
  <c r="M13" i="10" s="1"/>
  <c r="H13" i="10" a="1"/>
  <c r="H13" i="10"/>
  <c r="G13" i="10" a="1"/>
  <c r="G13" i="10"/>
  <c r="F13" i="10" a="1"/>
  <c r="F13" i="10"/>
  <c r="E13" i="10" a="1"/>
  <c r="E13" i="10"/>
  <c r="D13" i="10" a="1"/>
  <c r="D13" i="10"/>
  <c r="C13" i="10" a="1"/>
  <c r="C13" i="10"/>
  <c r="B13" i="10" a="1"/>
  <c r="B13" i="10"/>
  <c r="N12" i="10" a="1"/>
  <c r="N12" i="10"/>
  <c r="L12" i="10" a="1"/>
  <c r="L12" i="10"/>
  <c r="M12" i="10" s="1"/>
  <c r="H12" i="10" a="1"/>
  <c r="H12" i="10"/>
  <c r="G12" i="10" a="1"/>
  <c r="G12" i="10"/>
  <c r="F12" i="10" a="1"/>
  <c r="F12" i="10"/>
  <c r="E12" i="10" a="1"/>
  <c r="E12" i="10"/>
  <c r="D12" i="10" a="1"/>
  <c r="D12" i="10"/>
  <c r="C12" i="10" a="1"/>
  <c r="C12" i="10"/>
  <c r="B12" i="10" a="1"/>
  <c r="B12" i="10"/>
  <c r="N11" i="10" a="1"/>
  <c r="N11" i="10"/>
  <c r="L11" i="10" a="1"/>
  <c r="L11" i="10"/>
  <c r="M11" i="10" s="1"/>
  <c r="H11" i="10" a="1"/>
  <c r="H11" i="10"/>
  <c r="G11" i="10" a="1"/>
  <c r="G11" i="10"/>
  <c r="F11" i="10" a="1"/>
  <c r="F11" i="10"/>
  <c r="E11" i="10" a="1"/>
  <c r="E11" i="10"/>
  <c r="D11" i="10" a="1"/>
  <c r="D11" i="10"/>
  <c r="C11" i="10" a="1"/>
  <c r="C11" i="10"/>
  <c r="B11" i="10" a="1"/>
  <c r="B11" i="10"/>
  <c r="N10" i="10" a="1"/>
  <c r="N10" i="10"/>
  <c r="L10" i="10" a="1"/>
  <c r="L10" i="10"/>
  <c r="M10" i="10" s="1"/>
  <c r="H10" i="10" a="1"/>
  <c r="H10" i="10"/>
  <c r="G10" i="10" a="1"/>
  <c r="G10" i="10"/>
  <c r="F10" i="10" a="1"/>
  <c r="F10" i="10"/>
  <c r="E10" i="10" a="1"/>
  <c r="E10" i="10"/>
  <c r="D10" i="10" a="1"/>
  <c r="D10" i="10"/>
  <c r="C10" i="10" a="1"/>
  <c r="C10" i="10"/>
  <c r="B10" i="10" a="1"/>
  <c r="B10" i="10"/>
  <c r="N9" i="10" a="1"/>
  <c r="N9" i="10"/>
  <c r="L9" i="10" a="1"/>
  <c r="L9" i="10"/>
  <c r="M9" i="10" s="1"/>
  <c r="H9" i="10" a="1"/>
  <c r="H9" i="10"/>
  <c r="G9" i="10" a="1"/>
  <c r="G9" i="10"/>
  <c r="F9" i="10" a="1"/>
  <c r="F9" i="10"/>
  <c r="E9" i="10" a="1"/>
  <c r="E9" i="10"/>
  <c r="D9" i="10" a="1"/>
  <c r="D9" i="10"/>
  <c r="C9" i="10" a="1"/>
  <c r="C9" i="10"/>
  <c r="B9" i="10" a="1"/>
  <c r="B9" i="10"/>
  <c r="N8" i="10" a="1"/>
  <c r="N8" i="10"/>
  <c r="L8" i="10" a="1"/>
  <c r="L8" i="10"/>
  <c r="M8" i="10" s="1"/>
  <c r="H8" i="10" a="1"/>
  <c r="H8" i="10"/>
  <c r="G8" i="10" a="1"/>
  <c r="G8" i="10"/>
  <c r="F8" i="10" a="1"/>
  <c r="F8" i="10"/>
  <c r="E8" i="10" a="1"/>
  <c r="E8" i="10"/>
  <c r="D8" i="10" a="1"/>
  <c r="D8" i="10"/>
  <c r="C8" i="10" a="1"/>
  <c r="C8" i="10"/>
  <c r="B8" i="10" a="1"/>
  <c r="B8" i="10"/>
  <c r="N7" i="10" a="1"/>
  <c r="N7" i="10"/>
  <c r="L7" i="10" a="1"/>
  <c r="L7" i="10"/>
  <c r="M7" i="10" s="1"/>
  <c r="H7" i="10" a="1"/>
  <c r="H7" i="10"/>
  <c r="G7" i="10" a="1"/>
  <c r="G7" i="10"/>
  <c r="F7" i="10" a="1"/>
  <c r="F7" i="10"/>
  <c r="E7" i="10" a="1"/>
  <c r="E7" i="10"/>
  <c r="D7" i="10" a="1"/>
  <c r="D7" i="10"/>
  <c r="C7" i="10" a="1"/>
  <c r="C7" i="10"/>
  <c r="B7" i="10" a="1"/>
  <c r="B7" i="10"/>
  <c r="N6" i="10" a="1"/>
  <c r="N6" i="10"/>
  <c r="L6" i="10" a="1"/>
  <c r="L6" i="10"/>
  <c r="M6" i="10" s="1"/>
  <c r="H6" i="10" a="1"/>
  <c r="H6" i="10"/>
  <c r="G6" i="10" a="1"/>
  <c r="G6" i="10"/>
  <c r="F6" i="10" a="1"/>
  <c r="F6" i="10"/>
  <c r="E6" i="10" a="1"/>
  <c r="E6" i="10"/>
  <c r="D6" i="10" a="1"/>
  <c r="D6" i="10"/>
  <c r="C6" i="10" a="1"/>
  <c r="C6" i="10"/>
  <c r="B6" i="10" a="1"/>
  <c r="B6" i="10"/>
  <c r="N5" i="10" a="1"/>
  <c r="N5" i="10"/>
  <c r="L5" i="10" a="1"/>
  <c r="L5" i="10"/>
  <c r="M5" i="10" s="1"/>
  <c r="H5" i="10" a="1"/>
  <c r="H5" i="10"/>
  <c r="G5" i="10" a="1"/>
  <c r="G5" i="10"/>
  <c r="F5" i="10" a="1"/>
  <c r="F5" i="10"/>
  <c r="E5" i="10" a="1"/>
  <c r="E5" i="10"/>
  <c r="D5" i="10" a="1"/>
  <c r="D5" i="10"/>
  <c r="C5" i="10" a="1"/>
  <c r="C5" i="10"/>
  <c r="B5" i="10" a="1"/>
  <c r="B5" i="10"/>
  <c r="N4" i="10" a="1"/>
  <c r="N4" i="10"/>
  <c r="L4" i="10" a="1"/>
  <c r="L4" i="10"/>
  <c r="M4" i="10" s="1"/>
  <c r="H4" i="10" a="1"/>
  <c r="H4" i="10"/>
  <c r="G4" i="10" a="1"/>
  <c r="G4" i="10"/>
  <c r="F4" i="10" a="1"/>
  <c r="F4" i="10"/>
  <c r="E4" i="10" a="1"/>
  <c r="E4" i="10"/>
  <c r="D4" i="10" a="1"/>
  <c r="D4" i="10"/>
  <c r="C4" i="10" a="1"/>
  <c r="C4" i="10"/>
  <c r="B4" i="10" a="1"/>
  <c r="B4" i="10"/>
  <c r="N3" i="10" a="1"/>
  <c r="N3" i="10"/>
  <c r="L3" i="10" a="1"/>
  <c r="L3" i="10"/>
  <c r="M3" i="10" s="1"/>
  <c r="H3" i="10" a="1"/>
  <c r="H3" i="10"/>
  <c r="G3" i="10" a="1"/>
  <c r="G3" i="10"/>
  <c r="F3" i="10" a="1"/>
  <c r="F3" i="10"/>
  <c r="E3" i="10" a="1"/>
  <c r="E3" i="10"/>
  <c r="D3" i="10" a="1"/>
  <c r="D3" i="10"/>
  <c r="C3" i="10" a="1"/>
  <c r="C3" i="10"/>
  <c r="B3" i="10" a="1"/>
  <c r="B3" i="10"/>
  <c r="N2" i="10" a="1"/>
  <c r="N2" i="10"/>
  <c r="L2" i="10" a="1"/>
  <c r="L2" i="10"/>
  <c r="M2" i="10" s="1"/>
  <c r="H2" i="10" a="1"/>
  <c r="H2" i="10"/>
  <c r="G2" i="10" a="1"/>
  <c r="G2" i="10"/>
  <c r="F2" i="10" a="1"/>
  <c r="F2" i="10"/>
  <c r="E2" i="10" a="1"/>
  <c r="E2" i="10"/>
  <c r="D2" i="10" a="1"/>
  <c r="D2" i="10"/>
  <c r="C2" i="10" a="1"/>
  <c r="C2" i="10"/>
  <c r="B2" i="10" a="1"/>
  <c r="B2" i="10"/>
  <c r="H7" i="8" a="1"/>
  <c r="H7" i="8"/>
  <c r="G7" i="8" a="1"/>
  <c r="G7" i="8"/>
  <c r="F7" i="8" a="1"/>
  <c r="F7" i="8"/>
  <c r="E7" i="8" a="1"/>
  <c r="E7" i="8"/>
  <c r="D7" i="8" a="1"/>
  <c r="D7" i="8"/>
  <c r="C7" i="8" a="1"/>
  <c r="C7" i="8"/>
  <c r="B7" i="8" a="1"/>
  <c r="B7" i="8"/>
  <c r="H6" i="8" a="1"/>
  <c r="H6" i="8"/>
  <c r="G6" i="8" a="1"/>
  <c r="G6" i="8"/>
  <c r="F6" i="8" a="1"/>
  <c r="F6" i="8"/>
  <c r="E6" i="8" a="1"/>
  <c r="E6" i="8"/>
  <c r="D6" i="8" a="1"/>
  <c r="D6" i="8"/>
  <c r="C6" i="8" a="1"/>
  <c r="C6" i="8"/>
  <c r="B6" i="8" a="1"/>
  <c r="B6" i="8"/>
  <c r="H5" i="8" a="1"/>
  <c r="H5" i="8"/>
  <c r="G5" i="8" a="1"/>
  <c r="G5" i="8"/>
  <c r="F5" i="8" a="1"/>
  <c r="F5" i="8"/>
  <c r="E5" i="8" a="1"/>
  <c r="E5" i="8"/>
  <c r="D5" i="8" a="1"/>
  <c r="D5" i="8"/>
  <c r="C5" i="8" a="1"/>
  <c r="C5" i="8"/>
  <c r="B5" i="8" a="1"/>
  <c r="B5" i="8"/>
  <c r="H4" i="8" a="1"/>
  <c r="H4" i="8"/>
  <c r="G4" i="8" a="1"/>
  <c r="G4" i="8"/>
  <c r="F4" i="8" a="1"/>
  <c r="F4" i="8"/>
  <c r="E4" i="8" a="1"/>
  <c r="E4" i="8"/>
  <c r="D4" i="8" a="1"/>
  <c r="D4" i="8"/>
  <c r="C4" i="8" a="1"/>
  <c r="C4" i="8"/>
  <c r="B4" i="8" a="1"/>
  <c r="B4" i="8"/>
  <c r="H3" i="8" a="1"/>
  <c r="H3" i="8"/>
  <c r="G3" i="8" a="1"/>
  <c r="G3" i="8"/>
  <c r="F3" i="8" a="1"/>
  <c r="F3" i="8"/>
  <c r="E3" i="8" a="1"/>
  <c r="E3" i="8"/>
  <c r="D3" i="8" a="1"/>
  <c r="D3" i="8"/>
  <c r="C3" i="8" a="1"/>
  <c r="C3" i="8"/>
  <c r="B3" i="8" a="1"/>
  <c r="B3" i="8"/>
  <c r="H2" i="8" a="1"/>
  <c r="H2" i="8"/>
  <c r="G2" i="8" a="1"/>
  <c r="G2" i="8"/>
  <c r="F2" i="8" a="1"/>
  <c r="F2" i="8"/>
  <c r="E2" i="8" a="1"/>
  <c r="E2" i="8"/>
  <c r="D2" i="8" a="1"/>
  <c r="D2" i="8"/>
  <c r="C2" i="8" a="1"/>
  <c r="C2" i="8"/>
  <c r="B2" i="8" a="1"/>
  <c r="B2" i="8"/>
  <c r="M13" i="6" a="1"/>
  <c r="M13" i="6"/>
  <c r="K13" i="6" a="1"/>
  <c r="K13" i="6"/>
  <c r="L13" i="6" s="1"/>
  <c r="J13" i="6" a="1"/>
  <c r="J13" i="6"/>
  <c r="I13" i="6" a="1"/>
  <c r="I13" i="6"/>
  <c r="H13" i="6" a="1"/>
  <c r="H13" i="6"/>
  <c r="G13" i="6" a="1"/>
  <c r="G13" i="6"/>
  <c r="F13" i="6" a="1"/>
  <c r="F13" i="6"/>
  <c r="E13" i="6" a="1"/>
  <c r="E13" i="6"/>
  <c r="D13" i="6" a="1"/>
  <c r="D13" i="6"/>
  <c r="B13" i="6"/>
  <c r="C13" i="6" s="1"/>
  <c r="M12" i="6" a="1"/>
  <c r="M12" i="6"/>
  <c r="K12" i="6" a="1"/>
  <c r="K12" i="6"/>
  <c r="L12" i="6" s="1"/>
  <c r="J12" i="6" a="1"/>
  <c r="J12" i="6"/>
  <c r="I12" i="6" a="1"/>
  <c r="I12" i="6"/>
  <c r="H12" i="6" a="1"/>
  <c r="H12" i="6"/>
  <c r="G12" i="6" a="1"/>
  <c r="G12" i="6"/>
  <c r="F12" i="6" a="1"/>
  <c r="F12" i="6"/>
  <c r="E12" i="6" a="1"/>
  <c r="E12" i="6"/>
  <c r="D12" i="6" a="1"/>
  <c r="D12" i="6"/>
  <c r="B12" i="6"/>
  <c r="C12" i="6" s="1"/>
  <c r="M11" i="6" a="1"/>
  <c r="M11" i="6"/>
  <c r="K11" i="6" a="1"/>
  <c r="K11" i="6"/>
  <c r="L11" i="6" s="1"/>
  <c r="J11" i="6" a="1"/>
  <c r="J11" i="6"/>
  <c r="I11" i="6" a="1"/>
  <c r="I11" i="6"/>
  <c r="H11" i="6" a="1"/>
  <c r="H11" i="6"/>
  <c r="G11" i="6" a="1"/>
  <c r="G11" i="6"/>
  <c r="F11" i="6" a="1"/>
  <c r="F11" i="6"/>
  <c r="E11" i="6" a="1"/>
  <c r="E11" i="6"/>
  <c r="D11" i="6" a="1"/>
  <c r="D11" i="6"/>
  <c r="B11" i="6"/>
  <c r="C11" i="6" s="1"/>
  <c r="M10" i="6" a="1"/>
  <c r="M10" i="6"/>
  <c r="K10" i="6" a="1"/>
  <c r="K10" i="6"/>
  <c r="L10" i="6" s="1"/>
  <c r="J10" i="6" a="1"/>
  <c r="J10" i="6"/>
  <c r="I10" i="6" a="1"/>
  <c r="I10" i="6"/>
  <c r="H10" i="6" a="1"/>
  <c r="H10" i="6"/>
  <c r="G10" i="6" a="1"/>
  <c r="G10" i="6"/>
  <c r="F10" i="6" a="1"/>
  <c r="F10" i="6"/>
  <c r="E10" i="6" a="1"/>
  <c r="E10" i="6"/>
  <c r="D10" i="6" a="1"/>
  <c r="D10" i="6"/>
  <c r="B10" i="6"/>
  <c r="C10" i="6" s="1"/>
  <c r="M9" i="6" a="1"/>
  <c r="M9" i="6"/>
  <c r="K9" i="6" a="1"/>
  <c r="K9" i="6"/>
  <c r="L9" i="6" s="1"/>
  <c r="J9" i="6" a="1"/>
  <c r="J9" i="6"/>
  <c r="I9" i="6" a="1"/>
  <c r="I9" i="6"/>
  <c r="H9" i="6" a="1"/>
  <c r="H9" i="6"/>
  <c r="G9" i="6" a="1"/>
  <c r="G9" i="6"/>
  <c r="F9" i="6" a="1"/>
  <c r="F9" i="6"/>
  <c r="E9" i="6" a="1"/>
  <c r="E9" i="6"/>
  <c r="D9" i="6" a="1"/>
  <c r="D9" i="6"/>
  <c r="B9" i="6"/>
  <c r="C9" i="6" s="1"/>
  <c r="M8" i="6" a="1"/>
  <c r="M8" i="6"/>
  <c r="K8" i="6" a="1"/>
  <c r="K8" i="6"/>
  <c r="L8" i="6" s="1"/>
  <c r="J8" i="6" a="1"/>
  <c r="J8" i="6"/>
  <c r="I8" i="6" a="1"/>
  <c r="I8" i="6"/>
  <c r="H8" i="6" a="1"/>
  <c r="H8" i="6"/>
  <c r="G8" i="6" a="1"/>
  <c r="G8" i="6"/>
  <c r="F8" i="6" a="1"/>
  <c r="F8" i="6"/>
  <c r="E8" i="6" a="1"/>
  <c r="E8" i="6"/>
  <c r="D8" i="6" a="1"/>
  <c r="D8" i="6"/>
  <c r="B8" i="6"/>
  <c r="C8" i="6" s="1"/>
  <c r="M7" i="6" a="1"/>
  <c r="M7" i="6"/>
  <c r="K7" i="6" a="1"/>
  <c r="K7" i="6"/>
  <c r="L7" i="6" s="1"/>
  <c r="J7" i="6" a="1"/>
  <c r="J7" i="6"/>
  <c r="I7" i="6" a="1"/>
  <c r="I7" i="6"/>
  <c r="H7" i="6" a="1"/>
  <c r="H7" i="6"/>
  <c r="G7" i="6" a="1"/>
  <c r="G7" i="6"/>
  <c r="F7" i="6" a="1"/>
  <c r="F7" i="6"/>
  <c r="E7" i="6" a="1"/>
  <c r="E7" i="6"/>
  <c r="D7" i="6" a="1"/>
  <c r="D7" i="6"/>
  <c r="B7" i="6"/>
  <c r="C7" i="6" s="1"/>
  <c r="M6" i="6" a="1"/>
  <c r="M6" i="6"/>
  <c r="K6" i="6" a="1"/>
  <c r="K6" i="6"/>
  <c r="L6" i="6" s="1"/>
  <c r="J6" i="6" a="1"/>
  <c r="J6" i="6"/>
  <c r="I6" i="6" a="1"/>
  <c r="I6" i="6"/>
  <c r="H6" i="6" a="1"/>
  <c r="H6" i="6"/>
  <c r="G6" i="6" a="1"/>
  <c r="G6" i="6"/>
  <c r="F6" i="6" a="1"/>
  <c r="F6" i="6"/>
  <c r="E6" i="6" a="1"/>
  <c r="E6" i="6"/>
  <c r="D6" i="6" a="1"/>
  <c r="D6" i="6"/>
  <c r="B6" i="6"/>
  <c r="C6" i="6" s="1"/>
  <c r="M5" i="6" a="1"/>
  <c r="M5" i="6"/>
  <c r="K5" i="6" a="1"/>
  <c r="K5" i="6"/>
  <c r="L5" i="6" s="1"/>
  <c r="J5" i="6" a="1"/>
  <c r="J5" i="6"/>
  <c r="I5" i="6" a="1"/>
  <c r="I5" i="6"/>
  <c r="H5" i="6" a="1"/>
  <c r="H5" i="6"/>
  <c r="G5" i="6" a="1"/>
  <c r="G5" i="6"/>
  <c r="F5" i="6" a="1"/>
  <c r="F5" i="6"/>
  <c r="E5" i="6" a="1"/>
  <c r="E5" i="6"/>
  <c r="D5" i="6" a="1"/>
  <c r="D5" i="6"/>
  <c r="B5" i="6"/>
  <c r="C5" i="6" s="1"/>
  <c r="M4" i="6" a="1"/>
  <c r="M4" i="6"/>
  <c r="K4" i="6" a="1"/>
  <c r="K4" i="6"/>
  <c r="L4" i="6" s="1"/>
  <c r="J4" i="6" a="1"/>
  <c r="J4" i="6"/>
  <c r="I4" i="6" a="1"/>
  <c r="I4" i="6"/>
  <c r="H4" i="6" a="1"/>
  <c r="H4" i="6"/>
  <c r="G4" i="6" a="1"/>
  <c r="G4" i="6"/>
  <c r="F4" i="6" a="1"/>
  <c r="F4" i="6"/>
  <c r="E4" i="6" a="1"/>
  <c r="E4" i="6"/>
  <c r="D4" i="6" a="1"/>
  <c r="D4" i="6"/>
  <c r="B4" i="6"/>
  <c r="C4" i="6" s="1"/>
  <c r="M3" i="6" a="1"/>
  <c r="M3" i="6"/>
  <c r="K3" i="6" a="1"/>
  <c r="K3" i="6"/>
  <c r="L3" i="6" s="1"/>
  <c r="J3" i="6" a="1"/>
  <c r="J3" i="6"/>
  <c r="I3" i="6" a="1"/>
  <c r="I3" i="6"/>
  <c r="H3" i="6" a="1"/>
  <c r="H3" i="6"/>
  <c r="G3" i="6" a="1"/>
  <c r="G3" i="6"/>
  <c r="F3" i="6" a="1"/>
  <c r="F3" i="6"/>
  <c r="E3" i="6" a="1"/>
  <c r="E3" i="6"/>
  <c r="D3" i="6" a="1"/>
  <c r="D3" i="6"/>
  <c r="B3" i="6"/>
  <c r="C3" i="6" s="1"/>
  <c r="M2" i="6" a="1"/>
  <c r="M2" i="6"/>
  <c r="K2" i="6" a="1"/>
  <c r="K2" i="6"/>
  <c r="L2" i="6" s="1"/>
  <c r="J2" i="6" a="1"/>
  <c r="J2" i="6"/>
  <c r="I2" i="6" a="1"/>
  <c r="I2" i="6"/>
  <c r="H2" i="6" a="1"/>
  <c r="H2" i="6"/>
  <c r="G2" i="6" a="1"/>
  <c r="G2" i="6"/>
  <c r="F2" i="6" a="1"/>
  <c r="F2" i="6"/>
  <c r="E2" i="6" a="1"/>
  <c r="E2" i="6"/>
  <c r="D2" i="6" a="1"/>
  <c r="D2" i="6"/>
  <c r="B2" i="6"/>
  <c r="C2" i="6" s="1"/>
  <c r="K11" i="5" a="1"/>
  <c r="K11" i="5"/>
  <c r="J11" i="5" a="1"/>
  <c r="J11" i="5"/>
  <c r="I11" i="5" a="1"/>
  <c r="I11" i="5"/>
  <c r="H11" i="5" a="1"/>
  <c r="H11" i="5"/>
  <c r="G11" i="5" a="1"/>
  <c r="G11" i="5"/>
  <c r="F11" i="5" a="1"/>
  <c r="F11" i="5"/>
  <c r="E11" i="5" a="1"/>
  <c r="E11" i="5"/>
  <c r="D11" i="5" a="1"/>
  <c r="D11" i="5"/>
  <c r="C11" i="5" a="1"/>
  <c r="C11" i="5"/>
  <c r="B11" i="5"/>
  <c r="K10" i="5" a="1"/>
  <c r="K10" i="5"/>
  <c r="J10" i="5" a="1"/>
  <c r="J10" i="5"/>
  <c r="I10" i="5" a="1"/>
  <c r="I10" i="5"/>
  <c r="H10" i="5" a="1"/>
  <c r="H10" i="5"/>
  <c r="G10" i="5" a="1"/>
  <c r="G10" i="5"/>
  <c r="F10" i="5" a="1"/>
  <c r="F10" i="5"/>
  <c r="E10" i="5" a="1"/>
  <c r="E10" i="5"/>
  <c r="D10" i="5" a="1"/>
  <c r="D10" i="5"/>
  <c r="C10" i="5" a="1"/>
  <c r="C10" i="5"/>
  <c r="B10" i="5"/>
  <c r="K9" i="5" a="1"/>
  <c r="K9" i="5"/>
  <c r="J9" i="5" a="1"/>
  <c r="J9" i="5"/>
  <c r="I9" i="5" a="1"/>
  <c r="I9" i="5"/>
  <c r="H9" i="5" a="1"/>
  <c r="H9" i="5"/>
  <c r="G9" i="5" a="1"/>
  <c r="G9" i="5"/>
  <c r="F9" i="5" a="1"/>
  <c r="F9" i="5"/>
  <c r="E9" i="5" a="1"/>
  <c r="E9" i="5"/>
  <c r="D9" i="5" a="1"/>
  <c r="D9" i="5"/>
  <c r="C9" i="5" a="1"/>
  <c r="C9" i="5"/>
  <c r="B9" i="5"/>
  <c r="K8" i="5" a="1"/>
  <c r="K8" i="5"/>
  <c r="J8" i="5" a="1"/>
  <c r="J8" i="5"/>
  <c r="I8" i="5" a="1"/>
  <c r="I8" i="5"/>
  <c r="H8" i="5" a="1"/>
  <c r="H8" i="5"/>
  <c r="G8" i="5" a="1"/>
  <c r="G8" i="5"/>
  <c r="F8" i="5" a="1"/>
  <c r="F8" i="5"/>
  <c r="E8" i="5" a="1"/>
  <c r="E8" i="5"/>
  <c r="D8" i="5" a="1"/>
  <c r="D8" i="5"/>
  <c r="C8" i="5" a="1"/>
  <c r="C8" i="5"/>
  <c r="B8" i="5"/>
  <c r="K7" i="5" a="1"/>
  <c r="K7" i="5"/>
  <c r="J7" i="5" a="1"/>
  <c r="J7" i="5"/>
  <c r="I7" i="5" a="1"/>
  <c r="I7" i="5"/>
  <c r="H7" i="5" a="1"/>
  <c r="H7" i="5"/>
  <c r="G7" i="5" a="1"/>
  <c r="G7" i="5"/>
  <c r="F7" i="5" a="1"/>
  <c r="F7" i="5"/>
  <c r="E7" i="5" a="1"/>
  <c r="E7" i="5"/>
  <c r="D7" i="5" a="1"/>
  <c r="D7" i="5"/>
  <c r="C7" i="5" a="1"/>
  <c r="C7" i="5"/>
  <c r="B7" i="5"/>
  <c r="K6" i="5" a="1"/>
  <c r="K6" i="5"/>
  <c r="J6" i="5" a="1"/>
  <c r="J6" i="5"/>
  <c r="I6" i="5" a="1"/>
  <c r="I6" i="5"/>
  <c r="H6" i="5" a="1"/>
  <c r="H6" i="5"/>
  <c r="G6" i="5" a="1"/>
  <c r="G6" i="5"/>
  <c r="F6" i="5" a="1"/>
  <c r="F6" i="5"/>
  <c r="E6" i="5" a="1"/>
  <c r="E6" i="5"/>
  <c r="D6" i="5" a="1"/>
  <c r="D6" i="5"/>
  <c r="C6" i="5" a="1"/>
  <c r="C6" i="5"/>
  <c r="B6" i="5"/>
  <c r="K5" i="5" a="1"/>
  <c r="K5" i="5"/>
  <c r="J5" i="5" a="1"/>
  <c r="J5" i="5"/>
  <c r="I5" i="5" a="1"/>
  <c r="I5" i="5"/>
  <c r="H5" i="5" a="1"/>
  <c r="H5" i="5"/>
  <c r="G5" i="5" a="1"/>
  <c r="G5" i="5"/>
  <c r="F5" i="5" a="1"/>
  <c r="F5" i="5"/>
  <c r="E5" i="5" a="1"/>
  <c r="E5" i="5"/>
  <c r="D5" i="5" a="1"/>
  <c r="D5" i="5"/>
  <c r="C5" i="5" a="1"/>
  <c r="C5" i="5"/>
  <c r="B5" i="5"/>
  <c r="K4" i="5" a="1"/>
  <c r="K4" i="5"/>
  <c r="J4" i="5" a="1"/>
  <c r="J4" i="5"/>
  <c r="I4" i="5" a="1"/>
  <c r="I4" i="5"/>
  <c r="H4" i="5" a="1"/>
  <c r="H4" i="5"/>
  <c r="G4" i="5" a="1"/>
  <c r="G4" i="5"/>
  <c r="F4" i="5" a="1"/>
  <c r="F4" i="5"/>
  <c r="E4" i="5" a="1"/>
  <c r="E4" i="5"/>
  <c r="D4" i="5" a="1"/>
  <c r="D4" i="5"/>
  <c r="C4" i="5" a="1"/>
  <c r="C4" i="5"/>
  <c r="B4" i="5"/>
  <c r="K3" i="5" a="1"/>
  <c r="K3" i="5"/>
  <c r="J3" i="5" a="1"/>
  <c r="J3" i="5"/>
  <c r="I3" i="5" a="1"/>
  <c r="I3" i="5"/>
  <c r="H3" i="5" a="1"/>
  <c r="H3" i="5"/>
  <c r="G3" i="5" a="1"/>
  <c r="G3" i="5"/>
  <c r="F3" i="5" a="1"/>
  <c r="F3" i="5"/>
  <c r="E3" i="5" a="1"/>
  <c r="E3" i="5"/>
  <c r="D3" i="5" a="1"/>
  <c r="D3" i="5"/>
  <c r="C3" i="5" a="1"/>
  <c r="C3" i="5"/>
  <c r="B3" i="5"/>
  <c r="K2" i="5" a="1"/>
  <c r="K2" i="5"/>
  <c r="J2" i="5" a="1"/>
  <c r="J2" i="5"/>
  <c r="I2" i="5" a="1"/>
  <c r="I2" i="5"/>
  <c r="H2" i="5" a="1"/>
  <c r="H2" i="5"/>
  <c r="G2" i="5" a="1"/>
  <c r="G2" i="5"/>
  <c r="F2" i="5" a="1"/>
  <c r="F2" i="5"/>
  <c r="E2" i="5" a="1"/>
  <c r="E2" i="5"/>
  <c r="D2" i="5" a="1"/>
  <c r="D2" i="5"/>
  <c r="C2" i="5" a="1"/>
  <c r="C2" i="5"/>
  <c r="B2" i="5"/>
  <c r="L11" i="2" a="1"/>
  <c r="L11" i="2"/>
  <c r="K11" i="2" a="1"/>
  <c r="K11" i="2"/>
  <c r="J11" i="2" a="1"/>
  <c r="J11" i="2"/>
  <c r="I11" i="2" a="1"/>
  <c r="I11" i="2"/>
  <c r="H11" i="2" a="1"/>
  <c r="H11" i="2"/>
  <c r="G11" i="2" a="1"/>
  <c r="G11" i="2"/>
  <c r="F11" i="2" a="1"/>
  <c r="F11" i="2"/>
  <c r="E11" i="2" a="1"/>
  <c r="E11" i="2"/>
  <c r="D11" i="2" a="1"/>
  <c r="D11" i="2"/>
  <c r="C11" i="2" a="1"/>
  <c r="C11" i="2"/>
  <c r="B11" i="2"/>
  <c r="L10" i="2" a="1"/>
  <c r="L10" i="2"/>
  <c r="K10" i="2" a="1"/>
  <c r="K10" i="2"/>
  <c r="J10" i="2" a="1"/>
  <c r="J10" i="2"/>
  <c r="I10" i="2" a="1"/>
  <c r="I10" i="2"/>
  <c r="H10" i="2" a="1"/>
  <c r="H10" i="2"/>
  <c r="G10" i="2" a="1"/>
  <c r="G10" i="2"/>
  <c r="F10" i="2" a="1"/>
  <c r="F10" i="2"/>
  <c r="E10" i="2" a="1"/>
  <c r="E10" i="2"/>
  <c r="D10" i="2" a="1"/>
  <c r="D10" i="2"/>
  <c r="C10" i="2" a="1"/>
  <c r="C10" i="2"/>
  <c r="B10" i="2"/>
  <c r="L9" i="2" a="1"/>
  <c r="L9" i="2"/>
  <c r="K9" i="2" a="1"/>
  <c r="K9" i="2"/>
  <c r="J9" i="2" a="1"/>
  <c r="J9" i="2"/>
  <c r="I9" i="2" a="1"/>
  <c r="I9" i="2"/>
  <c r="H9" i="2" a="1"/>
  <c r="H9" i="2"/>
  <c r="G9" i="2" a="1"/>
  <c r="G9" i="2"/>
  <c r="F9" i="2" a="1"/>
  <c r="F9" i="2"/>
  <c r="E9" i="2" a="1"/>
  <c r="E9" i="2"/>
  <c r="D9" i="2" a="1"/>
  <c r="D9" i="2"/>
  <c r="C9" i="2" a="1"/>
  <c r="C9" i="2"/>
  <c r="B9" i="2"/>
  <c r="L8" i="2" a="1"/>
  <c r="L8" i="2"/>
  <c r="K8" i="2" a="1"/>
  <c r="K8" i="2"/>
  <c r="J8" i="2" a="1"/>
  <c r="J8" i="2"/>
  <c r="I8" i="2" a="1"/>
  <c r="I8" i="2"/>
  <c r="H8" i="2" a="1"/>
  <c r="H8" i="2"/>
  <c r="G8" i="2" a="1"/>
  <c r="G8" i="2"/>
  <c r="F8" i="2" a="1"/>
  <c r="F8" i="2"/>
  <c r="E8" i="2" a="1"/>
  <c r="E8" i="2"/>
  <c r="D8" i="2" a="1"/>
  <c r="D8" i="2"/>
  <c r="C8" i="2" a="1"/>
  <c r="C8" i="2"/>
  <c r="B8" i="2"/>
  <c r="L7" i="2" a="1"/>
  <c r="L7" i="2"/>
  <c r="K7" i="2" a="1"/>
  <c r="K7" i="2"/>
  <c r="J7" i="2" a="1"/>
  <c r="J7" i="2"/>
  <c r="I7" i="2" a="1"/>
  <c r="I7" i="2"/>
  <c r="H7" i="2" a="1"/>
  <c r="H7" i="2"/>
  <c r="G7" i="2" a="1"/>
  <c r="G7" i="2"/>
  <c r="F7" i="2" a="1"/>
  <c r="F7" i="2"/>
  <c r="E7" i="2" a="1"/>
  <c r="E7" i="2"/>
  <c r="D7" i="2" a="1"/>
  <c r="D7" i="2"/>
  <c r="C7" i="2" a="1"/>
  <c r="C7" i="2"/>
  <c r="B7" i="2"/>
  <c r="L6" i="2" a="1"/>
  <c r="L6" i="2"/>
  <c r="K6" i="2" a="1"/>
  <c r="K6" i="2"/>
  <c r="J6" i="2" a="1"/>
  <c r="J6" i="2"/>
  <c r="I6" i="2" a="1"/>
  <c r="I6" i="2"/>
  <c r="H6" i="2" a="1"/>
  <c r="H6" i="2"/>
  <c r="G6" i="2" a="1"/>
  <c r="G6" i="2"/>
  <c r="F6" i="2" a="1"/>
  <c r="F6" i="2"/>
  <c r="E6" i="2" a="1"/>
  <c r="E6" i="2"/>
  <c r="D6" i="2" a="1"/>
  <c r="D6" i="2"/>
  <c r="C6" i="2" a="1"/>
  <c r="C6" i="2"/>
  <c r="B6" i="2"/>
  <c r="L5" i="2" a="1"/>
  <c r="L5" i="2"/>
  <c r="K5" i="2" a="1"/>
  <c r="K5" i="2"/>
  <c r="J5" i="2" a="1"/>
  <c r="J5" i="2"/>
  <c r="I5" i="2" a="1"/>
  <c r="I5" i="2"/>
  <c r="H5" i="2" a="1"/>
  <c r="H5" i="2"/>
  <c r="G5" i="2" a="1"/>
  <c r="G5" i="2"/>
  <c r="F5" i="2" a="1"/>
  <c r="F5" i="2"/>
  <c r="E5" i="2" a="1"/>
  <c r="E5" i="2"/>
  <c r="D5" i="2" a="1"/>
  <c r="D5" i="2"/>
  <c r="C5" i="2" a="1"/>
  <c r="C5" i="2"/>
  <c r="B5" i="2"/>
  <c r="L4" i="2" a="1"/>
  <c r="L4" i="2"/>
  <c r="K4" i="2" a="1"/>
  <c r="K4" i="2"/>
  <c r="J4" i="2" a="1"/>
  <c r="J4" i="2"/>
  <c r="I4" i="2" a="1"/>
  <c r="I4" i="2"/>
  <c r="H4" i="2" a="1"/>
  <c r="H4" i="2"/>
  <c r="G4" i="2" a="1"/>
  <c r="G4" i="2"/>
  <c r="F4" i="2" a="1"/>
  <c r="F4" i="2"/>
  <c r="E4" i="2" a="1"/>
  <c r="E4" i="2"/>
  <c r="D4" i="2" a="1"/>
  <c r="D4" i="2"/>
  <c r="C4" i="2" a="1"/>
  <c r="C4" i="2"/>
  <c r="B4" i="2"/>
  <c r="L3" i="2" a="1"/>
  <c r="L3" i="2"/>
  <c r="K3" i="2" a="1"/>
  <c r="K3" i="2"/>
  <c r="J3" i="2" a="1"/>
  <c r="J3" i="2"/>
  <c r="I3" i="2" a="1"/>
  <c r="I3" i="2"/>
  <c r="H3" i="2" a="1"/>
  <c r="H3" i="2"/>
  <c r="G3" i="2" a="1"/>
  <c r="G3" i="2"/>
  <c r="F3" i="2" a="1"/>
  <c r="F3" i="2"/>
  <c r="E3" i="2" a="1"/>
  <c r="E3" i="2"/>
  <c r="D3" i="2" a="1"/>
  <c r="D3" i="2"/>
  <c r="C3" i="2" a="1"/>
  <c r="C3" i="2"/>
  <c r="B3" i="2"/>
  <c r="L2" i="2" a="1"/>
  <c r="L2" i="2"/>
  <c r="K2" i="2" a="1"/>
  <c r="K2" i="2"/>
  <c r="J2" i="2" a="1"/>
  <c r="J2" i="2"/>
  <c r="I2" i="2" a="1"/>
  <c r="I2" i="2"/>
  <c r="H2" i="2" a="1"/>
  <c r="H2" i="2"/>
  <c r="G2" i="2" a="1"/>
  <c r="G2" i="2"/>
  <c r="F2" i="2" a="1"/>
  <c r="F2" i="2"/>
  <c r="E2" i="2" a="1"/>
  <c r="E2" i="2"/>
  <c r="D2" i="2" a="1"/>
  <c r="D2" i="2"/>
  <c r="C2" i="2" a="1"/>
  <c r="C2" i="2"/>
  <c r="B2" i="2"/>
  <c r="J13" i="4" a="1"/>
  <c r="J13" i="4"/>
  <c r="I13" i="4" a="1"/>
  <c r="I13" i="4"/>
  <c r="H13" i="4" a="1"/>
  <c r="H13" i="4"/>
  <c r="G13" i="4" a="1"/>
  <c r="G13" i="4"/>
  <c r="F13" i="4" a="1"/>
  <c r="F13" i="4"/>
  <c r="E13" i="4" a="1"/>
  <c r="E13" i="4"/>
  <c r="D13" i="4" a="1"/>
  <c r="D13" i="4"/>
  <c r="C13" i="4" a="1"/>
  <c r="C13" i="4"/>
  <c r="B13" i="4"/>
  <c r="J12" i="4" a="1"/>
  <c r="J12" i="4"/>
  <c r="I12" i="4" a="1"/>
  <c r="I12" i="4"/>
  <c r="H12" i="4" a="1"/>
  <c r="H12" i="4"/>
  <c r="G12" i="4" a="1"/>
  <c r="G12" i="4"/>
  <c r="F12" i="4" a="1"/>
  <c r="F12" i="4"/>
  <c r="E12" i="4" a="1"/>
  <c r="E12" i="4"/>
  <c r="D12" i="4" a="1"/>
  <c r="D12" i="4"/>
  <c r="C12" i="4" a="1"/>
  <c r="C12" i="4"/>
  <c r="B12" i="4"/>
  <c r="J11" i="4" a="1"/>
  <c r="J11" i="4"/>
  <c r="I11" i="4" a="1"/>
  <c r="I11" i="4"/>
  <c r="H11" i="4" a="1"/>
  <c r="H11" i="4"/>
  <c r="G11" i="4" a="1"/>
  <c r="G11" i="4"/>
  <c r="F11" i="4" a="1"/>
  <c r="F11" i="4"/>
  <c r="E11" i="4" a="1"/>
  <c r="E11" i="4"/>
  <c r="D11" i="4" a="1"/>
  <c r="D11" i="4"/>
  <c r="C11" i="4" a="1"/>
  <c r="C11" i="4"/>
  <c r="B11" i="4"/>
  <c r="J10" i="4" a="1"/>
  <c r="J10" i="4"/>
  <c r="I10" i="4" a="1"/>
  <c r="I10" i="4"/>
  <c r="H10" i="4" a="1"/>
  <c r="H10" i="4"/>
  <c r="G10" i="4" a="1"/>
  <c r="G10" i="4"/>
  <c r="F10" i="4" a="1"/>
  <c r="F10" i="4"/>
  <c r="E10" i="4" a="1"/>
  <c r="E10" i="4"/>
  <c r="D10" i="4" a="1"/>
  <c r="D10" i="4"/>
  <c r="C10" i="4" a="1"/>
  <c r="C10" i="4"/>
  <c r="B10" i="4"/>
  <c r="J9" i="4" a="1"/>
  <c r="J9" i="4"/>
  <c r="I9" i="4" a="1"/>
  <c r="I9" i="4"/>
  <c r="H9" i="4" a="1"/>
  <c r="H9" i="4"/>
  <c r="G9" i="4" a="1"/>
  <c r="G9" i="4"/>
  <c r="F9" i="4" a="1"/>
  <c r="F9" i="4"/>
  <c r="E9" i="4" a="1"/>
  <c r="E9" i="4"/>
  <c r="D9" i="4" a="1"/>
  <c r="D9" i="4"/>
  <c r="C9" i="4" a="1"/>
  <c r="C9" i="4"/>
  <c r="B9" i="4"/>
  <c r="J8" i="4" a="1"/>
  <c r="J8" i="4"/>
  <c r="I8" i="4" a="1"/>
  <c r="I8" i="4"/>
  <c r="H8" i="4" a="1"/>
  <c r="H8" i="4"/>
  <c r="G8" i="4" a="1"/>
  <c r="G8" i="4"/>
  <c r="F8" i="4" a="1"/>
  <c r="F8" i="4"/>
  <c r="E8" i="4" a="1"/>
  <c r="E8" i="4"/>
  <c r="D8" i="4" a="1"/>
  <c r="D8" i="4"/>
  <c r="C8" i="4" a="1"/>
  <c r="C8" i="4"/>
  <c r="B8" i="4"/>
  <c r="J7" i="4" a="1"/>
  <c r="J7" i="4"/>
  <c r="I7" i="4" a="1"/>
  <c r="I7" i="4"/>
  <c r="H7" i="4" a="1"/>
  <c r="H7" i="4"/>
  <c r="G7" i="4" a="1"/>
  <c r="G7" i="4"/>
  <c r="F7" i="4" a="1"/>
  <c r="F7" i="4"/>
  <c r="E7" i="4" a="1"/>
  <c r="E7" i="4"/>
  <c r="D7" i="4" a="1"/>
  <c r="D7" i="4"/>
  <c r="C7" i="4" a="1"/>
  <c r="C7" i="4"/>
  <c r="B7" i="4"/>
  <c r="J6" i="4" a="1"/>
  <c r="J6" i="4"/>
  <c r="I6" i="4" a="1"/>
  <c r="I6" i="4"/>
  <c r="H6" i="4" a="1"/>
  <c r="H6" i="4"/>
  <c r="G6" i="4" a="1"/>
  <c r="G6" i="4"/>
  <c r="F6" i="4" a="1"/>
  <c r="F6" i="4"/>
  <c r="E6" i="4" a="1"/>
  <c r="E6" i="4"/>
  <c r="D6" i="4" a="1"/>
  <c r="D6" i="4"/>
  <c r="C6" i="4" a="1"/>
  <c r="C6" i="4"/>
  <c r="B6" i="4"/>
  <c r="J5" i="4" a="1"/>
  <c r="J5" i="4"/>
  <c r="I5" i="4" a="1"/>
  <c r="I5" i="4"/>
  <c r="H5" i="4" a="1"/>
  <c r="H5" i="4"/>
  <c r="G5" i="4" a="1"/>
  <c r="G5" i="4"/>
  <c r="F5" i="4" a="1"/>
  <c r="F5" i="4"/>
  <c r="E5" i="4" a="1"/>
  <c r="E5" i="4"/>
  <c r="D5" i="4" a="1"/>
  <c r="D5" i="4"/>
  <c r="C5" i="4" a="1"/>
  <c r="C5" i="4"/>
  <c r="B5" i="4"/>
  <c r="J4" i="4" a="1"/>
  <c r="J4" i="4"/>
  <c r="I4" i="4" a="1"/>
  <c r="I4" i="4"/>
  <c r="H4" i="4" a="1"/>
  <c r="H4" i="4"/>
  <c r="G4" i="4" a="1"/>
  <c r="G4" i="4"/>
  <c r="F4" i="4" a="1"/>
  <c r="F4" i="4"/>
  <c r="E4" i="4" a="1"/>
  <c r="E4" i="4"/>
  <c r="D4" i="4" a="1"/>
  <c r="D4" i="4"/>
  <c r="C4" i="4" a="1"/>
  <c r="C4" i="4"/>
  <c r="B4" i="4"/>
  <c r="J3" i="4" a="1"/>
  <c r="J3" i="4"/>
  <c r="I3" i="4" a="1"/>
  <c r="I3" i="4"/>
  <c r="H3" i="4" a="1"/>
  <c r="H3" i="4"/>
  <c r="G3" i="4" a="1"/>
  <c r="G3" i="4"/>
  <c r="F3" i="4" a="1"/>
  <c r="F3" i="4"/>
  <c r="E3" i="4" a="1"/>
  <c r="E3" i="4"/>
  <c r="D3" i="4" a="1"/>
  <c r="D3" i="4"/>
  <c r="C3" i="4" a="1"/>
  <c r="C3" i="4"/>
  <c r="B3" i="4"/>
  <c r="J2" i="4" a="1"/>
  <c r="J2" i="4"/>
  <c r="I2" i="4" a="1"/>
  <c r="I2" i="4"/>
  <c r="H2" i="4" a="1"/>
  <c r="H2" i="4"/>
  <c r="G2" i="4" a="1"/>
  <c r="G2" i="4"/>
  <c r="F2" i="4" a="1"/>
  <c r="F2" i="4"/>
  <c r="E2" i="4" a="1"/>
  <c r="E2" i="4"/>
  <c r="D2" i="4" a="1"/>
  <c r="D2" i="4"/>
  <c r="C2" i="4" a="1"/>
  <c r="C2" i="4"/>
  <c r="B2" i="4"/>
  <c r="M109" i="1" a="1"/>
  <c r="M109" i="1"/>
  <c r="K109" i="1" a="1"/>
  <c r="K109" i="1"/>
  <c r="L109" i="1" s="1"/>
  <c r="H109" i="1" a="1"/>
  <c r="H109" i="1"/>
  <c r="G109" i="1" a="1"/>
  <c r="G109" i="1"/>
  <c r="F109" i="1" a="1"/>
  <c r="F109" i="1"/>
  <c r="E109" i="1" a="1"/>
  <c r="E109" i="1"/>
  <c r="D109" i="1" a="1"/>
  <c r="D109" i="1"/>
  <c r="C109" i="1" a="1"/>
  <c r="C109" i="1"/>
  <c r="B109" i="1" a="1"/>
  <c r="B109" i="1"/>
  <c r="M108" i="1" a="1"/>
  <c r="M108" i="1"/>
  <c r="K108" i="1" a="1"/>
  <c r="K108" i="1"/>
  <c r="L108" i="1" s="1"/>
  <c r="H108" i="1" a="1"/>
  <c r="H108" i="1"/>
  <c r="G108" i="1" a="1"/>
  <c r="G108" i="1"/>
  <c r="F108" i="1" a="1"/>
  <c r="F108" i="1"/>
  <c r="E108" i="1" a="1"/>
  <c r="E108" i="1"/>
  <c r="D108" i="1" a="1"/>
  <c r="D108" i="1"/>
  <c r="C108" i="1" a="1"/>
  <c r="C108" i="1"/>
  <c r="B108" i="1" a="1"/>
  <c r="B108" i="1"/>
  <c r="M107" i="1" a="1"/>
  <c r="M107" i="1"/>
  <c r="K107" i="1" a="1"/>
  <c r="K107" i="1"/>
  <c r="L107" i="1" s="1"/>
  <c r="H107" i="1" a="1"/>
  <c r="H107" i="1"/>
  <c r="G107" i="1" a="1"/>
  <c r="G107" i="1"/>
  <c r="F107" i="1" a="1"/>
  <c r="F107" i="1"/>
  <c r="E107" i="1" a="1"/>
  <c r="E107" i="1"/>
  <c r="D107" i="1" a="1"/>
  <c r="D107" i="1"/>
  <c r="C107" i="1" a="1"/>
  <c r="C107" i="1"/>
  <c r="B107" i="1" a="1"/>
  <c r="B107" i="1"/>
  <c r="M106" i="1" a="1"/>
  <c r="M106" i="1"/>
  <c r="K106" i="1" a="1"/>
  <c r="K106" i="1"/>
  <c r="L106" i="1" s="1"/>
  <c r="H106" i="1" a="1"/>
  <c r="H106" i="1"/>
  <c r="G106" i="1" a="1"/>
  <c r="G106" i="1"/>
  <c r="F106" i="1" a="1"/>
  <c r="F106" i="1"/>
  <c r="E106" i="1" a="1"/>
  <c r="E106" i="1"/>
  <c r="D106" i="1" a="1"/>
  <c r="D106" i="1"/>
  <c r="C106" i="1" a="1"/>
  <c r="C106" i="1"/>
  <c r="B106" i="1" a="1"/>
  <c r="B106" i="1"/>
  <c r="M105" i="1" a="1"/>
  <c r="M105" i="1"/>
  <c r="K105" i="1" a="1"/>
  <c r="K105" i="1"/>
  <c r="L105" i="1" s="1"/>
  <c r="H105" i="1" a="1"/>
  <c r="H105" i="1"/>
  <c r="G105" i="1" a="1"/>
  <c r="G105" i="1"/>
  <c r="F105" i="1" a="1"/>
  <c r="F105" i="1"/>
  <c r="E105" i="1" a="1"/>
  <c r="E105" i="1"/>
  <c r="D105" i="1" a="1"/>
  <c r="D105" i="1"/>
  <c r="C105" i="1" a="1"/>
  <c r="C105" i="1"/>
  <c r="B105" i="1" a="1"/>
  <c r="B105" i="1"/>
  <c r="M104" i="1" a="1"/>
  <c r="M104" i="1"/>
  <c r="K104" i="1" a="1"/>
  <c r="K104" i="1"/>
  <c r="L104" i="1" s="1"/>
  <c r="H104" i="1" a="1"/>
  <c r="H104" i="1"/>
  <c r="G104" i="1" a="1"/>
  <c r="G104" i="1"/>
  <c r="F104" i="1" a="1"/>
  <c r="F104" i="1"/>
  <c r="E104" i="1" a="1"/>
  <c r="E104" i="1"/>
  <c r="D104" i="1" a="1"/>
  <c r="D104" i="1"/>
  <c r="C104" i="1" a="1"/>
  <c r="C104" i="1"/>
  <c r="B104" i="1" a="1"/>
  <c r="B104" i="1"/>
  <c r="M103" i="1" a="1"/>
  <c r="M103" i="1"/>
  <c r="K103" i="1" a="1"/>
  <c r="K103" i="1"/>
  <c r="L103" i="1" s="1"/>
  <c r="H103" i="1" a="1"/>
  <c r="H103" i="1"/>
  <c r="G103" i="1" a="1"/>
  <c r="G103" i="1"/>
  <c r="F103" i="1" a="1"/>
  <c r="F103" i="1"/>
  <c r="E103" i="1" a="1"/>
  <c r="E103" i="1"/>
  <c r="D103" i="1" a="1"/>
  <c r="D103" i="1"/>
  <c r="C103" i="1" a="1"/>
  <c r="C103" i="1"/>
  <c r="B103" i="1" a="1"/>
  <c r="B103" i="1"/>
  <c r="M102" i="1" a="1"/>
  <c r="M102" i="1"/>
  <c r="K102" i="1" a="1"/>
  <c r="K102" i="1"/>
  <c r="L102" i="1" s="1"/>
  <c r="H102" i="1" a="1"/>
  <c r="H102" i="1"/>
  <c r="G102" i="1" a="1"/>
  <c r="G102" i="1"/>
  <c r="F102" i="1" a="1"/>
  <c r="F102" i="1"/>
  <c r="E102" i="1" a="1"/>
  <c r="E102" i="1"/>
  <c r="D102" i="1" a="1"/>
  <c r="D102" i="1"/>
  <c r="C102" i="1" a="1"/>
  <c r="C102" i="1"/>
  <c r="B102" i="1" a="1"/>
  <c r="B102" i="1"/>
  <c r="M101" i="1" a="1"/>
  <c r="M101" i="1"/>
  <c r="K101" i="1" a="1"/>
  <c r="K101" i="1"/>
  <c r="L101" i="1" s="1"/>
  <c r="H101" i="1" a="1"/>
  <c r="H101" i="1"/>
  <c r="G101" i="1" a="1"/>
  <c r="G101" i="1"/>
  <c r="F101" i="1" a="1"/>
  <c r="F101" i="1"/>
  <c r="E101" i="1" a="1"/>
  <c r="E101" i="1"/>
  <c r="D101" i="1" a="1"/>
  <c r="D101" i="1"/>
  <c r="C101" i="1" a="1"/>
  <c r="C101" i="1"/>
  <c r="B101" i="1" a="1"/>
  <c r="B101" i="1"/>
  <c r="M100" i="1" a="1"/>
  <c r="M100" i="1"/>
  <c r="K100" i="1" a="1"/>
  <c r="K100" i="1"/>
  <c r="L100" i="1" s="1"/>
  <c r="H100" i="1" a="1"/>
  <c r="H100" i="1"/>
  <c r="G100" i="1" a="1"/>
  <c r="G100" i="1"/>
  <c r="F100" i="1" a="1"/>
  <c r="F100" i="1"/>
  <c r="E100" i="1" a="1"/>
  <c r="E100" i="1"/>
  <c r="D100" i="1" a="1"/>
  <c r="D100" i="1"/>
  <c r="C100" i="1" a="1"/>
  <c r="C100" i="1"/>
  <c r="B100" i="1" a="1"/>
  <c r="B100" i="1"/>
  <c r="M99" i="1" a="1"/>
  <c r="M99" i="1"/>
  <c r="K99" i="1" a="1"/>
  <c r="K99" i="1"/>
  <c r="L99" i="1" s="1"/>
  <c r="H99" i="1" a="1"/>
  <c r="H99" i="1"/>
  <c r="G99" i="1" a="1"/>
  <c r="G99" i="1"/>
  <c r="F99" i="1" a="1"/>
  <c r="F99" i="1"/>
  <c r="E99" i="1" a="1"/>
  <c r="E99" i="1"/>
  <c r="D99" i="1" a="1"/>
  <c r="D99" i="1"/>
  <c r="C99" i="1" a="1"/>
  <c r="C99" i="1"/>
  <c r="B99" i="1" a="1"/>
  <c r="B99" i="1"/>
  <c r="M98" i="1" a="1"/>
  <c r="M98" i="1"/>
  <c r="K98" i="1" a="1"/>
  <c r="K98" i="1"/>
  <c r="L98" i="1" s="1"/>
  <c r="H98" i="1" a="1"/>
  <c r="H98" i="1"/>
  <c r="G98" i="1" a="1"/>
  <c r="G98" i="1"/>
  <c r="F98" i="1" a="1"/>
  <c r="F98" i="1"/>
  <c r="E98" i="1" a="1"/>
  <c r="E98" i="1"/>
  <c r="D98" i="1" a="1"/>
  <c r="D98" i="1"/>
  <c r="C98" i="1" a="1"/>
  <c r="C98" i="1"/>
  <c r="B98" i="1" a="1"/>
  <c r="B98" i="1"/>
  <c r="M97" i="1" a="1"/>
  <c r="M97" i="1"/>
  <c r="K97" i="1" a="1"/>
  <c r="K97" i="1"/>
  <c r="L97" i="1" s="1"/>
  <c r="H97" i="1" a="1"/>
  <c r="H97" i="1"/>
  <c r="G97" i="1" a="1"/>
  <c r="G97" i="1"/>
  <c r="F97" i="1" a="1"/>
  <c r="F97" i="1"/>
  <c r="E97" i="1" a="1"/>
  <c r="E97" i="1"/>
  <c r="D97" i="1" a="1"/>
  <c r="D97" i="1"/>
  <c r="C97" i="1" a="1"/>
  <c r="C97" i="1"/>
  <c r="B97" i="1" a="1"/>
  <c r="B97" i="1"/>
  <c r="M96" i="1" a="1"/>
  <c r="M96" i="1"/>
  <c r="K96" i="1" a="1"/>
  <c r="K96" i="1"/>
  <c r="L96" i="1" s="1"/>
  <c r="H96" i="1" a="1"/>
  <c r="H96" i="1"/>
  <c r="G96" i="1" a="1"/>
  <c r="G96" i="1"/>
  <c r="F96" i="1" a="1"/>
  <c r="F96" i="1"/>
  <c r="E96" i="1" a="1"/>
  <c r="E96" i="1"/>
  <c r="D96" i="1" a="1"/>
  <c r="D96" i="1"/>
  <c r="C96" i="1" a="1"/>
  <c r="C96" i="1"/>
  <c r="B96" i="1" a="1"/>
  <c r="B96" i="1"/>
  <c r="M95" i="1" a="1"/>
  <c r="M95" i="1"/>
  <c r="K95" i="1" a="1"/>
  <c r="K95" i="1"/>
  <c r="L95" i="1" s="1"/>
  <c r="H95" i="1" a="1"/>
  <c r="H95" i="1"/>
  <c r="G95" i="1" a="1"/>
  <c r="G95" i="1"/>
  <c r="F95" i="1" a="1"/>
  <c r="F95" i="1"/>
  <c r="E95" i="1" a="1"/>
  <c r="E95" i="1"/>
  <c r="D95" i="1" a="1"/>
  <c r="D95" i="1"/>
  <c r="C95" i="1" a="1"/>
  <c r="C95" i="1"/>
  <c r="B95" i="1" a="1"/>
  <c r="B95" i="1"/>
  <c r="M94" i="1" a="1"/>
  <c r="M94" i="1"/>
  <c r="K94" i="1" a="1"/>
  <c r="K94" i="1"/>
  <c r="L94" i="1" s="1"/>
  <c r="H94" i="1" a="1"/>
  <c r="H94" i="1"/>
  <c r="G94" i="1" a="1"/>
  <c r="G94" i="1"/>
  <c r="F94" i="1" a="1"/>
  <c r="F94" i="1"/>
  <c r="E94" i="1" a="1"/>
  <c r="E94" i="1"/>
  <c r="D94" i="1" a="1"/>
  <c r="D94" i="1"/>
  <c r="C94" i="1" a="1"/>
  <c r="C94" i="1"/>
  <c r="B94" i="1" a="1"/>
  <c r="B94" i="1"/>
  <c r="M93" i="1" a="1"/>
  <c r="M93" i="1"/>
  <c r="K93" i="1" a="1"/>
  <c r="K93" i="1"/>
  <c r="L93" i="1" s="1"/>
  <c r="H93" i="1" a="1"/>
  <c r="H93" i="1"/>
  <c r="G93" i="1" a="1"/>
  <c r="G93" i="1"/>
  <c r="F93" i="1" a="1"/>
  <c r="F93" i="1"/>
  <c r="E93" i="1" a="1"/>
  <c r="E93" i="1"/>
  <c r="D93" i="1" a="1"/>
  <c r="D93" i="1"/>
  <c r="C93" i="1" a="1"/>
  <c r="C93" i="1"/>
  <c r="B93" i="1" a="1"/>
  <c r="B93" i="1"/>
  <c r="M92" i="1" a="1"/>
  <c r="M92" i="1"/>
  <c r="K92" i="1" a="1"/>
  <c r="K92" i="1"/>
  <c r="L92" i="1" s="1"/>
  <c r="H92" i="1" a="1"/>
  <c r="H92" i="1"/>
  <c r="G92" i="1" a="1"/>
  <c r="G92" i="1"/>
  <c r="F92" i="1" a="1"/>
  <c r="F92" i="1"/>
  <c r="E92" i="1" a="1"/>
  <c r="E92" i="1"/>
  <c r="D92" i="1" a="1"/>
  <c r="D92" i="1"/>
  <c r="C92" i="1" a="1"/>
  <c r="C92" i="1"/>
  <c r="B92" i="1" a="1"/>
  <c r="B92" i="1"/>
  <c r="M91" i="1" a="1"/>
  <c r="M91" i="1"/>
  <c r="K91" i="1" a="1"/>
  <c r="K91" i="1"/>
  <c r="L91" i="1" s="1"/>
  <c r="H91" i="1" a="1"/>
  <c r="H91" i="1"/>
  <c r="G91" i="1" a="1"/>
  <c r="G91" i="1"/>
  <c r="F91" i="1" a="1"/>
  <c r="F91" i="1"/>
  <c r="E91" i="1" a="1"/>
  <c r="E91" i="1"/>
  <c r="D91" i="1" a="1"/>
  <c r="D91" i="1"/>
  <c r="C91" i="1" a="1"/>
  <c r="C91" i="1"/>
  <c r="B91" i="1" a="1"/>
  <c r="B91" i="1"/>
  <c r="M90" i="1" a="1"/>
  <c r="M90" i="1"/>
  <c r="K90" i="1" a="1"/>
  <c r="K90" i="1"/>
  <c r="L90" i="1" s="1"/>
  <c r="H90" i="1" a="1"/>
  <c r="H90" i="1"/>
  <c r="G90" i="1" a="1"/>
  <c r="G90" i="1"/>
  <c r="F90" i="1" a="1"/>
  <c r="F90" i="1"/>
  <c r="E90" i="1" a="1"/>
  <c r="E90" i="1"/>
  <c r="D90" i="1" a="1"/>
  <c r="D90" i="1"/>
  <c r="C90" i="1" a="1"/>
  <c r="C90" i="1"/>
  <c r="B90" i="1" a="1"/>
  <c r="B90" i="1"/>
  <c r="M89" i="1" a="1"/>
  <c r="M89" i="1"/>
  <c r="K89" i="1" a="1"/>
  <c r="K89" i="1"/>
  <c r="L89" i="1" s="1"/>
  <c r="H89" i="1" a="1"/>
  <c r="H89" i="1"/>
  <c r="G89" i="1" a="1"/>
  <c r="G89" i="1"/>
  <c r="F89" i="1" a="1"/>
  <c r="F89" i="1"/>
  <c r="E89" i="1" a="1"/>
  <c r="E89" i="1"/>
  <c r="D89" i="1" a="1"/>
  <c r="D89" i="1"/>
  <c r="C89" i="1" a="1"/>
  <c r="C89" i="1"/>
  <c r="B89" i="1" a="1"/>
  <c r="B89" i="1"/>
  <c r="M88" i="1" a="1"/>
  <c r="M88" i="1"/>
  <c r="K88" i="1" a="1"/>
  <c r="K88" i="1"/>
  <c r="L88" i="1" s="1"/>
  <c r="H88" i="1" a="1"/>
  <c r="H88" i="1"/>
  <c r="G88" i="1" a="1"/>
  <c r="G88" i="1"/>
  <c r="F88" i="1" a="1"/>
  <c r="F88" i="1"/>
  <c r="E88" i="1" a="1"/>
  <c r="E88" i="1"/>
  <c r="D88" i="1" a="1"/>
  <c r="D88" i="1"/>
  <c r="C88" i="1" a="1"/>
  <c r="C88" i="1"/>
  <c r="B88" i="1" a="1"/>
  <c r="B88" i="1"/>
  <c r="M87" i="1" a="1"/>
  <c r="M87" i="1"/>
  <c r="K87" i="1" a="1"/>
  <c r="K87" i="1"/>
  <c r="L87" i="1" s="1"/>
  <c r="H87" i="1" a="1"/>
  <c r="H87" i="1"/>
  <c r="G87" i="1" a="1"/>
  <c r="G87" i="1"/>
  <c r="F87" i="1" a="1"/>
  <c r="F87" i="1"/>
  <c r="E87" i="1" a="1"/>
  <c r="E87" i="1"/>
  <c r="D87" i="1" a="1"/>
  <c r="D87" i="1"/>
  <c r="C87" i="1" a="1"/>
  <c r="C87" i="1"/>
  <c r="B87" i="1" a="1"/>
  <c r="B87" i="1"/>
  <c r="M86" i="1" a="1"/>
  <c r="M86" i="1"/>
  <c r="K86" i="1" a="1"/>
  <c r="K86" i="1"/>
  <c r="L86" i="1" s="1"/>
  <c r="H86" i="1" a="1"/>
  <c r="H86" i="1"/>
  <c r="G86" i="1" a="1"/>
  <c r="G86" i="1"/>
  <c r="F86" i="1" a="1"/>
  <c r="F86" i="1"/>
  <c r="E86" i="1" a="1"/>
  <c r="E86" i="1"/>
  <c r="D86" i="1" a="1"/>
  <c r="D86" i="1"/>
  <c r="C86" i="1" a="1"/>
  <c r="C86" i="1"/>
  <c r="B86" i="1" a="1"/>
  <c r="B86" i="1"/>
  <c r="M85" i="1" a="1"/>
  <c r="M85" i="1"/>
  <c r="K85" i="1" a="1"/>
  <c r="K85" i="1"/>
  <c r="L85" i="1" s="1"/>
  <c r="H85" i="1" a="1"/>
  <c r="H85" i="1"/>
  <c r="G85" i="1" a="1"/>
  <c r="G85" i="1"/>
  <c r="F85" i="1" a="1"/>
  <c r="F85" i="1"/>
  <c r="E85" i="1" a="1"/>
  <c r="E85" i="1"/>
  <c r="D85" i="1" a="1"/>
  <c r="D85" i="1"/>
  <c r="C85" i="1" a="1"/>
  <c r="C85" i="1"/>
  <c r="B85" i="1" a="1"/>
  <c r="B85" i="1"/>
  <c r="M84" i="1" a="1"/>
  <c r="M84" i="1"/>
  <c r="K84" i="1" a="1"/>
  <c r="K84" i="1"/>
  <c r="L84" i="1" s="1"/>
  <c r="H84" i="1" a="1"/>
  <c r="H84" i="1"/>
  <c r="G84" i="1" a="1"/>
  <c r="G84" i="1"/>
  <c r="F84" i="1" a="1"/>
  <c r="F84" i="1"/>
  <c r="E84" i="1" a="1"/>
  <c r="E84" i="1"/>
  <c r="D84" i="1" a="1"/>
  <c r="D84" i="1"/>
  <c r="C84" i="1" a="1"/>
  <c r="C84" i="1"/>
  <c r="B84" i="1" a="1"/>
  <c r="B84" i="1"/>
  <c r="M83" i="1" a="1"/>
  <c r="M83" i="1"/>
  <c r="K83" i="1" a="1"/>
  <c r="K83" i="1"/>
  <c r="L83" i="1" s="1"/>
  <c r="H83" i="1" a="1"/>
  <c r="H83" i="1"/>
  <c r="G83" i="1" a="1"/>
  <c r="G83" i="1"/>
  <c r="F83" i="1" a="1"/>
  <c r="F83" i="1"/>
  <c r="E83" i="1" a="1"/>
  <c r="E83" i="1"/>
  <c r="D83" i="1" a="1"/>
  <c r="D83" i="1"/>
  <c r="C83" i="1" a="1"/>
  <c r="C83" i="1"/>
  <c r="B83" i="1" a="1"/>
  <c r="B83" i="1"/>
  <c r="M82" i="1" a="1"/>
  <c r="M82" i="1"/>
  <c r="K82" i="1" a="1"/>
  <c r="K82" i="1"/>
  <c r="L82" i="1" s="1"/>
  <c r="H82" i="1" a="1"/>
  <c r="H82" i="1"/>
  <c r="G82" i="1" a="1"/>
  <c r="G82" i="1"/>
  <c r="F82" i="1" a="1"/>
  <c r="F82" i="1"/>
  <c r="E82" i="1" a="1"/>
  <c r="E82" i="1"/>
  <c r="D82" i="1" a="1"/>
  <c r="D82" i="1"/>
  <c r="C82" i="1" a="1"/>
  <c r="C82" i="1"/>
  <c r="B82" i="1" a="1"/>
  <c r="B82" i="1"/>
  <c r="M81" i="1" a="1"/>
  <c r="M81" i="1"/>
  <c r="K81" i="1" a="1"/>
  <c r="K81" i="1"/>
  <c r="L81" i="1" s="1"/>
  <c r="H81" i="1" a="1"/>
  <c r="H81" i="1"/>
  <c r="G81" i="1" a="1"/>
  <c r="G81" i="1"/>
  <c r="F81" i="1" a="1"/>
  <c r="F81" i="1"/>
  <c r="E81" i="1" a="1"/>
  <c r="E81" i="1"/>
  <c r="D81" i="1" a="1"/>
  <c r="D81" i="1"/>
  <c r="C81" i="1" a="1"/>
  <c r="C81" i="1"/>
  <c r="B81" i="1" a="1"/>
  <c r="B81" i="1"/>
  <c r="M80" i="1" a="1"/>
  <c r="M80" i="1"/>
  <c r="K80" i="1" a="1"/>
  <c r="K80" i="1"/>
  <c r="L80" i="1" s="1"/>
  <c r="H80" i="1" a="1"/>
  <c r="H80" i="1"/>
  <c r="G80" i="1" a="1"/>
  <c r="G80" i="1"/>
  <c r="F80" i="1" a="1"/>
  <c r="F80" i="1"/>
  <c r="E80" i="1" a="1"/>
  <c r="E80" i="1"/>
  <c r="D80" i="1" a="1"/>
  <c r="D80" i="1"/>
  <c r="C80" i="1" a="1"/>
  <c r="C80" i="1"/>
  <c r="B80" i="1" a="1"/>
  <c r="B80" i="1"/>
  <c r="M79" i="1" a="1"/>
  <c r="M79" i="1"/>
  <c r="K79" i="1" a="1"/>
  <c r="K79" i="1"/>
  <c r="L79" i="1" s="1"/>
  <c r="H79" i="1" a="1"/>
  <c r="H79" i="1"/>
  <c r="G79" i="1" a="1"/>
  <c r="G79" i="1"/>
  <c r="F79" i="1" a="1"/>
  <c r="F79" i="1"/>
  <c r="E79" i="1" a="1"/>
  <c r="E79" i="1"/>
  <c r="D79" i="1" a="1"/>
  <c r="D79" i="1"/>
  <c r="C79" i="1" a="1"/>
  <c r="C79" i="1"/>
  <c r="B79" i="1" a="1"/>
  <c r="B79" i="1"/>
  <c r="M78" i="1" a="1"/>
  <c r="M78" i="1"/>
  <c r="K78" i="1" a="1"/>
  <c r="K78" i="1"/>
  <c r="L78" i="1" s="1"/>
  <c r="H78" i="1" a="1"/>
  <c r="H78" i="1"/>
  <c r="G78" i="1" a="1"/>
  <c r="G78" i="1"/>
  <c r="F78" i="1" a="1"/>
  <c r="F78" i="1"/>
  <c r="E78" i="1" a="1"/>
  <c r="E78" i="1"/>
  <c r="D78" i="1" a="1"/>
  <c r="D78" i="1"/>
  <c r="C78" i="1" a="1"/>
  <c r="C78" i="1"/>
  <c r="B78" i="1" a="1"/>
  <c r="B78" i="1"/>
  <c r="M77" i="1" a="1"/>
  <c r="M77" i="1"/>
  <c r="K77" i="1" a="1"/>
  <c r="K77" i="1"/>
  <c r="L77" i="1" s="1"/>
  <c r="H77" i="1" a="1"/>
  <c r="H77" i="1"/>
  <c r="G77" i="1" a="1"/>
  <c r="G77" i="1"/>
  <c r="F77" i="1" a="1"/>
  <c r="F77" i="1"/>
  <c r="E77" i="1" a="1"/>
  <c r="E77" i="1"/>
  <c r="D77" i="1" a="1"/>
  <c r="D77" i="1"/>
  <c r="C77" i="1" a="1"/>
  <c r="C77" i="1"/>
  <c r="B77" i="1" a="1"/>
  <c r="B77" i="1"/>
  <c r="M76" i="1" a="1"/>
  <c r="M76" i="1"/>
  <c r="K76" i="1" a="1"/>
  <c r="K76" i="1"/>
  <c r="L76" i="1" s="1"/>
  <c r="H76" i="1" a="1"/>
  <c r="H76" i="1"/>
  <c r="G76" i="1" a="1"/>
  <c r="G76" i="1"/>
  <c r="F76" i="1" a="1"/>
  <c r="F76" i="1"/>
  <c r="E76" i="1" a="1"/>
  <c r="E76" i="1"/>
  <c r="D76" i="1" a="1"/>
  <c r="D76" i="1"/>
  <c r="C76" i="1" a="1"/>
  <c r="C76" i="1"/>
  <c r="B76" i="1" a="1"/>
  <c r="B76" i="1"/>
  <c r="M75" i="1" a="1"/>
  <c r="M75" i="1"/>
  <c r="K75" i="1" a="1"/>
  <c r="K75" i="1"/>
  <c r="L75" i="1" s="1"/>
  <c r="H75" i="1" a="1"/>
  <c r="H75" i="1"/>
  <c r="G75" i="1" a="1"/>
  <c r="G75" i="1"/>
  <c r="F75" i="1" a="1"/>
  <c r="F75" i="1"/>
  <c r="E75" i="1" a="1"/>
  <c r="E75" i="1"/>
  <c r="D75" i="1" a="1"/>
  <c r="D75" i="1"/>
  <c r="C75" i="1" a="1"/>
  <c r="C75" i="1"/>
  <c r="B75" i="1" a="1"/>
  <c r="B75" i="1"/>
  <c r="M74" i="1" a="1"/>
  <c r="M74" i="1"/>
  <c r="K74" i="1" a="1"/>
  <c r="K74" i="1"/>
  <c r="L74" i="1" s="1"/>
  <c r="H74" i="1" a="1"/>
  <c r="H74" i="1"/>
  <c r="G74" i="1" a="1"/>
  <c r="G74" i="1"/>
  <c r="F74" i="1" a="1"/>
  <c r="F74" i="1"/>
  <c r="E74" i="1" a="1"/>
  <c r="E74" i="1"/>
  <c r="D74" i="1" a="1"/>
  <c r="D74" i="1"/>
  <c r="C74" i="1" a="1"/>
  <c r="C74" i="1"/>
  <c r="B74" i="1" a="1"/>
  <c r="B74" i="1"/>
  <c r="M73" i="1" a="1"/>
  <c r="M73" i="1"/>
  <c r="K73" i="1" a="1"/>
  <c r="K73" i="1"/>
  <c r="L73" i="1" s="1"/>
  <c r="H73" i="1" a="1"/>
  <c r="H73" i="1"/>
  <c r="G73" i="1" a="1"/>
  <c r="G73" i="1"/>
  <c r="F73" i="1" a="1"/>
  <c r="F73" i="1"/>
  <c r="E73" i="1" a="1"/>
  <c r="E73" i="1"/>
  <c r="D73" i="1" a="1"/>
  <c r="D73" i="1"/>
  <c r="C73" i="1" a="1"/>
  <c r="C73" i="1"/>
  <c r="B73" i="1" a="1"/>
  <c r="B73" i="1"/>
  <c r="M72" i="1" a="1"/>
  <c r="M72" i="1"/>
  <c r="K72" i="1" a="1"/>
  <c r="K72" i="1"/>
  <c r="L72" i="1" s="1"/>
  <c r="H72" i="1" a="1"/>
  <c r="H72" i="1"/>
  <c r="G72" i="1" a="1"/>
  <c r="G72" i="1"/>
  <c r="F72" i="1" a="1"/>
  <c r="F72" i="1"/>
  <c r="E72" i="1" a="1"/>
  <c r="E72" i="1"/>
  <c r="D72" i="1" a="1"/>
  <c r="D72" i="1"/>
  <c r="C72" i="1" a="1"/>
  <c r="C72" i="1"/>
  <c r="B72" i="1" a="1"/>
  <c r="B72" i="1"/>
  <c r="M71" i="1" a="1"/>
  <c r="M71" i="1"/>
  <c r="K71" i="1" a="1"/>
  <c r="K71" i="1"/>
  <c r="L71" i="1" s="1"/>
  <c r="H71" i="1" a="1"/>
  <c r="H71" i="1"/>
  <c r="G71" i="1" a="1"/>
  <c r="G71" i="1"/>
  <c r="F71" i="1" a="1"/>
  <c r="F71" i="1"/>
  <c r="E71" i="1" a="1"/>
  <c r="E71" i="1"/>
  <c r="D71" i="1" a="1"/>
  <c r="D71" i="1"/>
  <c r="C71" i="1" a="1"/>
  <c r="C71" i="1"/>
  <c r="B71" i="1" a="1"/>
  <c r="B71" i="1"/>
  <c r="M70" i="1" a="1"/>
  <c r="M70" i="1"/>
  <c r="K70" i="1" a="1"/>
  <c r="K70" i="1"/>
  <c r="L70" i="1" s="1"/>
  <c r="H70" i="1" a="1"/>
  <c r="H70" i="1"/>
  <c r="G70" i="1" a="1"/>
  <c r="G70" i="1"/>
  <c r="F70" i="1" a="1"/>
  <c r="F70" i="1"/>
  <c r="E70" i="1" a="1"/>
  <c r="E70" i="1"/>
  <c r="D70" i="1" a="1"/>
  <c r="D70" i="1"/>
  <c r="C70" i="1" a="1"/>
  <c r="C70" i="1"/>
  <c r="B70" i="1" a="1"/>
  <c r="B70" i="1"/>
  <c r="M69" i="1" a="1"/>
  <c r="M69" i="1"/>
  <c r="K69" i="1" a="1"/>
  <c r="K69" i="1"/>
  <c r="L69" i="1" s="1"/>
  <c r="H69" i="1" a="1"/>
  <c r="H69" i="1"/>
  <c r="G69" i="1" a="1"/>
  <c r="G69" i="1"/>
  <c r="F69" i="1" a="1"/>
  <c r="F69" i="1"/>
  <c r="E69" i="1" a="1"/>
  <c r="E69" i="1"/>
  <c r="D69" i="1" a="1"/>
  <c r="D69" i="1"/>
  <c r="C69" i="1" a="1"/>
  <c r="C69" i="1"/>
  <c r="B69" i="1" a="1"/>
  <c r="B69" i="1"/>
  <c r="M68" i="1" a="1"/>
  <c r="M68" i="1"/>
  <c r="K68" i="1" a="1"/>
  <c r="K68" i="1"/>
  <c r="L68" i="1" s="1"/>
  <c r="H68" i="1" a="1"/>
  <c r="H68" i="1"/>
  <c r="G68" i="1" a="1"/>
  <c r="G68" i="1"/>
  <c r="F68" i="1" a="1"/>
  <c r="F68" i="1"/>
  <c r="E68" i="1" a="1"/>
  <c r="E68" i="1"/>
  <c r="D68" i="1" a="1"/>
  <c r="D68" i="1"/>
  <c r="C68" i="1" a="1"/>
  <c r="C68" i="1"/>
  <c r="B68" i="1" a="1"/>
  <c r="B68" i="1"/>
  <c r="M67" i="1" a="1"/>
  <c r="M67" i="1"/>
  <c r="K67" i="1" a="1"/>
  <c r="K67" i="1"/>
  <c r="L67" i="1" s="1"/>
  <c r="H67" i="1" a="1"/>
  <c r="H67" i="1"/>
  <c r="G67" i="1" a="1"/>
  <c r="G67" i="1"/>
  <c r="F67" i="1" a="1"/>
  <c r="F67" i="1"/>
  <c r="E67" i="1" a="1"/>
  <c r="E67" i="1"/>
  <c r="D67" i="1" a="1"/>
  <c r="D67" i="1"/>
  <c r="C67" i="1" a="1"/>
  <c r="C67" i="1"/>
  <c r="B67" i="1" a="1"/>
  <c r="B67" i="1"/>
  <c r="M66" i="1" a="1"/>
  <c r="M66" i="1"/>
  <c r="K66" i="1" a="1"/>
  <c r="K66" i="1"/>
  <c r="L66" i="1" s="1"/>
  <c r="H66" i="1" a="1"/>
  <c r="H66" i="1"/>
  <c r="G66" i="1" a="1"/>
  <c r="G66" i="1"/>
  <c r="F66" i="1" a="1"/>
  <c r="F66" i="1"/>
  <c r="E66" i="1" a="1"/>
  <c r="E66" i="1"/>
  <c r="D66" i="1" a="1"/>
  <c r="D66" i="1"/>
  <c r="C66" i="1" a="1"/>
  <c r="C66" i="1"/>
  <c r="B66" i="1" a="1"/>
  <c r="B66" i="1"/>
  <c r="M65" i="1" a="1"/>
  <c r="M65" i="1"/>
  <c r="K65" i="1" a="1"/>
  <c r="K65" i="1"/>
  <c r="L65" i="1" s="1"/>
  <c r="H65" i="1" a="1"/>
  <c r="H65" i="1"/>
  <c r="G65" i="1" a="1"/>
  <c r="G65" i="1"/>
  <c r="F65" i="1" a="1"/>
  <c r="F65" i="1"/>
  <c r="E65" i="1" a="1"/>
  <c r="E65" i="1"/>
  <c r="D65" i="1" a="1"/>
  <c r="D65" i="1"/>
  <c r="C65" i="1" a="1"/>
  <c r="C65" i="1"/>
  <c r="B65" i="1" a="1"/>
  <c r="B65" i="1"/>
  <c r="K64" i="1" a="1"/>
  <c r="K64" i="1"/>
  <c r="L64" i="1" s="1"/>
  <c r="H64" i="1" a="1"/>
  <c r="H64" i="1"/>
  <c r="G64" i="1" a="1"/>
  <c r="G64" i="1"/>
  <c r="F64" i="1" a="1"/>
  <c r="F64" i="1"/>
  <c r="E64" i="1" a="1"/>
  <c r="E64" i="1"/>
  <c r="D64" i="1" a="1"/>
  <c r="D64" i="1"/>
  <c r="C64" i="1" a="1"/>
  <c r="C64" i="1"/>
  <c r="B64" i="1" a="1"/>
  <c r="B64" i="1"/>
  <c r="M63" i="1" a="1"/>
  <c r="M63" i="1"/>
  <c r="K63" i="1" a="1"/>
  <c r="K63" i="1"/>
  <c r="L63" i="1" s="1"/>
  <c r="H63" i="1" a="1"/>
  <c r="H63" i="1"/>
  <c r="G63" i="1" a="1"/>
  <c r="G63" i="1"/>
  <c r="F63" i="1" a="1"/>
  <c r="F63" i="1"/>
  <c r="E63" i="1" a="1"/>
  <c r="E63" i="1"/>
  <c r="D63" i="1" a="1"/>
  <c r="D63" i="1"/>
  <c r="C63" i="1" a="1"/>
  <c r="C63" i="1"/>
  <c r="B63" i="1" a="1"/>
  <c r="B63" i="1"/>
  <c r="M62" i="1" a="1"/>
  <c r="M62" i="1"/>
  <c r="K62" i="1" a="1"/>
  <c r="K62" i="1"/>
  <c r="L62" i="1" s="1"/>
  <c r="H62" i="1" a="1"/>
  <c r="H62" i="1"/>
  <c r="G62" i="1" a="1"/>
  <c r="G62" i="1"/>
  <c r="F62" i="1" a="1"/>
  <c r="F62" i="1"/>
  <c r="E62" i="1" a="1"/>
  <c r="E62" i="1"/>
  <c r="D62" i="1" a="1"/>
  <c r="D62" i="1"/>
  <c r="C62" i="1" a="1"/>
  <c r="C62" i="1"/>
  <c r="B62" i="1" a="1"/>
  <c r="B62" i="1"/>
  <c r="M61" i="1" a="1"/>
  <c r="M61" i="1"/>
  <c r="K61" i="1" a="1"/>
  <c r="K61" i="1"/>
  <c r="L61" i="1" s="1"/>
  <c r="H61" i="1" a="1"/>
  <c r="H61" i="1"/>
  <c r="G61" i="1" a="1"/>
  <c r="G61" i="1"/>
  <c r="F61" i="1" a="1"/>
  <c r="F61" i="1"/>
  <c r="E61" i="1" a="1"/>
  <c r="E61" i="1"/>
  <c r="D61" i="1" a="1"/>
  <c r="D61" i="1"/>
  <c r="C61" i="1" a="1"/>
  <c r="C61" i="1"/>
  <c r="B61" i="1" a="1"/>
  <c r="B61" i="1"/>
  <c r="M60" i="1" a="1"/>
  <c r="M60" i="1"/>
  <c r="K60" i="1" a="1"/>
  <c r="K60" i="1"/>
  <c r="L60" i="1" s="1"/>
  <c r="H60" i="1" a="1"/>
  <c r="H60" i="1"/>
  <c r="G60" i="1" a="1"/>
  <c r="G60" i="1"/>
  <c r="F60" i="1" a="1"/>
  <c r="F60" i="1"/>
  <c r="E60" i="1" a="1"/>
  <c r="E60" i="1"/>
  <c r="D60" i="1" a="1"/>
  <c r="D60" i="1"/>
  <c r="C60" i="1" a="1"/>
  <c r="C60" i="1"/>
  <c r="B60" i="1" a="1"/>
  <c r="B60" i="1"/>
  <c r="M59" i="1" a="1"/>
  <c r="M59" i="1"/>
  <c r="K59" i="1" a="1"/>
  <c r="K59" i="1"/>
  <c r="L59" i="1" s="1"/>
  <c r="H59" i="1" a="1"/>
  <c r="H59" i="1"/>
  <c r="G59" i="1" a="1"/>
  <c r="G59" i="1"/>
  <c r="F59" i="1" a="1"/>
  <c r="F59" i="1"/>
  <c r="E59" i="1" a="1"/>
  <c r="E59" i="1"/>
  <c r="D59" i="1" a="1"/>
  <c r="D59" i="1"/>
  <c r="C59" i="1" a="1"/>
  <c r="C59" i="1"/>
  <c r="B59" i="1" a="1"/>
  <c r="B59" i="1"/>
  <c r="M58" i="1" a="1"/>
  <c r="M58" i="1"/>
  <c r="K58" i="1" a="1"/>
  <c r="K58" i="1"/>
  <c r="L58" i="1" s="1"/>
  <c r="H58" i="1" a="1"/>
  <c r="H58" i="1"/>
  <c r="G58" i="1" a="1"/>
  <c r="G58" i="1"/>
  <c r="F58" i="1" a="1"/>
  <c r="F58" i="1"/>
  <c r="E58" i="1" a="1"/>
  <c r="E58" i="1"/>
  <c r="D58" i="1" a="1"/>
  <c r="D58" i="1"/>
  <c r="C58" i="1" a="1"/>
  <c r="C58" i="1"/>
  <c r="B58" i="1" a="1"/>
  <c r="B58" i="1"/>
  <c r="M57" i="1" a="1"/>
  <c r="M57" i="1"/>
  <c r="K57" i="1" a="1"/>
  <c r="K57" i="1"/>
  <c r="L57" i="1" s="1"/>
  <c r="H57" i="1" a="1"/>
  <c r="H57" i="1"/>
  <c r="G57" i="1" a="1"/>
  <c r="G57" i="1"/>
  <c r="F57" i="1" a="1"/>
  <c r="F57" i="1"/>
  <c r="E57" i="1" a="1"/>
  <c r="E57" i="1"/>
  <c r="D57" i="1" a="1"/>
  <c r="D57" i="1"/>
  <c r="C57" i="1" a="1"/>
  <c r="C57" i="1"/>
  <c r="B57" i="1" a="1"/>
  <c r="B57" i="1"/>
  <c r="M56" i="1" a="1"/>
  <c r="M56" i="1"/>
  <c r="K56" i="1" a="1"/>
  <c r="K56" i="1"/>
  <c r="L56" i="1" s="1"/>
  <c r="H56" i="1" a="1"/>
  <c r="H56" i="1"/>
  <c r="G56" i="1" a="1"/>
  <c r="G56" i="1"/>
  <c r="F56" i="1" a="1"/>
  <c r="F56" i="1"/>
  <c r="E56" i="1" a="1"/>
  <c r="E56" i="1"/>
  <c r="D56" i="1" a="1"/>
  <c r="D56" i="1"/>
  <c r="C56" i="1" a="1"/>
  <c r="C56" i="1"/>
  <c r="B56" i="1" a="1"/>
  <c r="B56" i="1"/>
  <c r="M55" i="1" a="1"/>
  <c r="M55" i="1"/>
  <c r="K55" i="1" a="1"/>
  <c r="K55" i="1"/>
  <c r="L55" i="1" s="1"/>
  <c r="H55" i="1" a="1"/>
  <c r="H55" i="1"/>
  <c r="G55" i="1" a="1"/>
  <c r="G55" i="1"/>
  <c r="F55" i="1" a="1"/>
  <c r="F55" i="1"/>
  <c r="E55" i="1" a="1"/>
  <c r="E55" i="1"/>
  <c r="D55" i="1" a="1"/>
  <c r="D55" i="1"/>
  <c r="C55" i="1" a="1"/>
  <c r="C55" i="1"/>
  <c r="B55" i="1" a="1"/>
  <c r="B55" i="1"/>
  <c r="M54" i="1" a="1"/>
  <c r="M54" i="1"/>
  <c r="K54" i="1" a="1"/>
  <c r="K54" i="1"/>
  <c r="L54" i="1" s="1"/>
  <c r="H54" i="1" a="1"/>
  <c r="H54" i="1"/>
  <c r="G54" i="1" a="1"/>
  <c r="G54" i="1"/>
  <c r="F54" i="1" a="1"/>
  <c r="F54" i="1"/>
  <c r="E54" i="1" a="1"/>
  <c r="E54" i="1"/>
  <c r="D54" i="1" a="1"/>
  <c r="D54" i="1"/>
  <c r="C54" i="1" a="1"/>
  <c r="C54" i="1"/>
  <c r="B54" i="1" a="1"/>
  <c r="B54" i="1"/>
  <c r="M53" i="1" a="1"/>
  <c r="M53" i="1"/>
  <c r="K53" i="1" a="1"/>
  <c r="K53" i="1"/>
  <c r="L53" i="1" s="1"/>
  <c r="H53" i="1" a="1"/>
  <c r="H53" i="1"/>
  <c r="G53" i="1" a="1"/>
  <c r="G53" i="1"/>
  <c r="F53" i="1" a="1"/>
  <c r="F53" i="1"/>
  <c r="E53" i="1" a="1"/>
  <c r="E53" i="1"/>
  <c r="D53" i="1" a="1"/>
  <c r="D53" i="1"/>
  <c r="C53" i="1" a="1"/>
  <c r="C53" i="1"/>
  <c r="B53" i="1" a="1"/>
  <c r="B53" i="1"/>
  <c r="M52" i="1" a="1"/>
  <c r="M52" i="1"/>
  <c r="K52" i="1" a="1"/>
  <c r="K52" i="1"/>
  <c r="L52" i="1" s="1"/>
  <c r="H52" i="1" a="1"/>
  <c r="H52" i="1"/>
  <c r="G52" i="1" a="1"/>
  <c r="G52" i="1"/>
  <c r="F52" i="1" a="1"/>
  <c r="F52" i="1"/>
  <c r="E52" i="1" a="1"/>
  <c r="E52" i="1"/>
  <c r="D52" i="1" a="1"/>
  <c r="D52" i="1"/>
  <c r="C52" i="1" a="1"/>
  <c r="C52" i="1"/>
  <c r="B52" i="1" a="1"/>
  <c r="B52" i="1"/>
  <c r="M51" i="1" a="1"/>
  <c r="M51" i="1"/>
  <c r="K51" i="1" a="1"/>
  <c r="K51" i="1"/>
  <c r="L51" i="1" s="1"/>
  <c r="H51" i="1" a="1"/>
  <c r="H51" i="1"/>
  <c r="G51" i="1" a="1"/>
  <c r="G51" i="1"/>
  <c r="F51" i="1" a="1"/>
  <c r="F51" i="1"/>
  <c r="E51" i="1" a="1"/>
  <c r="E51" i="1"/>
  <c r="D51" i="1" a="1"/>
  <c r="D51" i="1"/>
  <c r="C51" i="1" a="1"/>
  <c r="C51" i="1"/>
  <c r="B51" i="1" a="1"/>
  <c r="B51" i="1"/>
  <c r="M50" i="1" a="1"/>
  <c r="M50" i="1"/>
  <c r="K50" i="1" a="1"/>
  <c r="K50" i="1"/>
  <c r="L50" i="1" s="1"/>
  <c r="H50" i="1" a="1"/>
  <c r="H50" i="1"/>
  <c r="G50" i="1" a="1"/>
  <c r="G50" i="1"/>
  <c r="F50" i="1" a="1"/>
  <c r="F50" i="1"/>
  <c r="E50" i="1" a="1"/>
  <c r="E50" i="1"/>
  <c r="D50" i="1" a="1"/>
  <c r="D50" i="1"/>
  <c r="C50" i="1" a="1"/>
  <c r="C50" i="1"/>
  <c r="B50" i="1" a="1"/>
  <c r="B50" i="1"/>
  <c r="M49" i="1" a="1"/>
  <c r="M49" i="1"/>
  <c r="K49" i="1" a="1"/>
  <c r="K49" i="1"/>
  <c r="L49" i="1" s="1"/>
  <c r="H49" i="1" a="1"/>
  <c r="H49" i="1"/>
  <c r="G49" i="1" a="1"/>
  <c r="G49" i="1"/>
  <c r="F49" i="1" a="1"/>
  <c r="F49" i="1"/>
  <c r="E49" i="1" a="1"/>
  <c r="E49" i="1"/>
  <c r="D49" i="1" a="1"/>
  <c r="D49" i="1"/>
  <c r="C49" i="1" a="1"/>
  <c r="C49" i="1"/>
  <c r="B49" i="1" a="1"/>
  <c r="B49" i="1"/>
  <c r="M48" i="1" a="1"/>
  <c r="M48" i="1"/>
  <c r="K48" i="1" a="1"/>
  <c r="K48" i="1"/>
  <c r="L48" i="1" s="1"/>
  <c r="H48" i="1" a="1"/>
  <c r="H48" i="1"/>
  <c r="G48" i="1" a="1"/>
  <c r="G48" i="1"/>
  <c r="F48" i="1" a="1"/>
  <c r="F48" i="1"/>
  <c r="E48" i="1" a="1"/>
  <c r="E48" i="1"/>
  <c r="D48" i="1" a="1"/>
  <c r="D48" i="1"/>
  <c r="C48" i="1" a="1"/>
  <c r="C48" i="1"/>
  <c r="B48" i="1" a="1"/>
  <c r="B48" i="1"/>
  <c r="M47" i="1" a="1"/>
  <c r="M47" i="1"/>
  <c r="K47" i="1" a="1"/>
  <c r="K47" i="1"/>
  <c r="L47" i="1" s="1"/>
  <c r="H47" i="1" a="1"/>
  <c r="H47" i="1"/>
  <c r="G47" i="1" a="1"/>
  <c r="G47" i="1"/>
  <c r="F47" i="1" a="1"/>
  <c r="F47" i="1"/>
  <c r="E47" i="1" a="1"/>
  <c r="E47" i="1"/>
  <c r="D47" i="1" a="1"/>
  <c r="D47" i="1"/>
  <c r="C47" i="1" a="1"/>
  <c r="C47" i="1"/>
  <c r="B47" i="1" a="1"/>
  <c r="B47" i="1"/>
  <c r="M46" i="1" a="1"/>
  <c r="M46" i="1"/>
  <c r="K46" i="1" a="1"/>
  <c r="K46" i="1"/>
  <c r="L46" i="1" s="1"/>
  <c r="H46" i="1" a="1"/>
  <c r="H46" i="1"/>
  <c r="G46" i="1" a="1"/>
  <c r="G46" i="1"/>
  <c r="F46" i="1" a="1"/>
  <c r="F46" i="1"/>
  <c r="E46" i="1" a="1"/>
  <c r="E46" i="1"/>
  <c r="D46" i="1" a="1"/>
  <c r="D46" i="1"/>
  <c r="C46" i="1" a="1"/>
  <c r="C46" i="1"/>
  <c r="B46" i="1" a="1"/>
  <c r="B46" i="1"/>
  <c r="M45" i="1" a="1"/>
  <c r="M45" i="1"/>
  <c r="K45" i="1" a="1"/>
  <c r="K45" i="1"/>
  <c r="L45" i="1" s="1"/>
  <c r="H45" i="1" a="1"/>
  <c r="H45" i="1"/>
  <c r="G45" i="1" a="1"/>
  <c r="G45" i="1"/>
  <c r="F45" i="1" a="1"/>
  <c r="F45" i="1"/>
  <c r="E45" i="1" a="1"/>
  <c r="E45" i="1"/>
  <c r="D45" i="1" a="1"/>
  <c r="D45" i="1"/>
  <c r="C45" i="1" a="1"/>
  <c r="C45" i="1"/>
  <c r="B45" i="1" a="1"/>
  <c r="B45" i="1"/>
  <c r="M44" i="1" a="1"/>
  <c r="M44" i="1"/>
  <c r="K44" i="1" a="1"/>
  <c r="K44" i="1"/>
  <c r="L44" i="1" s="1"/>
  <c r="H44" i="1" a="1"/>
  <c r="H44" i="1"/>
  <c r="G44" i="1" a="1"/>
  <c r="G44" i="1"/>
  <c r="F44" i="1" a="1"/>
  <c r="F44" i="1"/>
  <c r="E44" i="1" a="1"/>
  <c r="E44" i="1"/>
  <c r="D44" i="1" a="1"/>
  <c r="D44" i="1"/>
  <c r="C44" i="1" a="1"/>
  <c r="C44" i="1"/>
  <c r="B44" i="1" a="1"/>
  <c r="B44" i="1"/>
  <c r="M43" i="1" a="1"/>
  <c r="M43" i="1"/>
  <c r="K43" i="1" a="1"/>
  <c r="K43" i="1"/>
  <c r="L43" i="1" s="1"/>
  <c r="H43" i="1" a="1"/>
  <c r="H43" i="1"/>
  <c r="G43" i="1" a="1"/>
  <c r="G43" i="1"/>
  <c r="F43" i="1" a="1"/>
  <c r="F43" i="1"/>
  <c r="E43" i="1" a="1"/>
  <c r="E43" i="1"/>
  <c r="D43" i="1" a="1"/>
  <c r="D43" i="1"/>
  <c r="C43" i="1" a="1"/>
  <c r="C43" i="1"/>
  <c r="B43" i="1" a="1"/>
  <c r="B43" i="1"/>
  <c r="M42" i="1" a="1"/>
  <c r="M42" i="1"/>
  <c r="K42" i="1" a="1"/>
  <c r="K42" i="1"/>
  <c r="L42" i="1" s="1"/>
  <c r="H42" i="1" a="1"/>
  <c r="H42" i="1"/>
  <c r="G42" i="1" a="1"/>
  <c r="G42" i="1"/>
  <c r="F42" i="1" a="1"/>
  <c r="F42" i="1"/>
  <c r="E42" i="1" a="1"/>
  <c r="E42" i="1"/>
  <c r="D42" i="1" a="1"/>
  <c r="D42" i="1"/>
  <c r="C42" i="1" a="1"/>
  <c r="C42" i="1"/>
  <c r="B42" i="1" a="1"/>
  <c r="B42" i="1"/>
  <c r="M41" i="1" a="1"/>
  <c r="M41" i="1"/>
  <c r="K41" i="1" a="1"/>
  <c r="K41" i="1"/>
  <c r="L41" i="1" s="1"/>
  <c r="H41" i="1" a="1"/>
  <c r="H41" i="1"/>
  <c r="G41" i="1" a="1"/>
  <c r="G41" i="1"/>
  <c r="F41" i="1" a="1"/>
  <c r="F41" i="1"/>
  <c r="E41" i="1" a="1"/>
  <c r="E41" i="1"/>
  <c r="D41" i="1" a="1"/>
  <c r="D41" i="1"/>
  <c r="C41" i="1" a="1"/>
  <c r="C41" i="1"/>
  <c r="B41" i="1" a="1"/>
  <c r="B41" i="1"/>
  <c r="M40" i="1" a="1"/>
  <c r="M40" i="1"/>
  <c r="K40" i="1" a="1"/>
  <c r="K40" i="1"/>
  <c r="L40" i="1" s="1"/>
  <c r="H40" i="1" a="1"/>
  <c r="H40" i="1"/>
  <c r="G40" i="1" a="1"/>
  <c r="G40" i="1"/>
  <c r="F40" i="1" a="1"/>
  <c r="F40" i="1"/>
  <c r="E40" i="1" a="1"/>
  <c r="E40" i="1"/>
  <c r="D40" i="1" a="1"/>
  <c r="D40" i="1"/>
  <c r="C40" i="1" a="1"/>
  <c r="C40" i="1"/>
  <c r="B40" i="1" a="1"/>
  <c r="B40" i="1"/>
  <c r="M39" i="1" a="1"/>
  <c r="M39" i="1"/>
  <c r="K39" i="1" a="1"/>
  <c r="K39" i="1"/>
  <c r="L39" i="1" s="1"/>
  <c r="H39" i="1" a="1"/>
  <c r="H39" i="1"/>
  <c r="G39" i="1" a="1"/>
  <c r="G39" i="1"/>
  <c r="F39" i="1" a="1"/>
  <c r="F39" i="1"/>
  <c r="E39" i="1" a="1"/>
  <c r="E39" i="1"/>
  <c r="D39" i="1" a="1"/>
  <c r="D39" i="1"/>
  <c r="C39" i="1" a="1"/>
  <c r="C39" i="1"/>
  <c r="B39" i="1" a="1"/>
  <c r="B39" i="1"/>
  <c r="M38" i="1" a="1"/>
  <c r="M38" i="1"/>
  <c r="K38" i="1" a="1"/>
  <c r="K38" i="1"/>
  <c r="L38" i="1" s="1"/>
  <c r="H38" i="1" a="1"/>
  <c r="H38" i="1"/>
  <c r="G38" i="1" a="1"/>
  <c r="G38" i="1"/>
  <c r="F38" i="1" a="1"/>
  <c r="F38" i="1"/>
  <c r="E38" i="1" a="1"/>
  <c r="E38" i="1"/>
  <c r="D38" i="1" a="1"/>
  <c r="D38" i="1"/>
  <c r="C38" i="1" a="1"/>
  <c r="C38" i="1"/>
  <c r="B38" i="1" a="1"/>
  <c r="B38" i="1"/>
  <c r="M37" i="1" a="1"/>
  <c r="M37" i="1"/>
  <c r="K37" i="1" a="1"/>
  <c r="K37" i="1"/>
  <c r="L37" i="1" s="1"/>
  <c r="H37" i="1" a="1"/>
  <c r="H37" i="1"/>
  <c r="G37" i="1" a="1"/>
  <c r="G37" i="1"/>
  <c r="F37" i="1" a="1"/>
  <c r="F37" i="1"/>
  <c r="E37" i="1" a="1"/>
  <c r="E37" i="1"/>
  <c r="D37" i="1" a="1"/>
  <c r="D37" i="1"/>
  <c r="C37" i="1" a="1"/>
  <c r="C37" i="1"/>
  <c r="B37" i="1" a="1"/>
  <c r="B37" i="1"/>
  <c r="M36" i="1" a="1"/>
  <c r="M36" i="1"/>
  <c r="K36" i="1" a="1"/>
  <c r="K36" i="1"/>
  <c r="L36" i="1" s="1"/>
  <c r="H36" i="1" a="1"/>
  <c r="H36" i="1"/>
  <c r="G36" i="1" a="1"/>
  <c r="G36" i="1"/>
  <c r="F36" i="1" a="1"/>
  <c r="F36" i="1"/>
  <c r="E36" i="1" a="1"/>
  <c r="E36" i="1"/>
  <c r="D36" i="1" a="1"/>
  <c r="D36" i="1"/>
  <c r="C36" i="1" a="1"/>
  <c r="C36" i="1"/>
  <c r="B36" i="1" a="1"/>
  <c r="B36" i="1"/>
  <c r="M35" i="1" a="1"/>
  <c r="M35" i="1"/>
  <c r="K35" i="1" a="1"/>
  <c r="K35" i="1"/>
  <c r="L35" i="1" s="1"/>
  <c r="H35" i="1" a="1"/>
  <c r="H35" i="1"/>
  <c r="G35" i="1" a="1"/>
  <c r="G35" i="1"/>
  <c r="F35" i="1" a="1"/>
  <c r="F35" i="1"/>
  <c r="E35" i="1" a="1"/>
  <c r="E35" i="1"/>
  <c r="D35" i="1" a="1"/>
  <c r="D35" i="1"/>
  <c r="C35" i="1" a="1"/>
  <c r="C35" i="1"/>
  <c r="B35" i="1" a="1"/>
  <c r="B35" i="1"/>
  <c r="M34" i="1" a="1"/>
  <c r="M34" i="1"/>
  <c r="K34" i="1" a="1"/>
  <c r="K34" i="1"/>
  <c r="L34" i="1" s="1"/>
  <c r="H34" i="1" a="1"/>
  <c r="H34" i="1"/>
  <c r="G34" i="1" a="1"/>
  <c r="G34" i="1"/>
  <c r="F34" i="1" a="1"/>
  <c r="F34" i="1"/>
  <c r="E34" i="1" a="1"/>
  <c r="E34" i="1"/>
  <c r="D34" i="1" a="1"/>
  <c r="D34" i="1"/>
  <c r="C34" i="1" a="1"/>
  <c r="C34" i="1"/>
  <c r="B34" i="1" a="1"/>
  <c r="B34" i="1"/>
  <c r="M33" i="1" a="1"/>
  <c r="M33" i="1"/>
  <c r="K33" i="1" a="1"/>
  <c r="K33" i="1"/>
  <c r="L33" i="1" s="1"/>
  <c r="H33" i="1" a="1"/>
  <c r="H33" i="1"/>
  <c r="G33" i="1" a="1"/>
  <c r="G33" i="1"/>
  <c r="F33" i="1" a="1"/>
  <c r="F33" i="1"/>
  <c r="E33" i="1" a="1"/>
  <c r="E33" i="1"/>
  <c r="D33" i="1" a="1"/>
  <c r="D33" i="1"/>
  <c r="C33" i="1" a="1"/>
  <c r="C33" i="1"/>
  <c r="B33" i="1" a="1"/>
  <c r="B33" i="1"/>
  <c r="M32" i="1" a="1"/>
  <c r="M32" i="1"/>
  <c r="K32" i="1" a="1"/>
  <c r="K32" i="1"/>
  <c r="L32" i="1" s="1"/>
  <c r="H32" i="1" a="1"/>
  <c r="H32" i="1"/>
  <c r="G32" i="1" a="1"/>
  <c r="G32" i="1"/>
  <c r="F32" i="1" a="1"/>
  <c r="F32" i="1"/>
  <c r="E32" i="1" a="1"/>
  <c r="E32" i="1"/>
  <c r="D32" i="1" a="1"/>
  <c r="D32" i="1"/>
  <c r="C32" i="1" a="1"/>
  <c r="C32" i="1"/>
  <c r="B32" i="1" a="1"/>
  <c r="B32" i="1"/>
  <c r="M31" i="1" a="1"/>
  <c r="M31" i="1"/>
  <c r="K31" i="1" a="1"/>
  <c r="K31" i="1"/>
  <c r="L31" i="1" s="1"/>
  <c r="H31" i="1" a="1"/>
  <c r="H31" i="1"/>
  <c r="G31" i="1" a="1"/>
  <c r="G31" i="1"/>
  <c r="F31" i="1" a="1"/>
  <c r="F31" i="1"/>
  <c r="E31" i="1" a="1"/>
  <c r="E31" i="1"/>
  <c r="D31" i="1" a="1"/>
  <c r="D31" i="1"/>
  <c r="C31" i="1" a="1"/>
  <c r="C31" i="1"/>
  <c r="B31" i="1" a="1"/>
  <c r="B31" i="1"/>
  <c r="M30" i="1" a="1"/>
  <c r="M30" i="1"/>
  <c r="K30" i="1" a="1"/>
  <c r="K30" i="1"/>
  <c r="L30" i="1" s="1"/>
  <c r="H30" i="1" a="1"/>
  <c r="H30" i="1"/>
  <c r="G30" i="1" a="1"/>
  <c r="G30" i="1"/>
  <c r="F30" i="1" a="1"/>
  <c r="F30" i="1"/>
  <c r="E30" i="1" a="1"/>
  <c r="E30" i="1"/>
  <c r="D30" i="1" a="1"/>
  <c r="D30" i="1"/>
  <c r="C30" i="1" a="1"/>
  <c r="C30" i="1"/>
  <c r="B30" i="1" a="1"/>
  <c r="B30" i="1"/>
  <c r="M29" i="1" a="1"/>
  <c r="M29" i="1"/>
  <c r="K29" i="1" a="1"/>
  <c r="K29" i="1"/>
  <c r="L29" i="1" s="1"/>
  <c r="H29" i="1" a="1"/>
  <c r="H29" i="1"/>
  <c r="G29" i="1" a="1"/>
  <c r="G29" i="1"/>
  <c r="F29" i="1" a="1"/>
  <c r="F29" i="1"/>
  <c r="E29" i="1" a="1"/>
  <c r="E29" i="1"/>
  <c r="D29" i="1" a="1"/>
  <c r="D29" i="1"/>
  <c r="C29" i="1" a="1"/>
  <c r="C29" i="1"/>
  <c r="B29" i="1" a="1"/>
  <c r="B29" i="1"/>
  <c r="M28" i="1" a="1"/>
  <c r="M28" i="1"/>
  <c r="K28" i="1" a="1"/>
  <c r="K28" i="1"/>
  <c r="L28" i="1" s="1"/>
  <c r="H28" i="1" a="1"/>
  <c r="H28" i="1"/>
  <c r="G28" i="1" a="1"/>
  <c r="G28" i="1"/>
  <c r="F28" i="1" a="1"/>
  <c r="F28" i="1"/>
  <c r="E28" i="1" a="1"/>
  <c r="E28" i="1"/>
  <c r="D28" i="1" a="1"/>
  <c r="D28" i="1"/>
  <c r="C28" i="1" a="1"/>
  <c r="C28" i="1"/>
  <c r="B28" i="1" a="1"/>
  <c r="B28" i="1"/>
  <c r="M27" i="1" a="1"/>
  <c r="M27" i="1"/>
  <c r="K27" i="1" a="1"/>
  <c r="K27" i="1"/>
  <c r="L27" i="1" s="1"/>
  <c r="H27" i="1" a="1"/>
  <c r="H27" i="1"/>
  <c r="G27" i="1" a="1"/>
  <c r="G27" i="1"/>
  <c r="F27" i="1" a="1"/>
  <c r="F27" i="1"/>
  <c r="E27" i="1" a="1"/>
  <c r="E27" i="1"/>
  <c r="D27" i="1" a="1"/>
  <c r="D27" i="1"/>
  <c r="C27" i="1" a="1"/>
  <c r="C27" i="1"/>
  <c r="B27" i="1" a="1"/>
  <c r="B27" i="1"/>
  <c r="M26" i="1" a="1"/>
  <c r="M26" i="1"/>
  <c r="K26" i="1" a="1"/>
  <c r="K26" i="1"/>
  <c r="L26" i="1" s="1"/>
  <c r="H26" i="1" a="1"/>
  <c r="H26" i="1"/>
  <c r="G26" i="1" a="1"/>
  <c r="G26" i="1"/>
  <c r="F26" i="1" a="1"/>
  <c r="F26" i="1"/>
  <c r="E26" i="1" a="1"/>
  <c r="E26" i="1"/>
  <c r="D26" i="1" a="1"/>
  <c r="D26" i="1"/>
  <c r="C26" i="1" a="1"/>
  <c r="C26" i="1"/>
  <c r="B26" i="1" a="1"/>
  <c r="B26" i="1"/>
  <c r="M25" i="1" a="1"/>
  <c r="M25" i="1"/>
  <c r="K25" i="1" a="1"/>
  <c r="K25" i="1"/>
  <c r="L25" i="1" s="1"/>
  <c r="H25" i="1" a="1"/>
  <c r="H25" i="1"/>
  <c r="G25" i="1" a="1"/>
  <c r="G25" i="1"/>
  <c r="F25" i="1" a="1"/>
  <c r="F25" i="1"/>
  <c r="E25" i="1" a="1"/>
  <c r="E25" i="1"/>
  <c r="D25" i="1" a="1"/>
  <c r="D25" i="1"/>
  <c r="C25" i="1" a="1"/>
  <c r="C25" i="1"/>
  <c r="B25" i="1" a="1"/>
  <c r="B25" i="1"/>
  <c r="M24" i="1" a="1"/>
  <c r="M24" i="1"/>
  <c r="K24" i="1" a="1"/>
  <c r="K24" i="1"/>
  <c r="L24" i="1" s="1"/>
  <c r="H24" i="1" a="1"/>
  <c r="H24" i="1"/>
  <c r="G24" i="1" a="1"/>
  <c r="G24" i="1"/>
  <c r="F24" i="1" a="1"/>
  <c r="F24" i="1"/>
  <c r="E24" i="1" a="1"/>
  <c r="E24" i="1"/>
  <c r="D24" i="1" a="1"/>
  <c r="D24" i="1"/>
  <c r="C24" i="1" a="1"/>
  <c r="C24" i="1"/>
  <c r="B24" i="1" a="1"/>
  <c r="B24" i="1"/>
  <c r="M23" i="1" a="1"/>
  <c r="M23" i="1"/>
  <c r="K23" i="1" a="1"/>
  <c r="K23" i="1"/>
  <c r="L23" i="1" s="1"/>
  <c r="H23" i="1" a="1"/>
  <c r="H23" i="1"/>
  <c r="G23" i="1" a="1"/>
  <c r="G23" i="1"/>
  <c r="F23" i="1" a="1"/>
  <c r="F23" i="1"/>
  <c r="E23" i="1" a="1"/>
  <c r="E23" i="1"/>
  <c r="D23" i="1" a="1"/>
  <c r="D23" i="1"/>
  <c r="C23" i="1" a="1"/>
  <c r="C23" i="1"/>
  <c r="B23" i="1" a="1"/>
  <c r="B23" i="1"/>
  <c r="M22" i="1" a="1"/>
  <c r="M22" i="1"/>
  <c r="K22" i="1" a="1"/>
  <c r="K22" i="1"/>
  <c r="L22" i="1" s="1"/>
  <c r="H22" i="1" a="1"/>
  <c r="H22" i="1"/>
  <c r="G22" i="1" a="1"/>
  <c r="G22" i="1"/>
  <c r="F22" i="1" a="1"/>
  <c r="F22" i="1"/>
  <c r="E22" i="1" a="1"/>
  <c r="E22" i="1"/>
  <c r="D22" i="1" a="1"/>
  <c r="D22" i="1"/>
  <c r="C22" i="1" a="1"/>
  <c r="C22" i="1"/>
  <c r="B22" i="1" a="1"/>
  <c r="B22" i="1"/>
  <c r="M21" i="1" a="1"/>
  <c r="M21" i="1"/>
  <c r="K21" i="1" a="1"/>
  <c r="K21" i="1"/>
  <c r="L21" i="1" s="1"/>
  <c r="H21" i="1" a="1"/>
  <c r="H21" i="1"/>
  <c r="G21" i="1" a="1"/>
  <c r="G21" i="1"/>
  <c r="F21" i="1" a="1"/>
  <c r="F21" i="1"/>
  <c r="E21" i="1" a="1"/>
  <c r="E21" i="1"/>
  <c r="D21" i="1" a="1"/>
  <c r="D21" i="1"/>
  <c r="C21" i="1" a="1"/>
  <c r="C21" i="1"/>
  <c r="B21" i="1" a="1"/>
  <c r="B21" i="1"/>
  <c r="M20" i="1" a="1"/>
  <c r="M20" i="1"/>
  <c r="K20" i="1" a="1"/>
  <c r="K20" i="1"/>
  <c r="L20" i="1" s="1"/>
  <c r="H20" i="1" a="1"/>
  <c r="H20" i="1"/>
  <c r="G20" i="1" a="1"/>
  <c r="G20" i="1"/>
  <c r="F20" i="1" a="1"/>
  <c r="F20" i="1"/>
  <c r="E20" i="1" a="1"/>
  <c r="E20" i="1"/>
  <c r="D20" i="1" a="1"/>
  <c r="D20" i="1"/>
  <c r="C20" i="1" a="1"/>
  <c r="C20" i="1"/>
  <c r="B20" i="1" a="1"/>
  <c r="B20" i="1"/>
  <c r="M19" i="1" a="1"/>
  <c r="M19" i="1"/>
  <c r="K19" i="1" a="1"/>
  <c r="K19" i="1"/>
  <c r="L19" i="1" s="1"/>
  <c r="H19" i="1" a="1"/>
  <c r="H19" i="1"/>
  <c r="G19" i="1" a="1"/>
  <c r="G19" i="1"/>
  <c r="F19" i="1" a="1"/>
  <c r="F19" i="1"/>
  <c r="E19" i="1" a="1"/>
  <c r="E19" i="1"/>
  <c r="D19" i="1" a="1"/>
  <c r="D19" i="1"/>
  <c r="C19" i="1" a="1"/>
  <c r="C19" i="1"/>
  <c r="B19" i="1" a="1"/>
  <c r="B19" i="1"/>
  <c r="M18" i="1" a="1"/>
  <c r="M18" i="1"/>
  <c r="K18" i="1" a="1"/>
  <c r="K18" i="1"/>
  <c r="L18" i="1" s="1"/>
  <c r="H18" i="1" a="1"/>
  <c r="H18" i="1"/>
  <c r="G18" i="1" a="1"/>
  <c r="G18" i="1"/>
  <c r="F18" i="1" a="1"/>
  <c r="F18" i="1"/>
  <c r="E18" i="1" a="1"/>
  <c r="E18" i="1"/>
  <c r="D18" i="1" a="1"/>
  <c r="D18" i="1"/>
  <c r="C18" i="1" a="1"/>
  <c r="C18" i="1"/>
  <c r="B18" i="1" a="1"/>
  <c r="B18" i="1"/>
  <c r="M17" i="1" a="1"/>
  <c r="M17" i="1"/>
  <c r="K17" i="1" a="1"/>
  <c r="K17" i="1"/>
  <c r="L17" i="1" s="1"/>
  <c r="H17" i="1" a="1"/>
  <c r="H17" i="1"/>
  <c r="G17" i="1" a="1"/>
  <c r="G17" i="1"/>
  <c r="F17" i="1" a="1"/>
  <c r="F17" i="1"/>
  <c r="E17" i="1" a="1"/>
  <c r="E17" i="1"/>
  <c r="D17" i="1" a="1"/>
  <c r="D17" i="1"/>
  <c r="C17" i="1" a="1"/>
  <c r="C17" i="1"/>
  <c r="B17" i="1" a="1"/>
  <c r="B17" i="1"/>
  <c r="M16" i="1" a="1"/>
  <c r="M16" i="1"/>
  <c r="K16" i="1" a="1"/>
  <c r="K16" i="1"/>
  <c r="L16" i="1" s="1"/>
  <c r="H16" i="1" a="1"/>
  <c r="H16" i="1"/>
  <c r="G16" i="1" a="1"/>
  <c r="G16" i="1"/>
  <c r="F16" i="1" a="1"/>
  <c r="F16" i="1"/>
  <c r="E16" i="1" a="1"/>
  <c r="E16" i="1"/>
  <c r="D16" i="1" a="1"/>
  <c r="D16" i="1"/>
  <c r="C16" i="1" a="1"/>
  <c r="C16" i="1"/>
  <c r="B16" i="1" a="1"/>
  <c r="B16" i="1"/>
  <c r="M15" i="1" a="1"/>
  <c r="M15" i="1"/>
  <c r="K15" i="1" a="1"/>
  <c r="K15" i="1"/>
  <c r="L15" i="1" s="1"/>
  <c r="H15" i="1" a="1"/>
  <c r="H15" i="1"/>
  <c r="G15" i="1" a="1"/>
  <c r="G15" i="1"/>
  <c r="F15" i="1" a="1"/>
  <c r="F15" i="1"/>
  <c r="E15" i="1" a="1"/>
  <c r="E15" i="1"/>
  <c r="D15" i="1" a="1"/>
  <c r="D15" i="1"/>
  <c r="C15" i="1" a="1"/>
  <c r="C15" i="1"/>
  <c r="B15" i="1" a="1"/>
  <c r="B15" i="1"/>
  <c r="M14" i="1" a="1"/>
  <c r="M14" i="1"/>
  <c r="K14" i="1" a="1"/>
  <c r="K14" i="1"/>
  <c r="L14" i="1" s="1"/>
  <c r="H14" i="1" a="1"/>
  <c r="H14" i="1"/>
  <c r="G14" i="1" a="1"/>
  <c r="G14" i="1"/>
  <c r="F14" i="1" a="1"/>
  <c r="F14" i="1"/>
  <c r="E14" i="1" a="1"/>
  <c r="E14" i="1"/>
  <c r="D14" i="1" a="1"/>
  <c r="D14" i="1"/>
  <c r="C14" i="1" a="1"/>
  <c r="C14" i="1"/>
  <c r="B14" i="1" a="1"/>
  <c r="B14" i="1"/>
  <c r="M13" i="1" a="1"/>
  <c r="M13" i="1"/>
  <c r="K13" i="1" a="1"/>
  <c r="K13" i="1"/>
  <c r="L13" i="1" s="1"/>
  <c r="H13" i="1" a="1"/>
  <c r="H13" i="1"/>
  <c r="G13" i="1" a="1"/>
  <c r="G13" i="1"/>
  <c r="F13" i="1" a="1"/>
  <c r="F13" i="1"/>
  <c r="E13" i="1" a="1"/>
  <c r="E13" i="1"/>
  <c r="D13" i="1" a="1"/>
  <c r="D13" i="1"/>
  <c r="C13" i="1" a="1"/>
  <c r="C13" i="1"/>
  <c r="B13" i="1" a="1"/>
  <c r="B13" i="1"/>
  <c r="M12" i="1" a="1"/>
  <c r="M12" i="1"/>
  <c r="K12" i="1" a="1"/>
  <c r="K12" i="1"/>
  <c r="L12" i="1" s="1"/>
  <c r="H12" i="1" a="1"/>
  <c r="H12" i="1"/>
  <c r="G12" i="1" a="1"/>
  <c r="G12" i="1"/>
  <c r="F12" i="1" a="1"/>
  <c r="F12" i="1"/>
  <c r="E12" i="1" a="1"/>
  <c r="E12" i="1"/>
  <c r="D12" i="1" a="1"/>
  <c r="D12" i="1"/>
  <c r="C12" i="1" a="1"/>
  <c r="C12" i="1"/>
  <c r="B12" i="1" a="1"/>
  <c r="B12" i="1"/>
  <c r="M11" i="1" a="1"/>
  <c r="M11" i="1"/>
  <c r="K11" i="1" a="1"/>
  <c r="K11" i="1"/>
  <c r="L11" i="1" s="1"/>
  <c r="H11" i="1" a="1"/>
  <c r="H11" i="1"/>
  <c r="G11" i="1" a="1"/>
  <c r="G11" i="1"/>
  <c r="F11" i="1" a="1"/>
  <c r="F11" i="1"/>
  <c r="E11" i="1" a="1"/>
  <c r="E11" i="1"/>
  <c r="D11" i="1" a="1"/>
  <c r="D11" i="1"/>
  <c r="C11" i="1" a="1"/>
  <c r="C11" i="1"/>
  <c r="B11" i="1" a="1"/>
  <c r="B11" i="1"/>
  <c r="M10" i="1" a="1"/>
  <c r="M10" i="1"/>
  <c r="K10" i="1" a="1"/>
  <c r="K10" i="1"/>
  <c r="L10" i="1" s="1"/>
  <c r="H10" i="1" a="1"/>
  <c r="H10" i="1"/>
  <c r="G10" i="1" a="1"/>
  <c r="G10" i="1"/>
  <c r="F10" i="1" a="1"/>
  <c r="F10" i="1"/>
  <c r="E10" i="1" a="1"/>
  <c r="E10" i="1"/>
  <c r="D10" i="1" a="1"/>
  <c r="D10" i="1"/>
  <c r="C10" i="1" a="1"/>
  <c r="C10" i="1"/>
  <c r="B10" i="1" a="1"/>
  <c r="B10" i="1"/>
  <c r="M9" i="1" a="1"/>
  <c r="M9" i="1"/>
  <c r="K9" i="1" a="1"/>
  <c r="K9" i="1"/>
  <c r="L9" i="1" s="1"/>
  <c r="H9" i="1" a="1"/>
  <c r="H9" i="1"/>
  <c r="G9" i="1" a="1"/>
  <c r="G9" i="1"/>
  <c r="F9" i="1" a="1"/>
  <c r="F9" i="1"/>
  <c r="E9" i="1" a="1"/>
  <c r="E9" i="1"/>
  <c r="D9" i="1" a="1"/>
  <c r="D9" i="1"/>
  <c r="C9" i="1" a="1"/>
  <c r="C9" i="1"/>
  <c r="B9" i="1" a="1"/>
  <c r="B9" i="1"/>
  <c r="M8" i="1" a="1"/>
  <c r="M8" i="1"/>
  <c r="K8" i="1" a="1"/>
  <c r="K8" i="1"/>
  <c r="L8" i="1" s="1"/>
  <c r="H8" i="1" a="1"/>
  <c r="H8" i="1"/>
  <c r="G8" i="1" a="1"/>
  <c r="G8" i="1"/>
  <c r="F8" i="1" a="1"/>
  <c r="F8" i="1"/>
  <c r="E8" i="1" a="1"/>
  <c r="E8" i="1"/>
  <c r="D8" i="1" a="1"/>
  <c r="D8" i="1"/>
  <c r="C8" i="1" a="1"/>
  <c r="C8" i="1"/>
  <c r="B8" i="1" a="1"/>
  <c r="B8" i="1"/>
  <c r="M7" i="1" a="1"/>
  <c r="M7" i="1"/>
  <c r="K7" i="1" a="1"/>
  <c r="K7" i="1"/>
  <c r="L7" i="1" s="1"/>
  <c r="H7" i="1" a="1"/>
  <c r="H7" i="1"/>
  <c r="G7" i="1" a="1"/>
  <c r="G7" i="1"/>
  <c r="F7" i="1" a="1"/>
  <c r="F7" i="1"/>
  <c r="E7" i="1" a="1"/>
  <c r="E7" i="1"/>
  <c r="D7" i="1" a="1"/>
  <c r="D7" i="1"/>
  <c r="C7" i="1" a="1"/>
  <c r="C7" i="1"/>
  <c r="B7" i="1" a="1"/>
  <c r="B7" i="1"/>
  <c r="M6" i="1" a="1"/>
  <c r="M6" i="1"/>
  <c r="K6" i="1" a="1"/>
  <c r="K6" i="1"/>
  <c r="L6" i="1" s="1"/>
  <c r="H6" i="1" a="1"/>
  <c r="H6" i="1"/>
  <c r="G6" i="1" a="1"/>
  <c r="G6" i="1"/>
  <c r="F6" i="1" a="1"/>
  <c r="F6" i="1"/>
  <c r="E6" i="1" a="1"/>
  <c r="E6" i="1"/>
  <c r="D6" i="1" a="1"/>
  <c r="D6" i="1"/>
  <c r="C6" i="1" a="1"/>
  <c r="C6" i="1"/>
  <c r="B6" i="1" a="1"/>
  <c r="B6" i="1"/>
  <c r="M5" i="1" a="1"/>
  <c r="M5" i="1"/>
  <c r="K5" i="1" a="1"/>
  <c r="K5" i="1"/>
  <c r="L5" i="1" s="1"/>
  <c r="H5" i="1" a="1"/>
  <c r="H5" i="1"/>
  <c r="G5" i="1" a="1"/>
  <c r="G5" i="1"/>
  <c r="F5" i="1" a="1"/>
  <c r="F5" i="1"/>
  <c r="E5" i="1" a="1"/>
  <c r="E5" i="1"/>
  <c r="D5" i="1" a="1"/>
  <c r="D5" i="1"/>
  <c r="C5" i="1" a="1"/>
  <c r="C5" i="1"/>
  <c r="B5" i="1" a="1"/>
  <c r="B5" i="1"/>
  <c r="M4" i="1" a="1"/>
  <c r="M4" i="1"/>
  <c r="K4" i="1" a="1"/>
  <c r="K4" i="1"/>
  <c r="L4" i="1" s="1"/>
  <c r="H4" i="1" a="1"/>
  <c r="H4" i="1"/>
  <c r="G4" i="1" a="1"/>
  <c r="G4" i="1"/>
  <c r="F4" i="1" a="1"/>
  <c r="F4" i="1"/>
  <c r="E4" i="1" a="1"/>
  <c r="E4" i="1"/>
  <c r="D4" i="1" a="1"/>
  <c r="D4" i="1"/>
  <c r="C4" i="1" a="1"/>
  <c r="C4" i="1"/>
  <c r="B4" i="1" a="1"/>
  <c r="B4" i="1"/>
  <c r="M3" i="1" a="1"/>
  <c r="M3" i="1"/>
  <c r="K3" i="1" a="1"/>
  <c r="K3" i="1"/>
  <c r="L3" i="1" s="1"/>
  <c r="H3" i="1" a="1"/>
  <c r="H3" i="1"/>
  <c r="G3" i="1" a="1"/>
  <c r="G3" i="1"/>
  <c r="F3" i="1" a="1"/>
  <c r="F3" i="1"/>
  <c r="E3" i="1" a="1"/>
  <c r="E3" i="1"/>
  <c r="D3" i="1" a="1"/>
  <c r="D3" i="1"/>
  <c r="C3" i="1" a="1"/>
  <c r="C3" i="1"/>
  <c r="B3" i="1" a="1"/>
  <c r="B3" i="1"/>
  <c r="M2" i="1" a="1"/>
  <c r="M2" i="1"/>
  <c r="K2" i="1" a="1"/>
  <c r="K2" i="1"/>
  <c r="L2" i="1" s="1"/>
  <c r="H2" i="1" a="1"/>
  <c r="H2" i="1"/>
  <c r="G2" i="1" a="1"/>
  <c r="G2" i="1"/>
  <c r="F2" i="1" a="1"/>
  <c r="F2" i="1"/>
  <c r="E2" i="1" a="1"/>
  <c r="E2" i="1"/>
  <c r="D2" i="1" a="1"/>
  <c r="D2" i="1"/>
  <c r="C2" i="1" a="1"/>
  <c r="C2" i="1"/>
  <c r="B2" i="1" a="1"/>
  <c r="B2" i="1"/>
  <c r="K2" i="10" l="1"/>
  <c r="B12" i="2"/>
  <c r="I2" i="1"/>
  <c r="J2" i="1" s="1"/>
  <c r="I3" i="1"/>
  <c r="J3" i="1" s="1"/>
  <c r="I4" i="1"/>
  <c r="J4" i="1" s="1"/>
  <c r="I5" i="1"/>
  <c r="J5" i="1" s="1"/>
  <c r="I6" i="1"/>
  <c r="J6" i="1" s="1"/>
  <c r="I7" i="1"/>
  <c r="J7" i="1" s="1"/>
  <c r="I8" i="1"/>
  <c r="J8" i="1" s="1"/>
  <c r="I9" i="1"/>
  <c r="J9" i="1" s="1"/>
  <c r="I10" i="1"/>
  <c r="J10" i="1" s="1"/>
  <c r="I11" i="1"/>
  <c r="J11" i="1" s="1"/>
  <c r="I12" i="1"/>
  <c r="J12" i="1" s="1"/>
  <c r="I13" i="1"/>
  <c r="J13" i="1" s="1"/>
  <c r="I14" i="1"/>
  <c r="J14" i="1" s="1"/>
  <c r="I15" i="1"/>
  <c r="J15" i="1" s="1"/>
  <c r="I16" i="1"/>
  <c r="J16" i="1" s="1"/>
  <c r="I17" i="1"/>
  <c r="J17" i="1" s="1"/>
  <c r="I18" i="1"/>
  <c r="J18" i="1" s="1"/>
  <c r="I19" i="1"/>
  <c r="J19" i="1" s="1"/>
  <c r="I20" i="1"/>
  <c r="J20" i="1" s="1"/>
  <c r="I21" i="1"/>
  <c r="J21" i="1" s="1"/>
  <c r="I22" i="1"/>
  <c r="J22" i="1" s="1"/>
  <c r="I23" i="1"/>
  <c r="J23" i="1" s="1"/>
  <c r="I24" i="1"/>
  <c r="J24" i="1" s="1"/>
  <c r="I25" i="1"/>
  <c r="J25" i="1" s="1"/>
  <c r="I26" i="1"/>
  <c r="J26" i="1" s="1"/>
  <c r="I27" i="1"/>
  <c r="J27" i="1" s="1"/>
  <c r="I28" i="1"/>
  <c r="J28" i="1" s="1"/>
  <c r="I29" i="1"/>
  <c r="J29" i="1" s="1"/>
  <c r="I30" i="1"/>
  <c r="J30" i="1" s="1"/>
  <c r="I31" i="1"/>
  <c r="J31" i="1" s="1"/>
  <c r="I32" i="1"/>
  <c r="J32" i="1" s="1"/>
  <c r="I33" i="1"/>
  <c r="J33" i="1" s="1"/>
  <c r="I34" i="1"/>
  <c r="J34" i="1" s="1"/>
  <c r="I35" i="1"/>
  <c r="J35" i="1" s="1"/>
  <c r="I36" i="1"/>
  <c r="J36" i="1" s="1"/>
  <c r="I37" i="1"/>
  <c r="J37" i="1" s="1"/>
  <c r="I38" i="1"/>
  <c r="J38" i="1" s="1"/>
  <c r="I39" i="1"/>
  <c r="J39" i="1" s="1"/>
  <c r="I40" i="1"/>
  <c r="J40" i="1" s="1"/>
  <c r="I41" i="1"/>
  <c r="J41" i="1" s="1"/>
  <c r="I42" i="1"/>
  <c r="J42" i="1" s="1"/>
  <c r="I43" i="1"/>
  <c r="J43" i="1" s="1"/>
  <c r="I44" i="1"/>
  <c r="J44" i="1" s="1"/>
  <c r="I45" i="1"/>
  <c r="J45" i="1" s="1"/>
  <c r="I46" i="1"/>
  <c r="J46" i="1" s="1"/>
  <c r="I47" i="1"/>
  <c r="J47" i="1" s="1"/>
  <c r="I48" i="1"/>
  <c r="J48" i="1" s="1"/>
  <c r="I49" i="1"/>
  <c r="J49" i="1" s="1"/>
  <c r="I50" i="1"/>
  <c r="J50" i="1" s="1"/>
  <c r="I51" i="1"/>
  <c r="J51" i="1" s="1"/>
  <c r="I52" i="1"/>
  <c r="J52" i="1" s="1"/>
  <c r="I53" i="1"/>
  <c r="J53" i="1" s="1"/>
  <c r="I54" i="1"/>
  <c r="J54" i="1" s="1"/>
  <c r="I55" i="1"/>
  <c r="J55" i="1" s="1"/>
  <c r="I56" i="1"/>
  <c r="J56" i="1" s="1"/>
  <c r="I57" i="1"/>
  <c r="J57" i="1" s="1"/>
  <c r="I58" i="1"/>
  <c r="J58" i="1" s="1"/>
  <c r="I59" i="1"/>
  <c r="J59" i="1" s="1"/>
  <c r="I60" i="1"/>
  <c r="J60" i="1" s="1"/>
  <c r="I61" i="1"/>
  <c r="J61" i="1" s="1"/>
  <c r="I62" i="1"/>
  <c r="J62" i="1" s="1"/>
  <c r="I63" i="1"/>
  <c r="J63" i="1" s="1"/>
  <c r="I64" i="1"/>
  <c r="J64" i="1" s="1"/>
  <c r="I65" i="1"/>
  <c r="J65" i="1" s="1"/>
  <c r="I66" i="1"/>
  <c r="J66" i="1" s="1"/>
  <c r="I67" i="1"/>
  <c r="J67" i="1" s="1"/>
  <c r="I68" i="1"/>
  <c r="J68" i="1" s="1"/>
  <c r="I69" i="1"/>
  <c r="J69" i="1" s="1"/>
  <c r="I70" i="1"/>
  <c r="J70" i="1" s="1"/>
  <c r="I71" i="1"/>
  <c r="J71" i="1" s="1"/>
  <c r="I72" i="1"/>
  <c r="J72" i="1" s="1"/>
  <c r="I73" i="1"/>
  <c r="J73" i="1" s="1"/>
  <c r="I74" i="1"/>
  <c r="J74" i="1" s="1"/>
  <c r="I75" i="1"/>
  <c r="J75" i="1" s="1"/>
  <c r="I76" i="1"/>
  <c r="J76" i="1" s="1"/>
  <c r="I77" i="1"/>
  <c r="J77" i="1" s="1"/>
  <c r="I78" i="1"/>
  <c r="J78" i="1" s="1"/>
  <c r="I79" i="1"/>
  <c r="J79" i="1" s="1"/>
  <c r="I80" i="1"/>
  <c r="J80" i="1" s="1"/>
  <c r="I81" i="1"/>
  <c r="J81" i="1" s="1"/>
  <c r="I82" i="1"/>
  <c r="J82" i="1" s="1"/>
  <c r="I83" i="1"/>
  <c r="J83" i="1" s="1"/>
  <c r="I84" i="1"/>
  <c r="J84" i="1" s="1"/>
  <c r="I85" i="1"/>
  <c r="J85" i="1" s="1"/>
  <c r="I86" i="1"/>
  <c r="J86" i="1" s="1"/>
  <c r="I87" i="1"/>
  <c r="J87" i="1" s="1"/>
  <c r="I88" i="1"/>
  <c r="J88" i="1" s="1"/>
  <c r="I89" i="1"/>
  <c r="J89" i="1" s="1"/>
  <c r="I90" i="1"/>
  <c r="J90" i="1" s="1"/>
  <c r="I91" i="1"/>
  <c r="J91" i="1" s="1"/>
  <c r="I92" i="1"/>
  <c r="J92" i="1" s="1"/>
  <c r="I93" i="1"/>
  <c r="J93" i="1" s="1"/>
  <c r="I94" i="1"/>
  <c r="J94" i="1" s="1"/>
  <c r="I95" i="1"/>
  <c r="J95" i="1" s="1"/>
  <c r="I96" i="1"/>
  <c r="J96" i="1" s="1"/>
  <c r="I97" i="1"/>
  <c r="J97" i="1" s="1"/>
  <c r="I98" i="1"/>
  <c r="J98" i="1" s="1"/>
  <c r="I99" i="1"/>
  <c r="J99" i="1" s="1"/>
  <c r="I100" i="1"/>
  <c r="J100" i="1" s="1"/>
  <c r="I101" i="1"/>
  <c r="J101" i="1" s="1"/>
  <c r="I102" i="1"/>
  <c r="J102" i="1" s="1"/>
  <c r="I103" i="1"/>
  <c r="J103" i="1" s="1"/>
  <c r="I104" i="1"/>
  <c r="J104" i="1" s="1"/>
  <c r="I105" i="1"/>
  <c r="J105" i="1" s="1"/>
  <c r="I106" i="1"/>
  <c r="J106" i="1" s="1"/>
  <c r="I107" i="1"/>
  <c r="J107" i="1" s="1"/>
  <c r="I108" i="1"/>
  <c r="J108" i="1" s="1"/>
  <c r="I109" i="1"/>
  <c r="J109" i="1" s="1"/>
  <c r="I2" i="8"/>
  <c r="I3" i="8"/>
  <c r="I4" i="8"/>
  <c r="I5" i="8"/>
  <c r="I6" i="8"/>
  <c r="I7" i="8"/>
  <c r="I2" i="10"/>
  <c r="J2" i="10" s="1"/>
  <c r="K3" i="10"/>
  <c r="I3" i="10"/>
  <c r="J3" i="10" s="1"/>
  <c r="K4" i="10"/>
  <c r="I4" i="10"/>
  <c r="J4" i="10" s="1"/>
  <c r="K5" i="10"/>
  <c r="I5" i="10"/>
  <c r="J5" i="10" s="1"/>
  <c r="K6" i="10"/>
  <c r="I6" i="10"/>
  <c r="J6" i="10" s="1"/>
  <c r="K7" i="10"/>
  <c r="I7" i="10"/>
  <c r="J7" i="10" s="1"/>
  <c r="K8" i="10"/>
  <c r="I8" i="10"/>
  <c r="J8" i="10" s="1"/>
  <c r="K9" i="10"/>
  <c r="I9" i="10"/>
  <c r="J9" i="10" s="1"/>
  <c r="K10" i="10"/>
  <c r="I10" i="10"/>
  <c r="J10" i="10" s="1"/>
  <c r="K11" i="10"/>
  <c r="I11" i="10"/>
  <c r="J11" i="10" s="1"/>
  <c r="K12" i="10"/>
  <c r="I12" i="10"/>
  <c r="J12" i="10" s="1"/>
  <c r="K13" i="10"/>
  <c r="I13" i="10"/>
  <c r="J13" i="10" s="1"/>
  <c r="K14" i="10"/>
  <c r="I14" i="10"/>
  <c r="J14" i="10" s="1"/>
  <c r="K15" i="10"/>
  <c r="I15" i="10"/>
  <c r="J15" i="10" s="1"/>
  <c r="K16" i="10"/>
  <c r="I16" i="10"/>
  <c r="J16" i="10" s="1"/>
  <c r="K17" i="10"/>
  <c r="I17" i="10"/>
  <c r="J17" i="10" s="1"/>
  <c r="K18" i="10"/>
  <c r="I18" i="10"/>
  <c r="J18" i="10" s="1"/>
  <c r="K19" i="10"/>
  <c r="I19" i="10"/>
  <c r="J19" i="10" s="1"/>
  <c r="K20" i="10"/>
  <c r="I20" i="10"/>
  <c r="J20" i="10" s="1"/>
  <c r="K21" i="10"/>
  <c r="I21" i="10"/>
  <c r="J21" i="10" s="1"/>
  <c r="K22" i="10"/>
  <c r="I22" i="10"/>
  <c r="J22" i="10" s="1"/>
  <c r="K23" i="10"/>
  <c r="I23" i="10"/>
  <c r="J23" i="10" s="1"/>
  <c r="K24" i="10"/>
  <c r="I24" i="10"/>
  <c r="J24" i="10" s="1"/>
  <c r="K25" i="10"/>
  <c r="I25" i="10"/>
  <c r="J25" i="10" s="1"/>
  <c r="K26" i="10"/>
  <c r="I26" i="10"/>
  <c r="J26" i="10" s="1"/>
  <c r="K27" i="10"/>
  <c r="I27" i="10"/>
  <c r="J27" i="10" s="1"/>
  <c r="K28" i="10"/>
  <c r="I28" i="10"/>
  <c r="J28" i="10" s="1"/>
  <c r="K29" i="10"/>
  <c r="I29" i="10"/>
  <c r="J29" i="10" s="1"/>
  <c r="K30" i="10"/>
  <c r="I30" i="10"/>
  <c r="J30" i="10" s="1"/>
  <c r="K31" i="10"/>
  <c r="I31" i="10"/>
  <c r="J31" i="10" s="1"/>
  <c r="K32" i="10"/>
  <c r="I32" i="10"/>
  <c r="J32" i="10" s="1"/>
  <c r="K33" i="10"/>
  <c r="I33" i="10"/>
  <c r="J33" i="10" s="1"/>
  <c r="K34" i="10"/>
  <c r="I34" i="10"/>
  <c r="J34" i="10" s="1"/>
  <c r="K35" i="10"/>
  <c r="I35" i="10"/>
  <c r="J35" i="10" s="1"/>
  <c r="K36" i="10"/>
  <c r="I36" i="10"/>
  <c r="J36" i="10" s="1"/>
  <c r="K37" i="10"/>
  <c r="I37" i="10"/>
  <c r="J37" i="10" s="1"/>
  <c r="K38" i="10"/>
  <c r="I38" i="10"/>
  <c r="J38" i="10" s="1"/>
  <c r="K39" i="10"/>
  <c r="I39" i="10"/>
  <c r="J39" i="10" s="1"/>
  <c r="K40" i="10"/>
  <c r="I40" i="10"/>
  <c r="J40" i="10" s="1"/>
  <c r="K41" i="10"/>
  <c r="I41" i="10"/>
  <c r="J41" i="10" s="1"/>
  <c r="K42" i="10"/>
  <c r="I42" i="10"/>
  <c r="J42" i="10" s="1"/>
  <c r="K43" i="10"/>
  <c r="I43" i="10"/>
  <c r="J43" i="10" s="1"/>
  <c r="K44" i="10"/>
  <c r="I44" i="10"/>
  <c r="J44" i="10" s="1"/>
  <c r="K45" i="10"/>
  <c r="I45" i="10"/>
  <c r="J45" i="10" s="1"/>
  <c r="K46" i="10"/>
  <c r="I46" i="10"/>
  <c r="J46" i="10" s="1"/>
  <c r="K47" i="10"/>
  <c r="I47" i="10"/>
  <c r="J47" i="10" s="1"/>
  <c r="K48" i="10"/>
  <c r="I48" i="10"/>
  <c r="J48" i="10" s="1"/>
  <c r="K49" i="10"/>
  <c r="I49" i="10"/>
  <c r="J49" i="10" s="1"/>
  <c r="K50" i="10"/>
  <c r="I50" i="10"/>
  <c r="J50" i="10" s="1"/>
  <c r="K51" i="10"/>
  <c r="I51" i="10"/>
  <c r="J51" i="10" s="1"/>
  <c r="K2" i="12"/>
  <c r="I2" i="12"/>
  <c r="J2" i="12" s="1"/>
  <c r="K3" i="12"/>
  <c r="I3" i="12"/>
  <c r="J3" i="12" s="1"/>
  <c r="K4" i="12"/>
  <c r="I4" i="12"/>
  <c r="J4" i="12" s="1"/>
  <c r="K5" i="12"/>
  <c r="I5" i="12"/>
  <c r="J5" i="12" s="1"/>
  <c r="K6" i="12"/>
  <c r="I6" i="12"/>
  <c r="J6" i="12" s="1"/>
  <c r="K7" i="12"/>
  <c r="I7" i="12"/>
  <c r="J7" i="12" s="1"/>
  <c r="K8" i="12"/>
  <c r="I8" i="12"/>
  <c r="J8" i="12" s="1"/>
  <c r="K9" i="12"/>
  <c r="I9" i="12"/>
  <c r="J9" i="12" s="1"/>
  <c r="K10" i="12"/>
  <c r="I10" i="12"/>
  <c r="J10" i="12" s="1"/>
  <c r="K11" i="12"/>
  <c r="I11" i="12"/>
  <c r="J11" i="12" s="1"/>
  <c r="K12" i="12"/>
  <c r="I12" i="12"/>
  <c r="J12" i="12" s="1"/>
  <c r="K13" i="12"/>
  <c r="I13" i="12"/>
  <c r="J13" i="12" s="1"/>
  <c r="K14" i="12"/>
  <c r="I14" i="12"/>
  <c r="J14" i="12" s="1"/>
  <c r="K15" i="12"/>
  <c r="I15" i="12"/>
  <c r="J15" i="12" s="1"/>
  <c r="K16" i="12"/>
  <c r="I16" i="12"/>
  <c r="J16" i="12" s="1"/>
  <c r="K17" i="12"/>
  <c r="I17" i="12"/>
  <c r="J17" i="12" s="1"/>
  <c r="K18" i="12"/>
  <c r="I18" i="12"/>
  <c r="J18" i="12" s="1"/>
  <c r="K19" i="12"/>
  <c r="I19" i="12"/>
  <c r="J19" i="12" s="1"/>
  <c r="K20" i="12"/>
  <c r="I20" i="12"/>
  <c r="J20" i="12" s="1"/>
  <c r="K21" i="12"/>
  <c r="I21" i="12"/>
  <c r="J21" i="12" s="1"/>
  <c r="K22" i="12"/>
  <c r="I22" i="12"/>
  <c r="J22" i="12" s="1"/>
  <c r="K23" i="12"/>
  <c r="I23" i="12"/>
  <c r="J23" i="12" s="1"/>
  <c r="K24" i="12"/>
  <c r="I24" i="12"/>
  <c r="J24" i="12" s="1"/>
  <c r="K25" i="12"/>
  <c r="I25" i="12"/>
  <c r="J25" i="12" s="1"/>
  <c r="K26" i="12"/>
  <c r="I26" i="12"/>
  <c r="J26" i="12" s="1"/>
  <c r="K27" i="12"/>
  <c r="I27" i="12"/>
  <c r="J27" i="12" s="1"/>
  <c r="K28" i="12"/>
  <c r="I28" i="12"/>
  <c r="J28" i="12" s="1"/>
  <c r="K29" i="12"/>
  <c r="I29" i="12"/>
  <c r="J29" i="12" s="1"/>
  <c r="K30" i="12"/>
  <c r="I30" i="12"/>
  <c r="J30" i="12" s="1"/>
  <c r="K31" i="12"/>
  <c r="I31" i="12"/>
  <c r="J31" i="12" s="1"/>
  <c r="K32" i="12"/>
  <c r="I32" i="12"/>
  <c r="J32" i="12" s="1"/>
  <c r="K33" i="12"/>
  <c r="I33" i="12"/>
  <c r="J33" i="12" s="1"/>
  <c r="K34" i="12"/>
  <c r="I34" i="12"/>
  <c r="J34" i="12" s="1"/>
  <c r="K35" i="12"/>
  <c r="I35" i="12"/>
  <c r="J35" i="12" s="1"/>
  <c r="K36" i="12"/>
  <c r="I36" i="12"/>
  <c r="J36" i="12" s="1"/>
  <c r="K37" i="12"/>
  <c r="I37" i="12"/>
  <c r="J37" i="12" s="1"/>
  <c r="K38" i="12"/>
  <c r="I38" i="12"/>
  <c r="J38" i="12" s="1"/>
  <c r="K39" i="12"/>
  <c r="I39" i="12"/>
  <c r="J39" i="12" s="1"/>
  <c r="K40" i="12"/>
  <c r="I40" i="12"/>
  <c r="J40" i="12" s="1"/>
  <c r="K41" i="12"/>
  <c r="I41" i="12"/>
  <c r="J41" i="12" s="1"/>
  <c r="K42" i="12"/>
  <c r="I42" i="12"/>
  <c r="J42" i="12" s="1"/>
  <c r="K43" i="12"/>
  <c r="I43" i="12"/>
  <c r="J43" i="12" s="1"/>
  <c r="K44" i="12"/>
  <c r="I44" i="12"/>
  <c r="J44" i="12" s="1"/>
  <c r="K45" i="12"/>
  <c r="I45" i="12"/>
  <c r="J45" i="12" s="1"/>
  <c r="K46" i="12"/>
  <c r="I46" i="12"/>
  <c r="J46" i="12" s="1"/>
  <c r="K47" i="12"/>
  <c r="I47" i="12"/>
  <c r="J47" i="12" s="1"/>
  <c r="K48" i="12"/>
  <c r="I48" i="12"/>
  <c r="J48" i="12" s="1"/>
  <c r="K49" i="12"/>
  <c r="I49" i="12"/>
  <c r="J49" i="12" s="1"/>
  <c r="K50" i="12"/>
  <c r="I50" i="12"/>
  <c r="J50" i="12" s="1"/>
  <c r="K51" i="12"/>
  <c r="I51" i="12"/>
  <c r="J51" i="12" s="1"/>
  <c r="K2" i="11"/>
  <c r="I2" i="11"/>
  <c r="J2" i="11" s="1"/>
  <c r="K3" i="11"/>
  <c r="I3" i="11"/>
  <c r="J3" i="11" s="1"/>
  <c r="K4" i="11"/>
  <c r="I4" i="11"/>
  <c r="J4" i="11" s="1"/>
  <c r="K5" i="11"/>
  <c r="I5" i="11"/>
  <c r="J5" i="11" s="1"/>
  <c r="K6" i="11"/>
  <c r="I6" i="11"/>
  <c r="J6" i="11" s="1"/>
  <c r="K7" i="11"/>
  <c r="I7" i="11"/>
  <c r="J7" i="11" s="1"/>
  <c r="K8" i="11"/>
  <c r="I8" i="11"/>
  <c r="J8" i="11" s="1"/>
  <c r="K9" i="11"/>
  <c r="I9" i="11"/>
  <c r="J9" i="11" s="1"/>
  <c r="K10" i="11"/>
  <c r="I10" i="11"/>
  <c r="J10" i="11" s="1"/>
  <c r="K11" i="11"/>
  <c r="I11" i="11"/>
  <c r="J11" i="11" s="1"/>
  <c r="K12" i="11"/>
  <c r="I12" i="11"/>
  <c r="J12" i="11" s="1"/>
  <c r="K13" i="11"/>
  <c r="I13" i="11"/>
  <c r="J13" i="11" s="1"/>
  <c r="K14" i="11"/>
  <c r="I14" i="11"/>
  <c r="J14" i="11" s="1"/>
  <c r="K15" i="11"/>
  <c r="I15" i="11"/>
  <c r="J15" i="11" s="1"/>
  <c r="K16" i="11"/>
  <c r="I16" i="11"/>
  <c r="J16" i="11" s="1"/>
  <c r="K17" i="11"/>
  <c r="I17" i="11"/>
  <c r="J17" i="11" s="1"/>
  <c r="K18" i="11"/>
  <c r="I18" i="11"/>
  <c r="J18" i="11" s="1"/>
  <c r="K19" i="11"/>
  <c r="I19" i="11"/>
  <c r="J19" i="11" s="1"/>
  <c r="K20" i="11"/>
  <c r="I20" i="11"/>
  <c r="J20" i="11" s="1"/>
  <c r="K21" i="11"/>
  <c r="I21" i="11"/>
  <c r="J21" i="11" s="1"/>
  <c r="K22" i="11"/>
  <c r="I22" i="11"/>
  <c r="J22" i="11" s="1"/>
  <c r="K23" i="11"/>
  <c r="I23" i="11"/>
  <c r="J23" i="11" s="1"/>
  <c r="K24" i="11"/>
  <c r="I24" i="11"/>
  <c r="J24" i="11" s="1"/>
  <c r="K25" i="11"/>
  <c r="I25" i="11"/>
  <c r="J25" i="11" s="1"/>
  <c r="K26" i="11"/>
  <c r="I26" i="11"/>
  <c r="J26" i="11" s="1"/>
  <c r="K27" i="11"/>
  <c r="I27" i="11"/>
  <c r="J27" i="11" s="1"/>
  <c r="K28" i="11"/>
  <c r="I28" i="11"/>
  <c r="J28" i="11" s="1"/>
  <c r="K29" i="11"/>
  <c r="I29" i="11"/>
  <c r="J29" i="11" s="1"/>
  <c r="K30" i="11"/>
  <c r="I30" i="11"/>
  <c r="J30" i="11" s="1"/>
  <c r="K31" i="11"/>
  <c r="I31" i="11"/>
  <c r="J31" i="11" s="1"/>
  <c r="K32" i="11"/>
  <c r="I32" i="11"/>
  <c r="J32" i="11" s="1"/>
  <c r="K33" i="11"/>
  <c r="I33" i="11"/>
  <c r="J33" i="11" s="1"/>
  <c r="K34" i="11"/>
  <c r="I34" i="11"/>
  <c r="J34" i="11" s="1"/>
  <c r="K35" i="11"/>
  <c r="I35" i="11"/>
  <c r="J35" i="11" s="1"/>
  <c r="K36" i="11"/>
  <c r="I36" i="11"/>
  <c r="J36" i="11" s="1"/>
  <c r="K37" i="11"/>
  <c r="I37" i="11"/>
  <c r="J37" i="11" s="1"/>
  <c r="K38" i="11"/>
  <c r="I38" i="11"/>
  <c r="J38" i="11" s="1"/>
  <c r="K39" i="11"/>
  <c r="I39" i="11"/>
  <c r="J39" i="11" s="1"/>
  <c r="K40" i="11"/>
  <c r="I40" i="11"/>
  <c r="J40" i="11" s="1"/>
  <c r="K41" i="11"/>
  <c r="I41" i="11"/>
  <c r="J41" i="11" s="1"/>
  <c r="K42" i="11"/>
  <c r="I42" i="11"/>
  <c r="J42" i="11" s="1"/>
  <c r="K43" i="11"/>
  <c r="I43" i="11"/>
  <c r="J43" i="11" s="1"/>
  <c r="K44" i="11"/>
  <c r="I44" i="11"/>
  <c r="J44" i="11" s="1"/>
  <c r="K45" i="11"/>
  <c r="I45" i="11"/>
  <c r="J45" i="11" s="1"/>
  <c r="K46" i="11"/>
  <c r="I46" i="11"/>
  <c r="J46" i="11" s="1"/>
  <c r="K47" i="11"/>
  <c r="I47" i="11"/>
  <c r="J47" i="11" s="1"/>
  <c r="K48" i="11"/>
  <c r="I48" i="11"/>
  <c r="J48" i="11" s="1"/>
  <c r="K49" i="11"/>
  <c r="I49" i="11"/>
  <c r="J49" i="11" s="1"/>
  <c r="K50" i="11"/>
  <c r="I50" i="11"/>
  <c r="J50" i="11" s="1"/>
  <c r="K51" i="11"/>
  <c r="I51" i="11"/>
  <c r="J51" i="11" s="1"/>
  <c r="K52" i="11"/>
  <c r="I52" i="11"/>
  <c r="J52" i="11" s="1"/>
  <c r="K53" i="11"/>
  <c r="I53" i="11"/>
  <c r="J53" i="11" s="1"/>
  <c r="K54" i="11"/>
  <c r="I54" i="11"/>
  <c r="J54" i="11" s="1"/>
  <c r="K55" i="11"/>
  <c r="I55" i="11"/>
  <c r="J55" i="11" s="1"/>
  <c r="K56" i="11"/>
  <c r="I56" i="11"/>
  <c r="J56" i="11" s="1"/>
  <c r="K57" i="11"/>
  <c r="I57" i="11"/>
  <c r="J57" i="11" s="1"/>
  <c r="K58" i="11"/>
  <c r="I58" i="11"/>
  <c r="J58" i="11" s="1"/>
  <c r="K59" i="11"/>
  <c r="I59" i="11"/>
  <c r="J59" i="11" s="1"/>
  <c r="K60" i="11"/>
  <c r="I60" i="11"/>
  <c r="J60" i="11" s="1"/>
  <c r="K61" i="11"/>
  <c r="I61" i="11"/>
  <c r="J61" i="11" s="1"/>
  <c r="K62" i="11"/>
  <c r="I62" i="11"/>
  <c r="J62" i="11" s="1"/>
  <c r="K63" i="11"/>
  <c r="I63" i="11"/>
  <c r="J63" i="11" s="1"/>
  <c r="K64" i="11"/>
  <c r="I64" i="11"/>
  <c r="J64" i="11" s="1"/>
  <c r="K65" i="11"/>
  <c r="I65" i="11"/>
  <c r="J65" i="11" s="1"/>
  <c r="K66" i="11"/>
  <c r="I66" i="11"/>
  <c r="J66" i="11" s="1"/>
  <c r="K67" i="11"/>
  <c r="I67" i="11"/>
  <c r="J67" i="11" s="1"/>
  <c r="K68" i="11"/>
  <c r="I68" i="11"/>
  <c r="J68" i="11" s="1"/>
  <c r="K69" i="11"/>
  <c r="I69" i="11"/>
  <c r="J69" i="11" s="1"/>
  <c r="K70" i="11"/>
  <c r="I70" i="11"/>
  <c r="J70" i="11" s="1"/>
  <c r="K71" i="11"/>
  <c r="I71" i="11"/>
  <c r="J71" i="11" s="1"/>
  <c r="K72" i="11"/>
  <c r="I72" i="11"/>
  <c r="J72" i="11" s="1"/>
  <c r="K73" i="11"/>
  <c r="I73" i="11"/>
  <c r="J73" i="11" s="1"/>
  <c r="K74" i="11"/>
  <c r="I74" i="11"/>
  <c r="J74" i="11" s="1"/>
  <c r="K75" i="11"/>
  <c r="I75" i="11"/>
  <c r="J75" i="11" s="1"/>
  <c r="K76" i="11"/>
  <c r="I76" i="11"/>
  <c r="J76" i="11" s="1"/>
  <c r="K77" i="11"/>
  <c r="I77" i="11"/>
  <c r="J77" i="11" s="1"/>
  <c r="K78" i="11"/>
  <c r="I78" i="11"/>
  <c r="J78" i="11" s="1"/>
  <c r="K79" i="11"/>
  <c r="I79" i="11"/>
  <c r="J79" i="11" s="1"/>
  <c r="K80" i="11"/>
  <c r="I80" i="11"/>
  <c r="J80" i="11" s="1"/>
  <c r="K81" i="11"/>
  <c r="I81" i="11"/>
  <c r="J81" i="11" s="1"/>
  <c r="K82" i="11"/>
  <c r="I82" i="11"/>
  <c r="J82" i="11" s="1"/>
  <c r="K83" i="11"/>
  <c r="I83" i="11"/>
  <c r="J83" i="11" s="1"/>
  <c r="K84" i="11"/>
  <c r="I84" i="11"/>
  <c r="J84" i="11" s="1"/>
  <c r="K85" i="11"/>
  <c r="I85" i="11"/>
  <c r="J85" i="11" s="1"/>
  <c r="K86" i="11"/>
  <c r="I86" i="11"/>
  <c r="J86" i="11" s="1"/>
  <c r="K87" i="11"/>
  <c r="I87" i="11"/>
  <c r="J87" i="11" s="1"/>
  <c r="K88" i="11"/>
  <c r="I88" i="11"/>
  <c r="J88" i="11" s="1"/>
  <c r="K89" i="11"/>
  <c r="I89" i="11"/>
  <c r="J89" i="11" s="1"/>
  <c r="K90" i="11"/>
  <c r="I90" i="11"/>
  <c r="J90" i="11" s="1"/>
  <c r="K91" i="11"/>
  <c r="I91" i="11"/>
  <c r="J91" i="11" s="1"/>
  <c r="K92" i="11"/>
  <c r="I92" i="11"/>
  <c r="J92" i="11" s="1"/>
  <c r="K93" i="11"/>
  <c r="I93" i="11"/>
  <c r="J93" i="11" s="1"/>
  <c r="K94" i="11"/>
  <c r="I94" i="11"/>
  <c r="J94" i="11" s="1"/>
  <c r="K95" i="11"/>
  <c r="I95" i="11"/>
  <c r="J95" i="11" s="1"/>
  <c r="K96" i="11"/>
  <c r="I96" i="11"/>
  <c r="J96" i="11" s="1"/>
  <c r="K97" i="11"/>
  <c r="I97" i="11"/>
  <c r="J97" i="11" s="1"/>
  <c r="K98" i="11"/>
  <c r="I98" i="11"/>
  <c r="J98" i="11" s="1"/>
  <c r="K99" i="11"/>
  <c r="I99" i="11"/>
  <c r="J99" i="11" s="1"/>
  <c r="K100" i="11"/>
  <c r="I100" i="11"/>
  <c r="J100" i="11" s="1"/>
  <c r="K101" i="11"/>
  <c r="I101" i="11"/>
  <c r="J101" i="11" s="1"/>
  <c r="K102" i="11"/>
  <c r="I102" i="11"/>
  <c r="J102" i="11" s="1"/>
  <c r="K103" i="11"/>
  <c r="I103" i="11"/>
  <c r="J103" i="11" s="1"/>
  <c r="K104" i="11"/>
  <c r="I104" i="11"/>
  <c r="J104" i="11" s="1"/>
  <c r="K105" i="11"/>
  <c r="I105" i="11"/>
  <c r="J105" i="11" s="1"/>
  <c r="K106" i="11"/>
  <c r="I106" i="11"/>
  <c r="J106" i="11" s="1"/>
  <c r="K107" i="11"/>
  <c r="I107" i="11"/>
  <c r="J107" i="11" s="1"/>
  <c r="K108" i="11"/>
  <c r="I108" i="11"/>
  <c r="J108" i="11" s="1"/>
  <c r="K109" i="11"/>
  <c r="I109" i="11"/>
  <c r="J109" i="11" s="1"/>
  <c r="K110" i="11"/>
  <c r="I110" i="11"/>
  <c r="J110" i="11" s="1"/>
  <c r="K111" i="11"/>
  <c r="I111" i="11"/>
  <c r="J111" i="11" s="1"/>
  <c r="K112" i="11"/>
  <c r="I112" i="11"/>
  <c r="J112" i="11" s="1"/>
  <c r="K113" i="11"/>
  <c r="I113" i="11"/>
  <c r="J113" i="11" s="1"/>
  <c r="K114" i="11"/>
  <c r="I114" i="11"/>
  <c r="J114" i="11" s="1"/>
  <c r="K115" i="11"/>
  <c r="I115" i="11"/>
  <c r="J115" i="11" s="1"/>
  <c r="K116" i="11"/>
  <c r="I116" i="11"/>
  <c r="J116" i="11" s="1"/>
  <c r="K117" i="11"/>
  <c r="I117" i="11"/>
  <c r="J117" i="11" s="1"/>
  <c r="K118" i="11"/>
  <c r="I118" i="11"/>
  <c r="J118" i="11" s="1"/>
  <c r="K119" i="11"/>
  <c r="I119" i="11"/>
  <c r="J119" i="11" s="1"/>
  <c r="K120" i="11"/>
  <c r="I120" i="11"/>
  <c r="J120" i="11" s="1"/>
  <c r="K121" i="11"/>
  <c r="I121" i="11"/>
  <c r="J121" i="11" s="1"/>
  <c r="K122" i="11"/>
  <c r="I122" i="11"/>
  <c r="J122" i="11" s="1"/>
  <c r="K123" i="11"/>
  <c r="I123" i="11"/>
  <c r="J123" i="11" s="1"/>
  <c r="K124" i="11"/>
  <c r="I124" i="11"/>
  <c r="J124" i="11" s="1"/>
  <c r="K125" i="11"/>
  <c r="I125" i="11"/>
  <c r="J125" i="11" s="1"/>
  <c r="K126" i="11"/>
  <c r="I126" i="11"/>
  <c r="J126" i="11" s="1"/>
  <c r="K127" i="11"/>
  <c r="I127" i="11"/>
  <c r="J127" i="11" s="1"/>
  <c r="K128" i="11"/>
  <c r="I128" i="11"/>
  <c r="J128" i="11" s="1"/>
  <c r="K129" i="11"/>
  <c r="I129" i="11"/>
  <c r="J129" i="11" s="1"/>
  <c r="K130" i="11"/>
  <c r="I130" i="11"/>
  <c r="J130" i="11" s="1"/>
  <c r="K131" i="11"/>
  <c r="I131" i="11"/>
  <c r="J131" i="11" s="1"/>
  <c r="K132" i="11"/>
  <c r="I132" i="11"/>
  <c r="J132" i="11" s="1"/>
  <c r="K133" i="11"/>
  <c r="I133" i="11"/>
  <c r="J133" i="11" s="1"/>
  <c r="K134" i="11"/>
  <c r="I134" i="11"/>
  <c r="J134" i="11" s="1"/>
  <c r="K135" i="11"/>
  <c r="I135" i="11"/>
  <c r="J135" i="11" s="1"/>
  <c r="K136" i="11"/>
  <c r="I136" i="11"/>
  <c r="J136" i="11" s="1"/>
  <c r="K137" i="11"/>
  <c r="I137" i="11"/>
  <c r="J137" i="11" s="1"/>
  <c r="K138" i="11"/>
  <c r="I138" i="11"/>
  <c r="J138" i="11" s="1"/>
  <c r="K139" i="11"/>
  <c r="I139" i="11"/>
  <c r="J139" i="11" s="1"/>
  <c r="K140" i="11"/>
  <c r="I140" i="11"/>
  <c r="J140" i="11" s="1"/>
  <c r="K141" i="11"/>
  <c r="I141" i="11"/>
  <c r="J141" i="11" s="1"/>
  <c r="K142" i="11"/>
  <c r="I142" i="11"/>
  <c r="J142" i="11" s="1"/>
  <c r="K143" i="11"/>
  <c r="I143" i="11"/>
  <c r="J143" i="11" s="1"/>
  <c r="K144" i="11"/>
  <c r="I144" i="11"/>
  <c r="J144" i="11" s="1"/>
  <c r="K145" i="11"/>
  <c r="I145" i="11"/>
  <c r="J145" i="11" s="1"/>
  <c r="K146" i="11"/>
  <c r="I146" i="11"/>
  <c r="J146" i="11" s="1"/>
  <c r="K147" i="11"/>
  <c r="I147" i="11"/>
  <c r="J147" i="11" s="1"/>
  <c r="K148" i="11"/>
  <c r="I148" i="11"/>
  <c r="J148" i="11" s="1"/>
  <c r="K149" i="11"/>
  <c r="I149" i="11"/>
  <c r="J149" i="11" s="1"/>
  <c r="K150" i="11"/>
  <c r="I150" i="11"/>
  <c r="J150" i="11" s="1"/>
  <c r="K151" i="11"/>
  <c r="I151" i="11"/>
  <c r="J151" i="11" s="1"/>
  <c r="K152" i="11"/>
  <c r="I152" i="11"/>
  <c r="J152" i="11" s="1"/>
  <c r="K153" i="11"/>
  <c r="I153" i="11"/>
  <c r="J153" i="11" s="1"/>
  <c r="K154" i="11"/>
  <c r="I154" i="11"/>
  <c r="J154" i="11" s="1"/>
  <c r="K155" i="11"/>
  <c r="I155" i="11"/>
  <c r="J155" i="11" s="1"/>
  <c r="K156" i="11"/>
  <c r="I156" i="11"/>
  <c r="J156" i="11" s="1"/>
  <c r="K157" i="11"/>
  <c r="I157" i="11"/>
  <c r="J157" i="11" s="1"/>
  <c r="K158" i="11"/>
  <c r="I158" i="11"/>
  <c r="J158" i="11" s="1"/>
  <c r="K159" i="11"/>
  <c r="I159" i="11"/>
  <c r="J159" i="11" s="1"/>
  <c r="K160" i="11"/>
  <c r="I160" i="11"/>
  <c r="J160" i="11" s="1"/>
  <c r="K161" i="11"/>
  <c r="I161" i="11"/>
  <c r="J161" i="11" s="1"/>
  <c r="K162" i="11"/>
  <c r="I162" i="11"/>
  <c r="J162" i="11" s="1"/>
  <c r="K163" i="11"/>
  <c r="I163" i="11"/>
  <c r="J163" i="11" s="1"/>
  <c r="K164" i="11"/>
  <c r="I164" i="11"/>
  <c r="J164" i="11" s="1"/>
  <c r="K165" i="11"/>
  <c r="I165" i="11"/>
  <c r="J165" i="11" s="1"/>
  <c r="K166" i="11"/>
  <c r="I166" i="11"/>
  <c r="J166" i="11" s="1"/>
  <c r="K167" i="11"/>
  <c r="I167" i="11"/>
  <c r="J167" i="11" s="1"/>
  <c r="K168" i="11"/>
  <c r="I168" i="11"/>
  <c r="J168" i="11" s="1"/>
  <c r="K169" i="11"/>
  <c r="I169" i="11"/>
  <c r="J169" i="11" s="1"/>
  <c r="K170" i="11"/>
  <c r="I170" i="11"/>
  <c r="J170" i="11" s="1"/>
  <c r="K171" i="11"/>
  <c r="I171" i="11"/>
  <c r="J171" i="11" s="1"/>
  <c r="K172" i="11"/>
  <c r="I172" i="11"/>
  <c r="J172" i="11" s="1"/>
  <c r="K173" i="11"/>
  <c r="I173" i="11"/>
  <c r="J173" i="11" s="1"/>
  <c r="K174" i="11"/>
  <c r="I174" i="11"/>
  <c r="J174" i="11" s="1"/>
  <c r="K175" i="11"/>
  <c r="I175" i="11"/>
  <c r="J175" i="11" s="1"/>
  <c r="K176" i="11"/>
  <c r="I176" i="11"/>
  <c r="J176" i="11" s="1"/>
  <c r="K177" i="11"/>
  <c r="I177" i="11"/>
  <c r="J177" i="11" s="1"/>
  <c r="K178" i="11"/>
  <c r="I178" i="11"/>
  <c r="J178" i="11" s="1"/>
  <c r="K179" i="11"/>
  <c r="I179" i="11"/>
  <c r="J179" i="11" s="1"/>
  <c r="K180" i="11"/>
  <c r="I180" i="11"/>
  <c r="J180" i="11" s="1"/>
  <c r="K181" i="11"/>
  <c r="I181" i="11"/>
  <c r="J181" i="11" s="1"/>
  <c r="K182" i="11"/>
  <c r="I182" i="11"/>
  <c r="J182" i="11" s="1"/>
  <c r="K183" i="11"/>
  <c r="I183" i="11"/>
  <c r="J183" i="11" s="1"/>
  <c r="K184" i="11"/>
  <c r="I184" i="11"/>
  <c r="J184" i="11" s="1"/>
  <c r="K185" i="11"/>
  <c r="I185" i="11"/>
  <c r="J185" i="11" s="1"/>
  <c r="K186" i="11"/>
  <c r="I186" i="11"/>
  <c r="J186" i="11" s="1"/>
  <c r="K187" i="11"/>
  <c r="I187" i="11"/>
  <c r="J187" i="11" s="1"/>
  <c r="K188" i="11"/>
  <c r="I188" i="11"/>
  <c r="J188" i="11" s="1"/>
  <c r="K189" i="11"/>
  <c r="I189" i="11"/>
  <c r="J189" i="11" s="1"/>
  <c r="K190" i="11"/>
  <c r="I190" i="11"/>
  <c r="J190" i="11" s="1"/>
  <c r="K191" i="11"/>
  <c r="I191" i="11"/>
  <c r="J191" i="11" s="1"/>
  <c r="K192" i="11"/>
  <c r="I192" i="11"/>
  <c r="J192" i="11" s="1"/>
  <c r="K193" i="11"/>
  <c r="I193" i="11"/>
  <c r="J193" i="11" s="1"/>
  <c r="K194" i="11"/>
  <c r="I194" i="11"/>
  <c r="J194" i="11" s="1"/>
  <c r="K195" i="11"/>
  <c r="I195" i="11"/>
  <c r="J195" i="11" s="1"/>
  <c r="K196" i="11"/>
  <c r="I196" i="11"/>
  <c r="J196" i="11" s="1"/>
  <c r="K197" i="11"/>
  <c r="I197" i="11"/>
  <c r="J197" i="11" s="1"/>
  <c r="K198" i="11"/>
  <c r="I198" i="11"/>
  <c r="J198" i="11" s="1"/>
  <c r="K199" i="11"/>
  <c r="I199" i="11"/>
  <c r="J199" i="11" s="1"/>
  <c r="K200" i="11"/>
  <c r="I200" i="11"/>
  <c r="J200" i="11" s="1"/>
  <c r="K201" i="11"/>
  <c r="I201" i="11"/>
  <c r="J201" i="11" s="1"/>
  <c r="K2" i="18"/>
  <c r="I2" i="18"/>
  <c r="J2" i="18" s="1"/>
  <c r="K3" i="18"/>
  <c r="I3" i="18"/>
  <c r="J3" i="18" s="1"/>
  <c r="K4" i="18"/>
  <c r="I4" i="18"/>
  <c r="J4" i="18" s="1"/>
  <c r="K5" i="18"/>
  <c r="I5" i="18"/>
  <c r="J5" i="18" s="1"/>
  <c r="K6" i="18"/>
  <c r="I6" i="18"/>
  <c r="J6" i="18" s="1"/>
  <c r="K7" i="18"/>
  <c r="I7" i="18"/>
  <c r="J7" i="18" s="1"/>
  <c r="K8" i="18"/>
  <c r="I8" i="18"/>
  <c r="J8" i="18" s="1"/>
  <c r="K9" i="18"/>
  <c r="I9" i="18"/>
  <c r="J9" i="18" s="1"/>
  <c r="K10" i="18"/>
  <c r="I10" i="18"/>
  <c r="J10" i="18" s="1"/>
  <c r="K11" i="18"/>
  <c r="I11" i="18"/>
  <c r="J11" i="18" s="1"/>
  <c r="K12" i="18"/>
  <c r="I12" i="18"/>
  <c r="J12" i="18" s="1"/>
  <c r="K13" i="18"/>
  <c r="I13" i="18"/>
  <c r="J13" i="18" s="1"/>
  <c r="K14" i="18"/>
  <c r="I14" i="18"/>
  <c r="J14" i="18" s="1"/>
  <c r="K15" i="18"/>
  <c r="I15" i="18"/>
  <c r="J15" i="18" s="1"/>
  <c r="K16" i="18"/>
  <c r="I16" i="18"/>
  <c r="J16" i="18" s="1"/>
  <c r="K17" i="18"/>
  <c r="I17" i="18"/>
  <c r="J17" i="18" s="1"/>
  <c r="K18" i="18"/>
  <c r="I18" i="18"/>
  <c r="J18" i="18" s="1"/>
  <c r="K19" i="18"/>
  <c r="I19" i="18"/>
  <c r="J19" i="18" s="1"/>
  <c r="K20" i="18"/>
  <c r="I20" i="18"/>
  <c r="J20" i="18" s="1"/>
  <c r="K21" i="18"/>
  <c r="I21" i="18"/>
  <c r="J21" i="18" s="1"/>
  <c r="K22" i="18"/>
  <c r="I22" i="18"/>
  <c r="J22" i="18" s="1"/>
  <c r="K23" i="18"/>
  <c r="I23" i="18"/>
  <c r="J23" i="18" s="1"/>
  <c r="K24" i="18"/>
  <c r="I24" i="18"/>
  <c r="J24" i="18" s="1"/>
  <c r="K25" i="18"/>
  <c r="I25" i="18"/>
  <c r="J25" i="18" s="1"/>
  <c r="K26" i="18"/>
  <c r="I26" i="18"/>
  <c r="J26" i="18" s="1"/>
  <c r="K27" i="18"/>
  <c r="I27" i="18"/>
  <c r="J27" i="18" s="1"/>
  <c r="K28" i="18"/>
  <c r="I28" i="18"/>
  <c r="J28" i="18" s="1"/>
  <c r="K29" i="18"/>
  <c r="I29" i="18"/>
  <c r="J29" i="18" s="1"/>
  <c r="K30" i="18"/>
  <c r="I30" i="18"/>
  <c r="J30" i="18" s="1"/>
  <c r="K31" i="18"/>
  <c r="I31" i="18"/>
  <c r="J31" i="18" s="1"/>
  <c r="K32" i="18"/>
  <c r="I32" i="18"/>
  <c r="J32" i="18" s="1"/>
  <c r="K33" i="18"/>
  <c r="I33" i="18"/>
  <c r="J33" i="18" s="1"/>
  <c r="K34" i="18"/>
  <c r="I34" i="18"/>
  <c r="J34" i="18" s="1"/>
  <c r="K35" i="18"/>
  <c r="I35" i="18"/>
  <c r="J35" i="18" s="1"/>
  <c r="K36" i="18"/>
  <c r="I36" i="18"/>
  <c r="J36" i="18" s="1"/>
  <c r="K37" i="18"/>
  <c r="I37" i="18"/>
  <c r="J37" i="18" s="1"/>
  <c r="K38" i="18"/>
  <c r="I38" i="18"/>
  <c r="J38" i="18" s="1"/>
  <c r="K39" i="18"/>
  <c r="I39" i="18"/>
  <c r="J39" i="18" s="1"/>
  <c r="K40" i="18"/>
  <c r="I40" i="18"/>
  <c r="J40" i="18" s="1"/>
  <c r="K41" i="18"/>
  <c r="I41" i="18"/>
  <c r="J41" i="18" s="1"/>
  <c r="K42" i="18"/>
  <c r="I42" i="18"/>
  <c r="J42" i="18" s="1"/>
  <c r="K43" i="18"/>
  <c r="I43" i="18"/>
  <c r="J43" i="18" s="1"/>
  <c r="K44" i="18"/>
  <c r="I44" i="18"/>
  <c r="J44" i="18" s="1"/>
  <c r="K45" i="18"/>
  <c r="I45" i="18"/>
  <c r="J45" i="18" s="1"/>
  <c r="K46" i="18"/>
  <c r="I46" i="18"/>
  <c r="J46" i="18" s="1"/>
  <c r="K47" i="18"/>
  <c r="I47" i="18"/>
  <c r="J47" i="18" s="1"/>
  <c r="K48" i="18"/>
  <c r="I48" i="18"/>
  <c r="J48" i="18" s="1"/>
  <c r="K49" i="18"/>
  <c r="I49" i="18"/>
  <c r="J49" i="18" s="1"/>
  <c r="K50" i="18"/>
  <c r="I50" i="18"/>
  <c r="J50" i="18" s="1"/>
  <c r="K51" i="18"/>
  <c r="I51" i="18"/>
  <c r="J51" i="18" s="1"/>
  <c r="K52" i="18"/>
  <c r="I52" i="18"/>
  <c r="J52" i="18" s="1"/>
  <c r="K53" i="18"/>
  <c r="I53" i="18"/>
  <c r="J53" i="18" s="1"/>
  <c r="K54" i="18"/>
  <c r="I54" i="18"/>
  <c r="J54" i="18" s="1"/>
  <c r="K55" i="18"/>
  <c r="I55" i="18"/>
  <c r="J55" i="18" s="1"/>
  <c r="K56" i="18"/>
  <c r="I56" i="18"/>
  <c r="J56" i="18" s="1"/>
  <c r="K57" i="18"/>
  <c r="I57" i="18"/>
  <c r="J57" i="18" s="1"/>
  <c r="K58" i="18"/>
  <c r="I58" i="18"/>
  <c r="J58" i="18" s="1"/>
  <c r="K59" i="18"/>
  <c r="I59" i="18"/>
  <c r="J59" i="18" s="1"/>
  <c r="K60" i="18"/>
  <c r="I60" i="18"/>
  <c r="J60" i="18" s="1"/>
  <c r="K61" i="18"/>
  <c r="I61" i="18"/>
  <c r="J61" i="18" s="1"/>
  <c r="K62" i="18"/>
  <c r="I62" i="18"/>
  <c r="J62" i="18" s="1"/>
  <c r="K63" i="18"/>
  <c r="I63" i="18"/>
  <c r="J63" i="18" s="1"/>
  <c r="K64" i="18"/>
  <c r="I64" i="18"/>
  <c r="J64" i="18" s="1"/>
  <c r="K65" i="18"/>
  <c r="I65" i="18"/>
  <c r="J65" i="18" s="1"/>
  <c r="K66" i="18"/>
  <c r="I66" i="18"/>
  <c r="J66" i="18" s="1"/>
  <c r="K67" i="18"/>
  <c r="I67" i="18"/>
  <c r="J67" i="18" s="1"/>
  <c r="K68" i="18"/>
  <c r="I68" i="18"/>
  <c r="J68" i="18" s="1"/>
  <c r="K69" i="18"/>
  <c r="I69" i="18"/>
  <c r="J69" i="18" s="1"/>
  <c r="K70" i="18"/>
  <c r="I70" i="18"/>
  <c r="J70" i="18" s="1"/>
  <c r="K71" i="18"/>
  <c r="I71" i="18"/>
  <c r="J71" i="18" s="1"/>
  <c r="K72" i="18"/>
  <c r="I72" i="18"/>
  <c r="J72" i="18" s="1"/>
  <c r="K73" i="18"/>
  <c r="I73" i="18"/>
  <c r="J73" i="18" s="1"/>
  <c r="K74" i="18"/>
  <c r="I74" i="18"/>
  <c r="J74" i="18" s="1"/>
  <c r="K75" i="18"/>
  <c r="I75" i="18"/>
  <c r="J75" i="18" s="1"/>
  <c r="K76" i="18"/>
  <c r="I76" i="18"/>
  <c r="J76" i="18" s="1"/>
  <c r="K77" i="18"/>
  <c r="I77" i="18"/>
  <c r="J77" i="18" s="1"/>
  <c r="K78" i="18"/>
  <c r="I78" i="18"/>
  <c r="J78" i="18" s="1"/>
  <c r="K79" i="18"/>
  <c r="I79" i="18"/>
  <c r="J79" i="18" s="1"/>
  <c r="K80" i="18"/>
  <c r="I80" i="18"/>
  <c r="J80" i="18" s="1"/>
  <c r="K81" i="18"/>
  <c r="I81" i="18"/>
  <c r="J81" i="18" s="1"/>
  <c r="K82" i="18"/>
  <c r="I82" i="18"/>
  <c r="J82" i="18" s="1"/>
  <c r="K83" i="18"/>
  <c r="I83" i="18"/>
  <c r="J83" i="18" s="1"/>
  <c r="K84" i="18"/>
  <c r="I84" i="18"/>
  <c r="J84" i="18" s="1"/>
  <c r="K85" i="18"/>
  <c r="I85" i="18"/>
  <c r="J85" i="18" s="1"/>
  <c r="K86" i="18"/>
  <c r="I86" i="18"/>
  <c r="J86" i="18" s="1"/>
  <c r="K87" i="18"/>
  <c r="I87" i="18"/>
  <c r="J87" i="18" s="1"/>
  <c r="K88" i="18"/>
  <c r="I88" i="18"/>
  <c r="J88" i="18" s="1"/>
  <c r="K89" i="18"/>
  <c r="I89" i="18"/>
  <c r="J89" i="18" s="1"/>
  <c r="K90" i="18"/>
  <c r="I90" i="18"/>
  <c r="J90" i="18" s="1"/>
  <c r="K91" i="18"/>
  <c r="I91" i="18"/>
  <c r="J91" i="18" s="1"/>
  <c r="K92" i="18"/>
  <c r="I92" i="18"/>
  <c r="J92" i="18" s="1"/>
  <c r="K93" i="18"/>
  <c r="I93" i="18"/>
  <c r="J93" i="18" s="1"/>
  <c r="K94" i="18"/>
  <c r="I94" i="18"/>
  <c r="J94" i="18" s="1"/>
  <c r="K95" i="18"/>
  <c r="I95" i="18"/>
  <c r="J95" i="18" s="1"/>
  <c r="K96" i="18"/>
  <c r="I96" i="18"/>
  <c r="J96" i="18" s="1"/>
  <c r="K97" i="18"/>
  <c r="I97" i="18"/>
  <c r="J97" i="18" s="1"/>
  <c r="K98" i="18"/>
  <c r="I98" i="18"/>
  <c r="J98" i="18" s="1"/>
  <c r="K99" i="18"/>
  <c r="I99" i="18"/>
  <c r="J99" i="18" s="1"/>
  <c r="K100" i="18"/>
  <c r="I100" i="18"/>
  <c r="J100" i="18" s="1"/>
  <c r="K101" i="18"/>
  <c r="I101" i="18"/>
  <c r="J101" i="18" s="1"/>
  <c r="K102" i="18"/>
  <c r="I102" i="18"/>
  <c r="J102" i="18" s="1"/>
  <c r="K103" i="18"/>
  <c r="I103" i="18"/>
  <c r="J103" i="18" s="1"/>
  <c r="K104" i="18"/>
  <c r="I104" i="18"/>
  <c r="J104" i="18" s="1"/>
  <c r="K105" i="18"/>
  <c r="I105" i="18"/>
  <c r="J105" i="18" s="1"/>
  <c r="K106" i="18"/>
  <c r="I106" i="18"/>
  <c r="J106" i="18" s="1"/>
  <c r="K107" i="18"/>
  <c r="I107" i="18"/>
  <c r="J107" i="18" s="1"/>
  <c r="K108" i="18"/>
  <c r="I108" i="18"/>
  <c r="J108" i="18" s="1"/>
  <c r="K109" i="18"/>
  <c r="I109" i="18"/>
  <c r="J109" i="18" s="1"/>
  <c r="K110" i="18"/>
  <c r="I110" i="18"/>
  <c r="J110" i="18" s="1"/>
  <c r="K111" i="18"/>
  <c r="I111" i="18"/>
  <c r="J111" i="18" s="1"/>
  <c r="K112" i="18"/>
  <c r="I112" i="18"/>
  <c r="J112" i="18" s="1"/>
  <c r="K113" i="18"/>
  <c r="I113" i="18"/>
  <c r="J113" i="18" s="1"/>
  <c r="K114" i="18"/>
  <c r="I114" i="18"/>
  <c r="J114" i="18" s="1"/>
  <c r="K115" i="18"/>
  <c r="I115" i="18"/>
  <c r="J115" i="18" s="1"/>
  <c r="K116" i="18"/>
  <c r="I116" i="18"/>
  <c r="J116" i="18" s="1"/>
  <c r="K117" i="18"/>
  <c r="I117" i="18"/>
  <c r="J117" i="18" s="1"/>
  <c r="K118" i="18"/>
  <c r="I118" i="18"/>
  <c r="J118" i="18" s="1"/>
  <c r="K119" i="18"/>
  <c r="I119" i="18"/>
  <c r="J119" i="18" s="1"/>
  <c r="K120" i="18"/>
  <c r="I120" i="18"/>
  <c r="J120" i="18" s="1"/>
  <c r="K121" i="18"/>
  <c r="I121" i="18"/>
  <c r="J121" i="18" s="1"/>
  <c r="K122" i="18"/>
  <c r="I122" i="18"/>
  <c r="J122" i="18" s="1"/>
  <c r="K123" i="18"/>
  <c r="I123" i="18"/>
  <c r="J123" i="18" s="1"/>
  <c r="K124" i="18"/>
  <c r="I124" i="18"/>
  <c r="J124" i="18" s="1"/>
  <c r="K125" i="18"/>
  <c r="I125" i="18"/>
  <c r="J125" i="18" s="1"/>
  <c r="K126" i="18"/>
  <c r="I126" i="18"/>
  <c r="J126" i="18" s="1"/>
  <c r="K127" i="18"/>
  <c r="I127" i="18"/>
  <c r="J127" i="18" s="1"/>
  <c r="K128" i="18"/>
  <c r="I128" i="18"/>
  <c r="J128" i="18" s="1"/>
  <c r="K129" i="18"/>
  <c r="I129" i="18"/>
  <c r="J129" i="18" s="1"/>
  <c r="K130" i="18"/>
  <c r="I130" i="18"/>
  <c r="J130" i="18" s="1"/>
  <c r="K131" i="18"/>
  <c r="I131" i="18"/>
  <c r="J131" i="18" s="1"/>
  <c r="K132" i="18"/>
  <c r="I132" i="18"/>
  <c r="J132" i="18" s="1"/>
  <c r="K133" i="18"/>
  <c r="I133" i="18"/>
  <c r="J133" i="18" s="1"/>
  <c r="K134" i="18"/>
  <c r="I134" i="18"/>
  <c r="J134" i="18" s="1"/>
  <c r="K135" i="18"/>
  <c r="I135" i="18"/>
  <c r="J135" i="18" s="1"/>
  <c r="K136" i="18"/>
  <c r="I136" i="18"/>
  <c r="J136" i="18" s="1"/>
  <c r="K137" i="18"/>
  <c r="I137" i="18"/>
  <c r="J137" i="18" s="1"/>
  <c r="K138" i="18"/>
  <c r="I138" i="18"/>
  <c r="J138" i="18" s="1"/>
  <c r="K139" i="18"/>
  <c r="I139" i="18"/>
  <c r="J139" i="18" s="1"/>
  <c r="K140" i="18"/>
  <c r="I140" i="18"/>
  <c r="J140" i="18" s="1"/>
  <c r="K141" i="18"/>
  <c r="I141" i="18"/>
  <c r="J141" i="18" s="1"/>
  <c r="K142" i="18"/>
  <c r="I142" i="18"/>
  <c r="J142" i="18" s="1"/>
  <c r="K143" i="18"/>
  <c r="I143" i="18"/>
  <c r="J143" i="18" s="1"/>
  <c r="K144" i="18"/>
  <c r="I144" i="18"/>
  <c r="J144" i="18" s="1"/>
  <c r="K145" i="18"/>
  <c r="I145" i="18"/>
  <c r="J145" i="18" s="1"/>
  <c r="K146" i="18"/>
  <c r="I146" i="18"/>
  <c r="J146" i="18" s="1"/>
  <c r="K147" i="18"/>
  <c r="I147" i="18"/>
  <c r="J147" i="18" s="1"/>
  <c r="K148" i="18"/>
  <c r="I148" i="18"/>
  <c r="J148" i="18" s="1"/>
  <c r="K149" i="18"/>
  <c r="I149" i="18"/>
  <c r="J149" i="18" s="1"/>
  <c r="K150" i="18"/>
  <c r="I150" i="18"/>
  <c r="J150" i="18" s="1"/>
  <c r="K151" i="18"/>
  <c r="I151" i="18"/>
  <c r="J151" i="18" s="1"/>
  <c r="K152" i="18"/>
  <c r="I152" i="18"/>
  <c r="J152" i="18" s="1"/>
  <c r="K153" i="18"/>
  <c r="I153" i="18"/>
  <c r="J153" i="18" s="1"/>
  <c r="K154" i="18"/>
  <c r="I154" i="18"/>
  <c r="J154" i="18" s="1"/>
  <c r="K155" i="18"/>
  <c r="I155" i="18"/>
  <c r="J155" i="18" s="1"/>
  <c r="K156" i="18"/>
  <c r="I156" i="18"/>
  <c r="J156" i="18" s="1"/>
  <c r="K157" i="18"/>
  <c r="I157" i="18"/>
  <c r="J157" i="18" s="1"/>
  <c r="K158" i="18"/>
  <c r="I158" i="18"/>
  <c r="J158" i="18" s="1"/>
  <c r="K159" i="18"/>
  <c r="I159" i="18"/>
  <c r="J159" i="18" s="1"/>
  <c r="K160" i="18"/>
  <c r="I160" i="18"/>
  <c r="J160" i="18" s="1"/>
  <c r="K161" i="18"/>
  <c r="I161" i="18"/>
  <c r="J161" i="18" s="1"/>
  <c r="K162" i="18"/>
  <c r="I162" i="18"/>
  <c r="J162" i="18" s="1"/>
  <c r="K163" i="18"/>
  <c r="I163" i="18"/>
  <c r="J163" i="18" s="1"/>
  <c r="K164" i="18"/>
  <c r="I164" i="18"/>
  <c r="J164" i="18" s="1"/>
  <c r="K165" i="18"/>
  <c r="I165" i="18"/>
  <c r="J165" i="18" s="1"/>
  <c r="K166" i="18"/>
  <c r="I166" i="18"/>
  <c r="J166" i="18" s="1"/>
  <c r="K167" i="18"/>
  <c r="I167" i="18"/>
  <c r="J167" i="18" s="1"/>
  <c r="K168" i="18"/>
  <c r="I168" i="18"/>
  <c r="J168" i="18" s="1"/>
  <c r="K169" i="18"/>
  <c r="I169" i="18"/>
  <c r="J169" i="18" s="1"/>
  <c r="K170" i="18"/>
  <c r="I170" i="18"/>
  <c r="J170" i="18" s="1"/>
  <c r="K171" i="18"/>
  <c r="I171" i="18"/>
  <c r="J171" i="18" s="1"/>
  <c r="K172" i="18"/>
  <c r="I172" i="18"/>
  <c r="J172" i="18" s="1"/>
  <c r="K173" i="18"/>
  <c r="I173" i="18"/>
  <c r="J173" i="18" s="1"/>
  <c r="K174" i="18"/>
  <c r="I174" i="18"/>
  <c r="J174" i="18" s="1"/>
  <c r="K175" i="18"/>
  <c r="I175" i="18"/>
  <c r="J175" i="18" s="1"/>
  <c r="K176" i="18"/>
  <c r="I176" i="18"/>
  <c r="J176" i="18" s="1"/>
  <c r="K177" i="18"/>
  <c r="I177" i="18"/>
  <c r="J177" i="18" s="1"/>
  <c r="K178" i="18"/>
  <c r="I178" i="18"/>
  <c r="J178" i="18" s="1"/>
  <c r="K179" i="18"/>
  <c r="I179" i="18"/>
  <c r="J179" i="18" s="1"/>
  <c r="K180" i="18"/>
  <c r="I180" i="18"/>
  <c r="J180" i="18" s="1"/>
  <c r="K181" i="18"/>
  <c r="I181" i="18"/>
  <c r="J181" i="18" s="1"/>
  <c r="K182" i="18"/>
  <c r="I182" i="18"/>
  <c r="J182" i="18" s="1"/>
  <c r="K183" i="18"/>
  <c r="I183" i="18"/>
  <c r="J183" i="18" s="1"/>
  <c r="K184" i="18"/>
  <c r="I184" i="18"/>
  <c r="J184" i="18" s="1"/>
  <c r="K185" i="18"/>
  <c r="I185" i="18"/>
  <c r="J185" i="18" s="1"/>
  <c r="K186" i="18"/>
  <c r="I186" i="18"/>
  <c r="J186" i="18" s="1"/>
  <c r="K187" i="18"/>
  <c r="I187" i="18"/>
  <c r="J187" i="18" s="1"/>
  <c r="K188" i="18"/>
  <c r="I188" i="18"/>
  <c r="J188" i="18" s="1"/>
  <c r="K189" i="18"/>
  <c r="I189" i="18"/>
  <c r="J189" i="18" s="1"/>
  <c r="K190" i="18"/>
  <c r="I190" i="18"/>
  <c r="J190" i="18" s="1"/>
  <c r="K191" i="18"/>
  <c r="I191" i="18"/>
  <c r="J191" i="18" s="1"/>
  <c r="K192" i="18"/>
  <c r="I192" i="18"/>
  <c r="J192" i="18" s="1"/>
  <c r="K193" i="18"/>
  <c r="I193" i="18"/>
  <c r="J193" i="18" s="1"/>
  <c r="K194" i="18"/>
  <c r="I194" i="18"/>
  <c r="J194" i="18" s="1"/>
  <c r="K195" i="18"/>
  <c r="I195" i="18"/>
  <c r="J195" i="18" s="1"/>
  <c r="K196" i="18"/>
  <c r="I196" i="18"/>
  <c r="J196" i="18" s="1"/>
  <c r="K197" i="18"/>
  <c r="I197" i="18"/>
  <c r="J197" i="18" s="1"/>
  <c r="K198" i="18"/>
  <c r="I198" i="18"/>
  <c r="J198" i="18" s="1"/>
  <c r="K199" i="18"/>
  <c r="I199" i="18"/>
  <c r="J199" i="18" s="1"/>
  <c r="K200" i="18"/>
  <c r="I200" i="18"/>
  <c r="J200" i="18" s="1"/>
  <c r="K201" i="18"/>
  <c r="I201" i="18"/>
  <c r="J201" i="18" s="1"/>
  <c r="K202" i="18"/>
  <c r="I202" i="18"/>
  <c r="J202" i="18" s="1"/>
  <c r="K203" i="18"/>
  <c r="I203" i="18"/>
  <c r="J203" i="18" s="1"/>
  <c r="K204" i="18"/>
  <c r="I204" i="18"/>
  <c r="J204" i="18" s="1"/>
  <c r="K205" i="18"/>
  <c r="I205" i="18"/>
  <c r="J205" i="18" s="1"/>
  <c r="K206" i="18"/>
  <c r="I206" i="18"/>
  <c r="J206" i="18" s="1"/>
  <c r="K207" i="18"/>
  <c r="I207" i="18"/>
  <c r="J207" i="18" s="1"/>
  <c r="K208" i="18"/>
  <c r="I208" i="18"/>
  <c r="J208" i="18" s="1"/>
  <c r="K209" i="18"/>
  <c r="I209" i="18"/>
  <c r="J209" i="18" s="1"/>
  <c r="K210" i="18"/>
  <c r="I210" i="18"/>
  <c r="J210" i="18" s="1"/>
  <c r="K211" i="18"/>
  <c r="I211" i="18"/>
  <c r="J211" i="18" s="1"/>
  <c r="K212" i="18"/>
  <c r="I212" i="18"/>
  <c r="J212" i="18" s="1"/>
  <c r="K213" i="18"/>
  <c r="I213" i="18"/>
  <c r="J213" i="18" s="1"/>
  <c r="K214" i="18"/>
  <c r="I214" i="18"/>
  <c r="J214" i="18" s="1"/>
  <c r="K215" i="18"/>
  <c r="I215" i="18"/>
  <c r="J215" i="18" s="1"/>
  <c r="K216" i="18"/>
  <c r="I216" i="18"/>
  <c r="J216" i="18" s="1"/>
  <c r="K217" i="18"/>
  <c r="I217" i="18"/>
  <c r="J217" i="18" s="1"/>
  <c r="K218" i="18"/>
  <c r="I218" i="18"/>
  <c r="J218" i="18" s="1"/>
  <c r="K219" i="18"/>
  <c r="I219" i="18"/>
  <c r="J219" i="18" s="1"/>
  <c r="K220" i="18"/>
  <c r="I220" i="18"/>
  <c r="J220" i="18" s="1"/>
  <c r="K221" i="18"/>
  <c r="I221" i="18"/>
  <c r="J221" i="18" s="1"/>
  <c r="K222" i="18"/>
  <c r="I222" i="18"/>
  <c r="J222" i="18" s="1"/>
  <c r="K223" i="18"/>
  <c r="I223" i="18"/>
  <c r="J223" i="18" s="1"/>
  <c r="K224" i="18"/>
  <c r="I224" i="18"/>
  <c r="J224" i="18" s="1"/>
  <c r="K225" i="18"/>
  <c r="I225" i="18"/>
  <c r="J225" i="18" s="1"/>
  <c r="K226" i="18"/>
  <c r="I226" i="18"/>
  <c r="J226" i="18" s="1"/>
  <c r="K227" i="18"/>
  <c r="I227" i="18"/>
  <c r="J227" i="18" s="1"/>
  <c r="K228" i="18"/>
  <c r="I228" i="18"/>
  <c r="J228" i="18" s="1"/>
  <c r="K229" i="18"/>
  <c r="I229" i="18"/>
  <c r="J229" i="18" s="1"/>
  <c r="K230" i="18"/>
  <c r="I230" i="18"/>
  <c r="J230" i="18" s="1"/>
  <c r="K231" i="18"/>
  <c r="I231" i="18"/>
  <c r="J231" i="18" s="1"/>
  <c r="K232" i="18"/>
  <c r="I232" i="18"/>
  <c r="J232" i="18" s="1"/>
  <c r="K233" i="18"/>
  <c r="I233" i="18"/>
  <c r="J233" i="18" s="1"/>
  <c r="K234" i="18"/>
  <c r="I234" i="18"/>
  <c r="J234" i="18" s="1"/>
  <c r="K235" i="18"/>
  <c r="I235" i="18"/>
  <c r="J235" i="18" s="1"/>
  <c r="K236" i="18"/>
  <c r="I236" i="18"/>
  <c r="J236" i="18" s="1"/>
  <c r="K237" i="18"/>
  <c r="I237" i="18"/>
  <c r="J237" i="18" s="1"/>
  <c r="K238" i="18"/>
  <c r="I238" i="18"/>
  <c r="J238" i="18" s="1"/>
  <c r="K239" i="18"/>
  <c r="I239" i="18"/>
  <c r="J239" i="18" s="1"/>
  <c r="K240" i="18"/>
  <c r="I240" i="18"/>
  <c r="J240" i="18" s="1"/>
  <c r="K241" i="18"/>
  <c r="I241" i="18"/>
  <c r="J241" i="18" s="1"/>
  <c r="K242" i="18"/>
  <c r="I242" i="18"/>
  <c r="J242" i="18" s="1"/>
  <c r="K243" i="18"/>
  <c r="I243" i="18"/>
  <c r="J243" i="18" s="1"/>
  <c r="K244" i="18"/>
  <c r="I244" i="18"/>
  <c r="J244" i="18" s="1"/>
  <c r="K245" i="18"/>
  <c r="I245" i="18"/>
  <c r="J245" i="18" s="1"/>
  <c r="K246" i="18"/>
  <c r="I246" i="18"/>
  <c r="J246" i="18" s="1"/>
  <c r="K247" i="18"/>
  <c r="I247" i="18"/>
  <c r="J247" i="18" s="1"/>
  <c r="K248" i="18"/>
  <c r="I248" i="18"/>
  <c r="J248" i="18" s="1"/>
  <c r="K249" i="18"/>
  <c r="I249" i="18"/>
  <c r="J249" i="18" s="1"/>
  <c r="K250" i="18"/>
  <c r="I250" i="18"/>
  <c r="J250" i="18" s="1"/>
  <c r="K251" i="18"/>
  <c r="I251" i="18"/>
  <c r="J251" i="18" s="1"/>
  <c r="K252" i="18"/>
  <c r="I252" i="18"/>
  <c r="J252" i="18" s="1"/>
  <c r="K253" i="18"/>
  <c r="I253" i="18"/>
  <c r="J253" i="18" s="1"/>
  <c r="K254" i="18"/>
  <c r="I254" i="18"/>
  <c r="J254" i="18" s="1"/>
  <c r="K255" i="18"/>
  <c r="I255" i="18"/>
  <c r="J255" i="18" s="1"/>
  <c r="K256" i="18"/>
  <c r="I256" i="18"/>
  <c r="J256" i="18" s="1"/>
  <c r="K257" i="18"/>
  <c r="I257" i="18"/>
  <c r="J257" i="18" s="1"/>
  <c r="K258" i="18"/>
  <c r="I258" i="18"/>
  <c r="J258" i="18" s="1"/>
  <c r="K259" i="18"/>
  <c r="I259" i="18"/>
  <c r="J259" i="18" s="1"/>
  <c r="K260" i="18"/>
  <c r="I260" i="18"/>
  <c r="J260" i="18" s="1"/>
  <c r="K261" i="18"/>
  <c r="I261" i="18"/>
  <c r="J261" i="18" s="1"/>
  <c r="K262" i="18"/>
  <c r="I262" i="18"/>
  <c r="J262" i="18" s="1"/>
  <c r="K263" i="18"/>
  <c r="I263" i="18"/>
  <c r="J263" i="18" s="1"/>
  <c r="K264" i="18"/>
  <c r="I264" i="18"/>
  <c r="J264" i="18" s="1"/>
  <c r="K265" i="18"/>
  <c r="I265" i="18"/>
  <c r="J265" i="18" s="1"/>
  <c r="K266" i="18"/>
  <c r="I266" i="18"/>
  <c r="J266" i="18" s="1"/>
  <c r="K267" i="18"/>
  <c r="I267" i="18"/>
  <c r="J267" i="18" s="1"/>
  <c r="K268" i="18"/>
  <c r="I268" i="18"/>
  <c r="J268" i="18" s="1"/>
  <c r="K269" i="18"/>
  <c r="I269" i="18"/>
  <c r="J269" i="18" s="1"/>
  <c r="K270" i="18"/>
  <c r="I270" i="18"/>
  <c r="J270" i="18" s="1"/>
  <c r="K271" i="18"/>
  <c r="I271" i="18"/>
  <c r="J271" i="18" s="1"/>
  <c r="K272" i="18"/>
  <c r="I272" i="18"/>
  <c r="J272" i="18" s="1"/>
  <c r="K273" i="18"/>
  <c r="I273" i="18"/>
  <c r="J273" i="18" s="1"/>
  <c r="K274" i="18"/>
  <c r="I274" i="18"/>
  <c r="J274" i="18" s="1"/>
  <c r="K275" i="18"/>
  <c r="I275" i="18"/>
  <c r="J275" i="18" s="1"/>
  <c r="K276" i="18"/>
  <c r="I276" i="18"/>
  <c r="J276" i="18" s="1"/>
  <c r="K277" i="18"/>
  <c r="I277" i="18"/>
  <c r="J277" i="18" s="1"/>
  <c r="K278" i="18"/>
  <c r="I278" i="18"/>
  <c r="J278" i="18" s="1"/>
  <c r="K279" i="18"/>
  <c r="I279" i="18"/>
  <c r="J279" i="18" s="1"/>
  <c r="K280" i="18"/>
  <c r="I280" i="18"/>
  <c r="J280" i="18" s="1"/>
  <c r="K281" i="18"/>
  <c r="I281" i="18"/>
  <c r="J281" i="18" s="1"/>
  <c r="K282" i="18"/>
  <c r="I282" i="18"/>
  <c r="J282" i="18" s="1"/>
  <c r="K283" i="18"/>
  <c r="I283" i="18"/>
  <c r="J283" i="18" s="1"/>
  <c r="K284" i="18"/>
  <c r="I284" i="18"/>
  <c r="J284" i="18" s="1"/>
  <c r="K285" i="18"/>
  <c r="I285" i="18"/>
  <c r="J285" i="18" s="1"/>
  <c r="K286" i="18"/>
  <c r="I286" i="18"/>
  <c r="J286" i="18" s="1"/>
  <c r="K287" i="18"/>
  <c r="I287" i="18"/>
  <c r="J287" i="18" s="1"/>
  <c r="K288" i="18"/>
  <c r="I288" i="18"/>
  <c r="J288" i="18" s="1"/>
  <c r="K289" i="18"/>
  <c r="I289" i="18"/>
  <c r="J289" i="18" s="1"/>
  <c r="K290" i="18"/>
  <c r="I290" i="18"/>
  <c r="J290" i="18" s="1"/>
  <c r="K291" i="18"/>
  <c r="I291" i="18"/>
  <c r="J291" i="18" s="1"/>
  <c r="K292" i="18"/>
  <c r="I292" i="18"/>
  <c r="J292" i="18" s="1"/>
  <c r="K293" i="18"/>
  <c r="I293" i="18"/>
  <c r="J293" i="18" s="1"/>
  <c r="K294" i="18"/>
  <c r="I294" i="18"/>
  <c r="J294" i="18" s="1"/>
  <c r="K295" i="18"/>
  <c r="I295" i="18"/>
  <c r="J295" i="18" s="1"/>
  <c r="K296" i="18"/>
  <c r="I296" i="18"/>
  <c r="J296" i="18" s="1"/>
  <c r="K297" i="18"/>
  <c r="I297" i="18"/>
  <c r="J297" i="18" s="1"/>
  <c r="K298" i="18"/>
  <c r="I298" i="18"/>
  <c r="J298" i="18" s="1"/>
  <c r="K299" i="18"/>
  <c r="I299" i="18"/>
  <c r="J299" i="18" s="1"/>
  <c r="K300" i="18"/>
  <c r="I300" i="18"/>
  <c r="J300" i="18" s="1"/>
  <c r="K301" i="18"/>
  <c r="I301" i="18"/>
  <c r="J301" i="18" s="1"/>
  <c r="K302" i="18"/>
  <c r="I302" i="18"/>
  <c r="J302" i="18" s="1"/>
  <c r="K303" i="18"/>
  <c r="I303" i="18"/>
  <c r="J303" i="18" s="1"/>
  <c r="K304" i="18"/>
  <c r="I304" i="18"/>
  <c r="J304" i="18" s="1"/>
  <c r="K305" i="18"/>
  <c r="I305" i="18"/>
  <c r="J305" i="18" s="1"/>
  <c r="K306" i="18"/>
  <c r="I306" i="18"/>
  <c r="J306" i="18" s="1"/>
  <c r="K307" i="18"/>
  <c r="I307" i="18"/>
  <c r="J307" i="18" s="1"/>
  <c r="K308" i="18"/>
  <c r="I308" i="18"/>
  <c r="J308" i="18" s="1"/>
  <c r="K309" i="18"/>
  <c r="I309" i="18"/>
  <c r="J309" i="18" s="1"/>
  <c r="K310" i="18"/>
  <c r="I310" i="18"/>
  <c r="J310" i="18" s="1"/>
  <c r="K311" i="18"/>
  <c r="I311" i="18"/>
  <c r="J311" i="18" s="1"/>
  <c r="K312" i="18"/>
  <c r="I312" i="18"/>
  <c r="J312" i="18" s="1"/>
  <c r="K313" i="18"/>
  <c r="I313" i="18"/>
  <c r="J313" i="18" s="1"/>
  <c r="K314" i="18"/>
  <c r="I314" i="18"/>
  <c r="J314" i="18" s="1"/>
  <c r="K315" i="18"/>
  <c r="I315" i="18"/>
  <c r="J315" i="18" s="1"/>
  <c r="K316" i="18"/>
  <c r="I316" i="18"/>
  <c r="J316" i="18" s="1"/>
  <c r="K317" i="18"/>
  <c r="I317" i="18"/>
  <c r="J317" i="18" s="1"/>
  <c r="K318" i="18"/>
  <c r="I318" i="18"/>
  <c r="J318" i="18" s="1"/>
  <c r="K319" i="18"/>
  <c r="I319" i="18"/>
  <c r="J319" i="18" s="1"/>
  <c r="K320" i="18"/>
  <c r="I320" i="18"/>
  <c r="J320" i="18" s="1"/>
  <c r="K321" i="18"/>
  <c r="I321" i="18"/>
  <c r="J321" i="18" s="1"/>
  <c r="K322" i="18"/>
  <c r="I322" i="18"/>
  <c r="J322" i="18" s="1"/>
  <c r="K323" i="18"/>
  <c r="I323" i="18"/>
  <c r="J323" i="18" s="1"/>
  <c r="K324" i="18"/>
  <c r="I324" i="18"/>
  <c r="J324" i="18" s="1"/>
  <c r="K325" i="18"/>
  <c r="I325" i="18"/>
  <c r="J325" i="18" s="1"/>
  <c r="K326" i="18"/>
  <c r="I326" i="18"/>
  <c r="J326" i="18" s="1"/>
  <c r="K327" i="18"/>
  <c r="I327" i="18"/>
  <c r="J327" i="18" s="1"/>
  <c r="K328" i="18"/>
  <c r="I328" i="18"/>
  <c r="J328" i="18" s="1"/>
  <c r="K329" i="18"/>
  <c r="I329" i="18"/>
  <c r="J329" i="18" s="1"/>
  <c r="K330" i="18"/>
  <c r="I330" i="18"/>
  <c r="J330" i="18" s="1"/>
  <c r="K331" i="18"/>
  <c r="I331" i="18"/>
  <c r="J331" i="18" s="1"/>
  <c r="K332" i="18"/>
  <c r="I332" i="18"/>
  <c r="J332" i="18" s="1"/>
  <c r="K333" i="18"/>
  <c r="I333" i="18"/>
  <c r="J333" i="18" s="1"/>
  <c r="K334" i="18"/>
  <c r="I334" i="18"/>
  <c r="J334" i="18" s="1"/>
  <c r="K335" i="18"/>
  <c r="I335" i="18"/>
  <c r="J335" i="18" s="1"/>
  <c r="K336" i="18"/>
  <c r="I336" i="18"/>
  <c r="J336" i="18" s="1"/>
  <c r="K337" i="18"/>
  <c r="I337" i="18"/>
  <c r="J337" i="18" s="1"/>
  <c r="K338" i="18"/>
  <c r="I338" i="18"/>
  <c r="J338" i="18" s="1"/>
  <c r="K339" i="18"/>
  <c r="I339" i="18"/>
  <c r="J339" i="18" s="1"/>
  <c r="K340" i="18"/>
  <c r="I340" i="18"/>
  <c r="J340" i="18" s="1"/>
  <c r="K341" i="18"/>
  <c r="I341" i="18"/>
  <c r="J341" i="18" s="1"/>
  <c r="K342" i="18"/>
  <c r="I342" i="18"/>
  <c r="J342" i="18" s="1"/>
  <c r="K343" i="18"/>
  <c r="I343" i="18"/>
  <c r="J343" i="18" s="1"/>
  <c r="K344" i="18"/>
  <c r="I344" i="18"/>
  <c r="J344" i="18" s="1"/>
  <c r="K345" i="18"/>
  <c r="I345" i="18"/>
  <c r="J345" i="18" s="1"/>
  <c r="K346" i="18"/>
  <c r="I346" i="18"/>
  <c r="J346" i="18" s="1"/>
  <c r="K347" i="18"/>
  <c r="I347" i="18"/>
  <c r="J347" i="18" s="1"/>
  <c r="K348" i="18"/>
  <c r="I348" i="18"/>
  <c r="J348" i="18" s="1"/>
  <c r="K349" i="18"/>
  <c r="I349" i="18"/>
  <c r="J349" i="18" s="1"/>
  <c r="K350" i="18"/>
  <c r="I350" i="18"/>
  <c r="J350" i="18" s="1"/>
  <c r="K351" i="18"/>
  <c r="I351" i="18"/>
  <c r="J351" i="18" s="1"/>
  <c r="K352" i="18"/>
  <c r="I352" i="18"/>
  <c r="J352" i="18" s="1"/>
  <c r="K353" i="18"/>
  <c r="I353" i="18"/>
  <c r="J353" i="18" s="1"/>
  <c r="K354" i="18"/>
  <c r="I354" i="18"/>
  <c r="J354" i="18" s="1"/>
  <c r="K355" i="18"/>
  <c r="I355" i="18"/>
  <c r="J355" i="18" s="1"/>
  <c r="K356" i="18"/>
  <c r="I356" i="18"/>
  <c r="J356" i="18" s="1"/>
  <c r="K357" i="18"/>
  <c r="I357" i="18"/>
  <c r="J357" i="18" s="1"/>
  <c r="K358" i="18"/>
  <c r="I358" i="18"/>
  <c r="J358" i="18" s="1"/>
  <c r="K359" i="18"/>
  <c r="I359" i="18"/>
  <c r="J359" i="18" s="1"/>
  <c r="K360" i="18"/>
  <c r="I360" i="18"/>
  <c r="J360" i="18" s="1"/>
  <c r="K361" i="18"/>
  <c r="I361" i="18"/>
  <c r="J361" i="18" s="1"/>
  <c r="K362" i="18"/>
  <c r="I362" i="18"/>
  <c r="J362" i="18" s="1"/>
  <c r="K363" i="18"/>
  <c r="I363" i="18"/>
  <c r="J363" i="18" s="1"/>
  <c r="K364" i="18"/>
  <c r="I364" i="18"/>
  <c r="J364" i="18" s="1"/>
  <c r="K365" i="18"/>
  <c r="I365" i="18"/>
  <c r="J365" i="18" s="1"/>
  <c r="K366" i="18"/>
  <c r="I366" i="18"/>
  <c r="J366" i="18" s="1"/>
  <c r="K367" i="18"/>
  <c r="I367" i="18"/>
  <c r="J367" i="18" s="1"/>
  <c r="K368" i="18"/>
  <c r="I368" i="18"/>
  <c r="J368" i="18" s="1"/>
  <c r="K369" i="18"/>
  <c r="I369" i="18"/>
  <c r="J369" i="18" s="1"/>
  <c r="K370" i="18"/>
  <c r="I370" i="18"/>
  <c r="J370" i="18" s="1"/>
  <c r="K371" i="18"/>
  <c r="I371" i="18"/>
  <c r="J371" i="18" s="1"/>
  <c r="K372" i="18"/>
  <c r="I372" i="18"/>
  <c r="J372" i="18" s="1"/>
  <c r="K373" i="18"/>
  <c r="I373" i="18"/>
  <c r="J373" i="18" s="1"/>
  <c r="K374" i="18"/>
  <c r="I374" i="18"/>
  <c r="J374" i="18" s="1"/>
  <c r="K375" i="18"/>
  <c r="I375" i="18"/>
  <c r="J375" i="18" s="1"/>
  <c r="K376" i="18"/>
  <c r="I376" i="18"/>
  <c r="J376" i="18" s="1"/>
  <c r="K377" i="18"/>
  <c r="I377" i="18"/>
  <c r="J377" i="18" s="1"/>
  <c r="K378" i="18"/>
  <c r="I378" i="18"/>
  <c r="J378" i="18" s="1"/>
  <c r="K379" i="18"/>
  <c r="I379" i="18"/>
  <c r="J379" i="18" s="1"/>
  <c r="K380" i="18"/>
  <c r="I380" i="18"/>
  <c r="J380" i="18" s="1"/>
  <c r="K381" i="18"/>
  <c r="I381" i="18"/>
  <c r="J381" i="18" s="1"/>
  <c r="K382" i="18"/>
  <c r="I382" i="18"/>
  <c r="J382" i="18" s="1"/>
  <c r="K383" i="18"/>
  <c r="I383" i="18"/>
  <c r="J383" i="18" s="1"/>
  <c r="K384" i="18"/>
  <c r="I384" i="18"/>
  <c r="J384" i="18" s="1"/>
  <c r="K385" i="18"/>
  <c r="I385" i="18"/>
  <c r="J385" i="18" s="1"/>
  <c r="K386" i="18"/>
  <c r="I386" i="18"/>
  <c r="J386" i="18" s="1"/>
  <c r="K387" i="18"/>
  <c r="I387" i="18"/>
  <c r="J387" i="18" s="1"/>
  <c r="K388" i="18"/>
  <c r="I388" i="18"/>
  <c r="J388" i="18" s="1"/>
  <c r="K389" i="18"/>
  <c r="I389" i="18"/>
  <c r="J389" i="18" s="1"/>
  <c r="K390" i="18"/>
  <c r="I390" i="18"/>
  <c r="J390" i="18" s="1"/>
  <c r="K391" i="18"/>
  <c r="I391" i="18"/>
  <c r="J391" i="18" s="1"/>
  <c r="K392" i="18"/>
  <c r="I392" i="18"/>
  <c r="J392" i="18" s="1"/>
  <c r="K393" i="18"/>
  <c r="I393" i="18"/>
  <c r="J393" i="18" s="1"/>
  <c r="K394" i="18"/>
  <c r="I394" i="18"/>
  <c r="J394" i="18" s="1"/>
  <c r="K395" i="18"/>
  <c r="I395" i="18"/>
  <c r="J395" i="18" s="1"/>
  <c r="K396" i="18"/>
  <c r="I396" i="18"/>
  <c r="J396" i="18" s="1"/>
  <c r="K397" i="18"/>
  <c r="I397" i="18"/>
  <c r="J397" i="18" s="1"/>
  <c r="K398" i="18"/>
  <c r="I398" i="18"/>
  <c r="J398" i="18" s="1"/>
  <c r="K399" i="18"/>
  <c r="I399" i="18"/>
  <c r="J399" i="18" s="1"/>
  <c r="K400" i="18"/>
  <c r="I400" i="18"/>
  <c r="J400" i="18" s="1"/>
  <c r="K401" i="18"/>
  <c r="I401" i="18"/>
  <c r="J401" i="18" s="1"/>
  <c r="K402" i="18"/>
  <c r="I402" i="18"/>
  <c r="J402" i="18" s="1"/>
  <c r="K403" i="18"/>
  <c r="I403" i="18"/>
  <c r="J403" i="18" s="1"/>
  <c r="K404" i="18"/>
  <c r="I404" i="18"/>
  <c r="J404" i="18" s="1"/>
  <c r="K405" i="18"/>
  <c r="I405" i="18"/>
  <c r="J405" i="18" s="1"/>
  <c r="K406" i="18"/>
  <c r="I406" i="18"/>
  <c r="J406" i="18" s="1"/>
  <c r="K407" i="18"/>
  <c r="I407" i="18"/>
  <c r="J407" i="18" s="1"/>
  <c r="K408" i="18"/>
  <c r="I408" i="18"/>
  <c r="J408" i="18" s="1"/>
  <c r="K409" i="18"/>
  <c r="I409" i="18"/>
  <c r="J409" i="18" s="1"/>
  <c r="K410" i="18"/>
  <c r="I410" i="18"/>
  <c r="J410" i="18" s="1"/>
  <c r="K411" i="18"/>
  <c r="I411" i="18"/>
  <c r="J411" i="18" s="1"/>
  <c r="K412" i="18"/>
  <c r="I412" i="18"/>
  <c r="J412" i="18" s="1"/>
  <c r="K413" i="18"/>
  <c r="I413" i="18"/>
  <c r="J413" i="18" s="1"/>
  <c r="K414" i="18"/>
  <c r="I414" i="18"/>
  <c r="J414" i="18" s="1"/>
  <c r="K415" i="18"/>
  <c r="I415" i="18"/>
  <c r="J415" i="18" s="1"/>
  <c r="K416" i="18"/>
  <c r="I416" i="18"/>
  <c r="J416" i="18" s="1"/>
  <c r="K417" i="18"/>
  <c r="I417" i="18"/>
  <c r="J417" i="18" s="1"/>
  <c r="K418" i="18"/>
  <c r="I418" i="18"/>
  <c r="J418" i="18" s="1"/>
  <c r="K419" i="18"/>
  <c r="I419" i="18"/>
  <c r="J419" i="18" s="1"/>
  <c r="K420" i="18"/>
  <c r="I420" i="18"/>
  <c r="J420" i="18" s="1"/>
  <c r="K421" i="18"/>
  <c r="I421" i="18"/>
  <c r="J421" i="18" s="1"/>
  <c r="K422" i="18"/>
  <c r="I422" i="18"/>
  <c r="J422" i="18" s="1"/>
  <c r="K423" i="18"/>
  <c r="I423" i="18"/>
  <c r="J423" i="18" s="1"/>
  <c r="K424" i="18"/>
  <c r="I424" i="18"/>
  <c r="J424" i="18" s="1"/>
  <c r="K425" i="18"/>
  <c r="I425" i="18"/>
  <c r="J425" i="18" s="1"/>
  <c r="K426" i="18"/>
  <c r="I426" i="18"/>
  <c r="J426" i="18" s="1"/>
  <c r="K427" i="18"/>
  <c r="I427" i="18"/>
  <c r="J427" i="18" s="1"/>
  <c r="K428" i="18"/>
  <c r="I428" i="18"/>
  <c r="J428" i="18" s="1"/>
  <c r="K429" i="18"/>
  <c r="I429" i="18"/>
  <c r="J429" i="18" s="1"/>
  <c r="K430" i="18"/>
  <c r="I430" i="18"/>
  <c r="J430" i="18" s="1"/>
  <c r="K431" i="18"/>
  <c r="I431" i="18"/>
  <c r="J431" i="18" s="1"/>
  <c r="K432" i="18"/>
  <c r="I432" i="18"/>
  <c r="J432" i="18" s="1"/>
  <c r="K433" i="18"/>
  <c r="I433" i="18"/>
  <c r="J433" i="18" s="1"/>
  <c r="K434" i="18"/>
  <c r="I434" i="18"/>
  <c r="J434" i="18" s="1"/>
  <c r="K435" i="18"/>
  <c r="I435" i="18"/>
  <c r="J435" i="18" s="1"/>
  <c r="K436" i="18"/>
  <c r="I436" i="18"/>
  <c r="J436" i="18" s="1"/>
  <c r="K437" i="18"/>
  <c r="I437" i="18"/>
  <c r="J437" i="18" s="1"/>
  <c r="K438" i="18"/>
  <c r="I438" i="18"/>
  <c r="J438" i="18" s="1"/>
  <c r="K439" i="18"/>
  <c r="I439" i="18"/>
  <c r="J439" i="18" s="1"/>
  <c r="K440" i="18"/>
  <c r="I440" i="18"/>
  <c r="J440" i="18" s="1"/>
  <c r="K441" i="18"/>
  <c r="I441" i="18"/>
  <c r="J441" i="18" s="1"/>
  <c r="K442" i="18"/>
  <c r="I442" i="18"/>
  <c r="J442" i="18" s="1"/>
  <c r="K443" i="18"/>
  <c r="I443" i="18"/>
  <c r="J443" i="18" s="1"/>
  <c r="K444" i="18"/>
  <c r="I444" i="18"/>
  <c r="J444" i="18" s="1"/>
  <c r="K445" i="18"/>
  <c r="I445" i="18"/>
  <c r="J445" i="18" s="1"/>
  <c r="K446" i="18"/>
  <c r="I446" i="18"/>
  <c r="J446" i="18" s="1"/>
  <c r="K447" i="18"/>
  <c r="I447" i="18"/>
  <c r="J447" i="18" s="1"/>
  <c r="K448" i="18"/>
  <c r="I448" i="18"/>
  <c r="J448" i="18" s="1"/>
  <c r="K449" i="18"/>
  <c r="I449" i="18"/>
  <c r="J449" i="18" s="1"/>
  <c r="K450" i="18"/>
  <c r="I450" i="18"/>
  <c r="J450" i="18" s="1"/>
  <c r="K451" i="18"/>
  <c r="I451" i="18"/>
  <c r="J451" i="18" s="1"/>
  <c r="K452" i="18"/>
  <c r="I452" i="18"/>
  <c r="J452" i="18" s="1"/>
  <c r="K453" i="18"/>
  <c r="I453" i="18"/>
  <c r="J453" i="18" s="1"/>
  <c r="K454" i="18"/>
  <c r="I454" i="18"/>
  <c r="J454" i="18" s="1"/>
  <c r="K455" i="18"/>
  <c r="I455" i="18"/>
  <c r="J455" i="18" s="1"/>
  <c r="K456" i="18"/>
  <c r="I456" i="18"/>
  <c r="J456" i="18" s="1"/>
  <c r="K457" i="18"/>
  <c r="I457" i="18"/>
  <c r="J457" i="18" s="1"/>
  <c r="K458" i="18"/>
  <c r="I458" i="18"/>
  <c r="J458" i="18" s="1"/>
  <c r="K459" i="18"/>
  <c r="I459" i="18"/>
  <c r="J459" i="18" s="1"/>
  <c r="K460" i="18"/>
  <c r="I460" i="18"/>
  <c r="J460" i="18" s="1"/>
  <c r="K461" i="18"/>
  <c r="I461" i="18"/>
  <c r="J461" i="18" s="1"/>
  <c r="K462" i="18"/>
  <c r="I462" i="18"/>
  <c r="J462" i="18" s="1"/>
  <c r="K463" i="18"/>
  <c r="I463" i="18"/>
  <c r="J463" i="18" s="1"/>
  <c r="K464" i="18"/>
  <c r="I464" i="18"/>
  <c r="J464" i="18" s="1"/>
  <c r="K465" i="18"/>
  <c r="I465" i="18"/>
  <c r="J465" i="18" s="1"/>
  <c r="K466" i="18"/>
  <c r="I466" i="18"/>
  <c r="J466" i="18" s="1"/>
  <c r="K467" i="18"/>
  <c r="I467" i="18"/>
  <c r="J467" i="18" s="1"/>
  <c r="K468" i="18"/>
  <c r="I468" i="18"/>
  <c r="J468" i="18" s="1"/>
  <c r="K469" i="18"/>
  <c r="I469" i="18"/>
  <c r="J469" i="18" s="1"/>
  <c r="K470" i="18"/>
  <c r="I470" i="18"/>
  <c r="J470" i="18" s="1"/>
  <c r="K471" i="18"/>
  <c r="I471" i="18"/>
  <c r="J471" i="18" s="1"/>
  <c r="K472" i="18"/>
  <c r="I472" i="18"/>
  <c r="J472" i="18" s="1"/>
  <c r="K473" i="18"/>
  <c r="I473" i="18"/>
  <c r="J473" i="18" s="1"/>
  <c r="K474" i="18"/>
  <c r="I474" i="18"/>
  <c r="J474" i="18" s="1"/>
  <c r="K475" i="18"/>
  <c r="I475" i="18"/>
  <c r="J475" i="18" s="1"/>
  <c r="K476" i="18"/>
  <c r="I476" i="18"/>
  <c r="J476" i="18" s="1"/>
  <c r="K477" i="18"/>
  <c r="I477" i="18"/>
  <c r="J477" i="18" s="1"/>
  <c r="K478" i="18"/>
  <c r="I478" i="18"/>
  <c r="J478" i="18" s="1"/>
  <c r="K479" i="18"/>
  <c r="I479" i="18"/>
  <c r="J479" i="18" s="1"/>
  <c r="K480" i="18"/>
  <c r="I480" i="18"/>
  <c r="J480" i="18" s="1"/>
  <c r="K481" i="18"/>
  <c r="I481" i="18"/>
  <c r="J481" i="18" s="1"/>
  <c r="K482" i="18"/>
  <c r="I482" i="18"/>
  <c r="J482" i="18" s="1"/>
  <c r="K483" i="18"/>
  <c r="I483" i="18"/>
  <c r="J483" i="18" s="1"/>
  <c r="K484" i="18"/>
  <c r="I484" i="18"/>
  <c r="J484" i="18" s="1"/>
  <c r="K485" i="18"/>
  <c r="I485" i="18"/>
  <c r="J485" i="18" s="1"/>
  <c r="K486" i="18"/>
  <c r="I486" i="18"/>
  <c r="J486" i="18" s="1"/>
  <c r="K487" i="18"/>
  <c r="I487" i="18"/>
  <c r="J487" i="18" s="1"/>
  <c r="K488" i="18"/>
  <c r="I488" i="18"/>
  <c r="J488" i="18" s="1"/>
  <c r="K489" i="18"/>
  <c r="I489" i="18"/>
  <c r="J489" i="18" s="1"/>
  <c r="K490" i="18"/>
  <c r="I490" i="18"/>
  <c r="J490" i="18" s="1"/>
  <c r="K491" i="18"/>
  <c r="I491" i="18"/>
  <c r="J491" i="18" s="1"/>
  <c r="K492" i="18"/>
  <c r="I492" i="18"/>
  <c r="J492" i="18" s="1"/>
  <c r="K493" i="18"/>
  <c r="I493" i="18"/>
  <c r="J493" i="18" s="1"/>
  <c r="K494" i="18"/>
  <c r="I494" i="18"/>
  <c r="J494" i="18" s="1"/>
  <c r="K495" i="18"/>
  <c r="I495" i="18"/>
  <c r="J495" i="18" s="1"/>
  <c r="K496" i="18"/>
  <c r="I496" i="18"/>
  <c r="J496" i="18" s="1"/>
  <c r="K497" i="18"/>
  <c r="I497" i="18"/>
  <c r="J497" i="18" s="1"/>
  <c r="K498" i="18"/>
  <c r="I498" i="18"/>
  <c r="J498" i="18" s="1"/>
  <c r="K499" i="18"/>
  <c r="I499" i="18"/>
  <c r="J499" i="18" s="1"/>
  <c r="K500" i="18"/>
  <c r="I500" i="18"/>
  <c r="J500" i="18"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37">
    <bk>
      <extLst>
        <ext uri="{3e2802c4-a4d2-4d8b-9148-e3be6c30e623}">
          <xlrd:rvb i="2"/>
        </ext>
      </extLst>
    </bk>
    <bk>
      <extLst>
        <ext uri="{3e2802c4-a4d2-4d8b-9148-e3be6c30e623}">
          <xlrd:rvb i="4"/>
        </ext>
      </extLst>
    </bk>
    <bk>
      <extLst>
        <ext uri="{3e2802c4-a4d2-4d8b-9148-e3be6c30e623}">
          <xlrd:rvb i="7"/>
        </ext>
      </extLst>
    </bk>
    <bk>
      <extLst>
        <ext uri="{3e2802c4-a4d2-4d8b-9148-e3be6c30e623}">
          <xlrd:rvb i="10"/>
        </ext>
      </extLst>
    </bk>
    <bk>
      <extLst>
        <ext uri="{3e2802c4-a4d2-4d8b-9148-e3be6c30e623}">
          <xlrd:rvb i="13"/>
        </ext>
      </extLst>
    </bk>
    <bk>
      <extLst>
        <ext uri="{3e2802c4-a4d2-4d8b-9148-e3be6c30e623}">
          <xlrd:rvb i="16"/>
        </ext>
      </extLst>
    </bk>
    <bk>
      <extLst>
        <ext uri="{3e2802c4-a4d2-4d8b-9148-e3be6c30e623}">
          <xlrd:rvb i="19"/>
        </ext>
      </extLst>
    </bk>
    <bk>
      <extLst>
        <ext uri="{3e2802c4-a4d2-4d8b-9148-e3be6c30e623}">
          <xlrd:rvb i="22"/>
        </ext>
      </extLst>
    </bk>
    <bk>
      <extLst>
        <ext uri="{3e2802c4-a4d2-4d8b-9148-e3be6c30e623}">
          <xlrd:rvb i="25"/>
        </ext>
      </extLst>
    </bk>
    <bk>
      <extLst>
        <ext uri="{3e2802c4-a4d2-4d8b-9148-e3be6c30e623}">
          <xlrd:rvb i="28"/>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3"/>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1"/>
        </ext>
      </extLst>
    </bk>
    <bk>
      <extLst>
        <ext uri="{3e2802c4-a4d2-4d8b-9148-e3be6c30e623}">
          <xlrd:rvb i="104"/>
        </ext>
      </extLst>
    </bk>
    <bk>
      <extLst>
        <ext uri="{3e2802c4-a4d2-4d8b-9148-e3be6c30e623}">
          <xlrd:rvb i="107"/>
        </ext>
      </extLst>
    </bk>
    <bk>
      <extLst>
        <ext uri="{3e2802c4-a4d2-4d8b-9148-e3be6c30e623}">
          <xlrd:rvb i="110"/>
        </ext>
      </extLst>
    </bk>
    <bk>
      <extLst>
        <ext uri="{3e2802c4-a4d2-4d8b-9148-e3be6c30e623}">
          <xlrd:rvb i="113"/>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3"/>
        </ext>
      </extLst>
    </bk>
    <bk>
      <extLst>
        <ext uri="{3e2802c4-a4d2-4d8b-9148-e3be6c30e623}">
          <xlrd:rvb i="146"/>
        </ext>
      </extLst>
    </bk>
    <bk>
      <extLst>
        <ext uri="{3e2802c4-a4d2-4d8b-9148-e3be6c30e623}">
          <xlrd:rvb i="149"/>
        </ext>
      </extLst>
    </bk>
    <bk>
      <extLst>
        <ext uri="{3e2802c4-a4d2-4d8b-9148-e3be6c30e623}">
          <xlrd:rvb i="152"/>
        </ext>
      </extLst>
    </bk>
    <bk>
      <extLst>
        <ext uri="{3e2802c4-a4d2-4d8b-9148-e3be6c30e623}">
          <xlrd:rvb i="159"/>
        </ext>
      </extLst>
    </bk>
    <bk>
      <extLst>
        <ext uri="{3e2802c4-a4d2-4d8b-9148-e3be6c30e623}">
          <xlrd:rvb i="162"/>
        </ext>
      </extLst>
    </bk>
    <bk>
      <extLst>
        <ext uri="{3e2802c4-a4d2-4d8b-9148-e3be6c30e623}">
          <xlrd:rvb i="164"/>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5"/>
        </ext>
      </extLst>
    </bk>
    <bk>
      <extLst>
        <ext uri="{3e2802c4-a4d2-4d8b-9148-e3be6c30e623}">
          <xlrd:rvb i="187"/>
        </ext>
      </extLst>
    </bk>
    <bk>
      <extLst>
        <ext uri="{3e2802c4-a4d2-4d8b-9148-e3be6c30e623}">
          <xlrd:rvb i="190"/>
        </ext>
      </extLst>
    </bk>
    <bk>
      <extLst>
        <ext uri="{3e2802c4-a4d2-4d8b-9148-e3be6c30e623}">
          <xlrd:rvb i="193"/>
        </ext>
      </extLst>
    </bk>
    <bk>
      <extLst>
        <ext uri="{3e2802c4-a4d2-4d8b-9148-e3be6c30e623}">
          <xlrd:rvb i="196"/>
        </ext>
      </extLst>
    </bk>
    <bk>
      <extLst>
        <ext uri="{3e2802c4-a4d2-4d8b-9148-e3be6c30e623}">
          <xlrd:rvb i="198"/>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09"/>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9"/>
        </ext>
      </extLst>
    </bk>
    <bk>
      <extLst>
        <ext uri="{3e2802c4-a4d2-4d8b-9148-e3be6c30e623}">
          <xlrd:rvb i="242"/>
        </ext>
      </extLst>
    </bk>
    <bk>
      <extLst>
        <ext uri="{3e2802c4-a4d2-4d8b-9148-e3be6c30e623}">
          <xlrd:rvb i="245"/>
        </ext>
      </extLst>
    </bk>
    <bk>
      <extLst>
        <ext uri="{3e2802c4-a4d2-4d8b-9148-e3be6c30e623}">
          <xlrd:rvb i="248"/>
        </ext>
      </extLst>
    </bk>
    <bk>
      <extLst>
        <ext uri="{3e2802c4-a4d2-4d8b-9148-e3be6c30e623}">
          <xlrd:rvb i="251"/>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3"/>
        </ext>
      </extLst>
    </bk>
    <bk>
      <extLst>
        <ext uri="{3e2802c4-a4d2-4d8b-9148-e3be6c30e623}">
          <xlrd:rvb i="266"/>
        </ext>
      </extLst>
    </bk>
    <bk>
      <extLst>
        <ext uri="{3e2802c4-a4d2-4d8b-9148-e3be6c30e623}">
          <xlrd:rvb i="269"/>
        </ext>
      </extLst>
    </bk>
    <bk>
      <extLst>
        <ext uri="{3e2802c4-a4d2-4d8b-9148-e3be6c30e623}">
          <xlrd:rvb i="272"/>
        </ext>
      </extLst>
    </bk>
    <bk>
      <extLst>
        <ext uri="{3e2802c4-a4d2-4d8b-9148-e3be6c30e623}">
          <xlrd:rvb i="275"/>
        </ext>
      </extLst>
    </bk>
    <bk>
      <extLst>
        <ext uri="{3e2802c4-a4d2-4d8b-9148-e3be6c30e623}">
          <xlrd:rvb i="278"/>
        </ext>
      </extLst>
    </bk>
    <bk>
      <extLst>
        <ext uri="{3e2802c4-a4d2-4d8b-9148-e3be6c30e623}">
          <xlrd:rvb i="281"/>
        </ext>
      </extLst>
    </bk>
    <bk>
      <extLst>
        <ext uri="{3e2802c4-a4d2-4d8b-9148-e3be6c30e623}">
          <xlrd:rvb i="284"/>
        </ext>
      </extLst>
    </bk>
    <bk>
      <extLst>
        <ext uri="{3e2802c4-a4d2-4d8b-9148-e3be6c30e623}">
          <xlrd:rvb i="287"/>
        </ext>
      </extLst>
    </bk>
    <bk>
      <extLst>
        <ext uri="{3e2802c4-a4d2-4d8b-9148-e3be6c30e623}">
          <xlrd:rvb i="290"/>
        </ext>
      </extLst>
    </bk>
    <bk>
      <extLst>
        <ext uri="{3e2802c4-a4d2-4d8b-9148-e3be6c30e623}">
          <xlrd:rvb i="293"/>
        </ext>
      </extLst>
    </bk>
    <bk>
      <extLst>
        <ext uri="{3e2802c4-a4d2-4d8b-9148-e3be6c30e623}">
          <xlrd:rvb i="296"/>
        </ext>
      </extLst>
    </bk>
    <bk>
      <extLst>
        <ext uri="{3e2802c4-a4d2-4d8b-9148-e3be6c30e623}">
          <xlrd:rvb i="299"/>
        </ext>
      </extLst>
    </bk>
    <bk>
      <extLst>
        <ext uri="{3e2802c4-a4d2-4d8b-9148-e3be6c30e623}">
          <xlrd:rvb i="302"/>
        </ext>
      </extLst>
    </bk>
    <bk>
      <extLst>
        <ext uri="{3e2802c4-a4d2-4d8b-9148-e3be6c30e623}">
          <xlrd:rvb i="305"/>
        </ext>
      </extLst>
    </bk>
    <bk>
      <extLst>
        <ext uri="{3e2802c4-a4d2-4d8b-9148-e3be6c30e623}">
          <xlrd:rvb i="308"/>
        </ext>
      </extLst>
    </bk>
    <bk>
      <extLst>
        <ext uri="{3e2802c4-a4d2-4d8b-9148-e3be6c30e623}">
          <xlrd:rvb i="311"/>
        </ext>
      </extLst>
    </bk>
    <bk>
      <extLst>
        <ext uri="{3e2802c4-a4d2-4d8b-9148-e3be6c30e623}">
          <xlrd:rvb i="314"/>
        </ext>
      </extLst>
    </bk>
    <bk>
      <extLst>
        <ext uri="{3e2802c4-a4d2-4d8b-9148-e3be6c30e623}">
          <xlrd:rvb i="317"/>
        </ext>
      </extLst>
    </bk>
    <bk>
      <extLst>
        <ext uri="{3e2802c4-a4d2-4d8b-9148-e3be6c30e623}">
          <xlrd:rvb i="320"/>
        </ext>
      </extLst>
    </bk>
    <bk>
      <extLst>
        <ext uri="{3e2802c4-a4d2-4d8b-9148-e3be6c30e623}">
          <xlrd:rvb i="323"/>
        </ext>
      </extLst>
    </bk>
    <bk>
      <extLst>
        <ext uri="{3e2802c4-a4d2-4d8b-9148-e3be6c30e623}">
          <xlrd:rvb i="326"/>
        </ext>
      </extLst>
    </bk>
    <bk>
      <extLst>
        <ext uri="{3e2802c4-a4d2-4d8b-9148-e3be6c30e623}">
          <xlrd:rvb i="329"/>
        </ext>
      </extLst>
    </bk>
    <bk>
      <extLst>
        <ext uri="{3e2802c4-a4d2-4d8b-9148-e3be6c30e623}">
          <xlrd:rvb i="331"/>
        </ext>
      </extLst>
    </bk>
    <bk>
      <extLst>
        <ext uri="{3e2802c4-a4d2-4d8b-9148-e3be6c30e623}">
          <xlrd:rvb i="334"/>
        </ext>
      </extLst>
    </bk>
    <bk>
      <extLst>
        <ext uri="{3e2802c4-a4d2-4d8b-9148-e3be6c30e623}">
          <xlrd:rvb i="337"/>
        </ext>
      </extLst>
    </bk>
    <bk>
      <extLst>
        <ext uri="{3e2802c4-a4d2-4d8b-9148-e3be6c30e623}">
          <xlrd:rvb i="340"/>
        </ext>
      </extLst>
    </bk>
    <bk>
      <extLst>
        <ext uri="{3e2802c4-a4d2-4d8b-9148-e3be6c30e623}">
          <xlrd:rvb i="343"/>
        </ext>
      </extLst>
    </bk>
    <bk>
      <extLst>
        <ext uri="{3e2802c4-a4d2-4d8b-9148-e3be6c30e623}">
          <xlrd:rvb i="346"/>
        </ext>
      </extLst>
    </bk>
    <bk>
      <extLst>
        <ext uri="{3e2802c4-a4d2-4d8b-9148-e3be6c30e623}">
          <xlrd:rvb i="349"/>
        </ext>
      </extLst>
    </bk>
    <bk>
      <extLst>
        <ext uri="{3e2802c4-a4d2-4d8b-9148-e3be6c30e623}">
          <xlrd:rvb i="352"/>
        </ext>
      </extLst>
    </bk>
    <bk>
      <extLst>
        <ext uri="{3e2802c4-a4d2-4d8b-9148-e3be6c30e623}">
          <xlrd:rvb i="355"/>
        </ext>
      </extLst>
    </bk>
    <bk>
      <extLst>
        <ext uri="{3e2802c4-a4d2-4d8b-9148-e3be6c30e623}">
          <xlrd:rvb i="357"/>
        </ext>
      </extLst>
    </bk>
    <bk>
      <extLst>
        <ext uri="{3e2802c4-a4d2-4d8b-9148-e3be6c30e623}">
          <xlrd:rvb i="360"/>
        </ext>
      </extLst>
    </bk>
    <bk>
      <extLst>
        <ext uri="{3e2802c4-a4d2-4d8b-9148-e3be6c30e623}">
          <xlrd:rvb i="363"/>
        </ext>
      </extLst>
    </bk>
    <bk>
      <extLst>
        <ext uri="{3e2802c4-a4d2-4d8b-9148-e3be6c30e623}">
          <xlrd:rvb i="366"/>
        </ext>
      </extLst>
    </bk>
    <bk>
      <extLst>
        <ext uri="{3e2802c4-a4d2-4d8b-9148-e3be6c30e623}">
          <xlrd:rvb i="369"/>
        </ext>
      </extLst>
    </bk>
    <bk>
      <extLst>
        <ext uri="{3e2802c4-a4d2-4d8b-9148-e3be6c30e623}">
          <xlrd:rvb i="371"/>
        </ext>
      </extLst>
    </bk>
    <bk>
      <extLst>
        <ext uri="{3e2802c4-a4d2-4d8b-9148-e3be6c30e623}">
          <xlrd:rvb i="374"/>
        </ext>
      </extLst>
    </bk>
    <bk>
      <extLst>
        <ext uri="{3e2802c4-a4d2-4d8b-9148-e3be6c30e623}">
          <xlrd:rvb i="377"/>
        </ext>
      </extLst>
    </bk>
    <bk>
      <extLst>
        <ext uri="{3e2802c4-a4d2-4d8b-9148-e3be6c30e623}">
          <xlrd:rvb i="380"/>
        </ext>
      </extLst>
    </bk>
    <bk>
      <extLst>
        <ext uri="{3e2802c4-a4d2-4d8b-9148-e3be6c30e623}">
          <xlrd:rvb i="383"/>
        </ext>
      </extLst>
    </bk>
    <bk>
      <extLst>
        <ext uri="{3e2802c4-a4d2-4d8b-9148-e3be6c30e623}">
          <xlrd:rvb i="386"/>
        </ext>
      </extLst>
    </bk>
    <bk>
      <extLst>
        <ext uri="{3e2802c4-a4d2-4d8b-9148-e3be6c30e623}">
          <xlrd:rvb i="389"/>
        </ext>
      </extLst>
    </bk>
    <bk>
      <extLst>
        <ext uri="{3e2802c4-a4d2-4d8b-9148-e3be6c30e623}">
          <xlrd:rvb i="392"/>
        </ext>
      </extLst>
    </bk>
    <bk>
      <extLst>
        <ext uri="{3e2802c4-a4d2-4d8b-9148-e3be6c30e623}">
          <xlrd:rvb i="395"/>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10"/>
        </ext>
      </extLst>
    </bk>
    <bk>
      <extLst>
        <ext uri="{3e2802c4-a4d2-4d8b-9148-e3be6c30e623}">
          <xlrd:rvb i="413"/>
        </ext>
      </extLst>
    </bk>
    <bk>
      <extLst>
        <ext uri="{3e2802c4-a4d2-4d8b-9148-e3be6c30e623}">
          <xlrd:rvb i="416"/>
        </ext>
      </extLst>
    </bk>
    <bk>
      <extLst>
        <ext uri="{3e2802c4-a4d2-4d8b-9148-e3be6c30e623}">
          <xlrd:rvb i="419"/>
        </ext>
      </extLst>
    </bk>
    <bk>
      <extLst>
        <ext uri="{3e2802c4-a4d2-4d8b-9148-e3be6c30e623}">
          <xlrd:rvb i="422"/>
        </ext>
      </extLst>
    </bk>
    <bk>
      <extLst>
        <ext uri="{3e2802c4-a4d2-4d8b-9148-e3be6c30e623}">
          <xlrd:rvb i="425"/>
        </ext>
      </extLst>
    </bk>
    <bk>
      <extLst>
        <ext uri="{3e2802c4-a4d2-4d8b-9148-e3be6c30e623}">
          <xlrd:rvb i="428"/>
        </ext>
      </extLst>
    </bk>
    <bk>
      <extLst>
        <ext uri="{3e2802c4-a4d2-4d8b-9148-e3be6c30e623}">
          <xlrd:rvb i="431"/>
        </ext>
      </extLst>
    </bk>
    <bk>
      <extLst>
        <ext uri="{3e2802c4-a4d2-4d8b-9148-e3be6c30e623}">
          <xlrd:rvb i="434"/>
        </ext>
      </extLst>
    </bk>
    <bk>
      <extLst>
        <ext uri="{3e2802c4-a4d2-4d8b-9148-e3be6c30e623}">
          <xlrd:rvb i="437"/>
        </ext>
      </extLst>
    </bk>
    <bk>
      <extLst>
        <ext uri="{3e2802c4-a4d2-4d8b-9148-e3be6c30e623}">
          <xlrd:rvb i="440"/>
        </ext>
      </extLst>
    </bk>
    <bk>
      <extLst>
        <ext uri="{3e2802c4-a4d2-4d8b-9148-e3be6c30e623}">
          <xlrd:rvb i="443"/>
        </ext>
      </extLst>
    </bk>
    <bk>
      <extLst>
        <ext uri="{3e2802c4-a4d2-4d8b-9148-e3be6c30e623}">
          <xlrd:rvb i="446"/>
        </ext>
      </extLst>
    </bk>
    <bk>
      <extLst>
        <ext uri="{3e2802c4-a4d2-4d8b-9148-e3be6c30e623}">
          <xlrd:rvb i="449"/>
        </ext>
      </extLst>
    </bk>
    <bk>
      <extLst>
        <ext uri="{3e2802c4-a4d2-4d8b-9148-e3be6c30e623}">
          <xlrd:rvb i="452"/>
        </ext>
      </extLst>
    </bk>
    <bk>
      <extLst>
        <ext uri="{3e2802c4-a4d2-4d8b-9148-e3be6c30e623}">
          <xlrd:rvb i="455"/>
        </ext>
      </extLst>
    </bk>
    <bk>
      <extLst>
        <ext uri="{3e2802c4-a4d2-4d8b-9148-e3be6c30e623}">
          <xlrd:rvb i="458"/>
        </ext>
      </extLst>
    </bk>
    <bk>
      <extLst>
        <ext uri="{3e2802c4-a4d2-4d8b-9148-e3be6c30e623}">
          <xlrd:rvb i="461"/>
        </ext>
      </extLst>
    </bk>
    <bk>
      <extLst>
        <ext uri="{3e2802c4-a4d2-4d8b-9148-e3be6c30e623}">
          <xlrd:rvb i="464"/>
        </ext>
      </extLst>
    </bk>
    <bk>
      <extLst>
        <ext uri="{3e2802c4-a4d2-4d8b-9148-e3be6c30e623}">
          <xlrd:rvb i="467"/>
        </ext>
      </extLst>
    </bk>
    <bk>
      <extLst>
        <ext uri="{3e2802c4-a4d2-4d8b-9148-e3be6c30e623}">
          <xlrd:rvb i="470"/>
        </ext>
      </extLst>
    </bk>
    <bk>
      <extLst>
        <ext uri="{3e2802c4-a4d2-4d8b-9148-e3be6c30e623}">
          <xlrd:rvb i="473"/>
        </ext>
      </extLst>
    </bk>
    <bk>
      <extLst>
        <ext uri="{3e2802c4-a4d2-4d8b-9148-e3be6c30e623}">
          <xlrd:rvb i="476"/>
        </ext>
      </extLst>
    </bk>
    <bk>
      <extLst>
        <ext uri="{3e2802c4-a4d2-4d8b-9148-e3be6c30e623}">
          <xlrd:rvb i="479"/>
        </ext>
      </extLst>
    </bk>
    <bk>
      <extLst>
        <ext uri="{3e2802c4-a4d2-4d8b-9148-e3be6c30e623}">
          <xlrd:rvb i="482"/>
        </ext>
      </extLst>
    </bk>
    <bk>
      <extLst>
        <ext uri="{3e2802c4-a4d2-4d8b-9148-e3be6c30e623}">
          <xlrd:rvb i="485"/>
        </ext>
      </extLst>
    </bk>
    <bk>
      <extLst>
        <ext uri="{3e2802c4-a4d2-4d8b-9148-e3be6c30e623}">
          <xlrd:rvb i="488"/>
        </ext>
      </extLst>
    </bk>
    <bk>
      <extLst>
        <ext uri="{3e2802c4-a4d2-4d8b-9148-e3be6c30e623}">
          <xlrd:rvb i="491"/>
        </ext>
      </extLst>
    </bk>
    <bk>
      <extLst>
        <ext uri="{3e2802c4-a4d2-4d8b-9148-e3be6c30e623}">
          <xlrd:rvb i="494"/>
        </ext>
      </extLst>
    </bk>
    <bk>
      <extLst>
        <ext uri="{3e2802c4-a4d2-4d8b-9148-e3be6c30e623}">
          <xlrd:rvb i="497"/>
        </ext>
      </extLst>
    </bk>
    <bk>
      <extLst>
        <ext uri="{3e2802c4-a4d2-4d8b-9148-e3be6c30e623}">
          <xlrd:rvb i="503"/>
        </ext>
      </extLst>
    </bk>
    <bk>
      <extLst>
        <ext uri="{3e2802c4-a4d2-4d8b-9148-e3be6c30e623}">
          <xlrd:rvb i="506"/>
        </ext>
      </extLst>
    </bk>
    <bk>
      <extLst>
        <ext uri="{3e2802c4-a4d2-4d8b-9148-e3be6c30e623}">
          <xlrd:rvb i="509"/>
        </ext>
      </extLst>
    </bk>
    <bk>
      <extLst>
        <ext uri="{3e2802c4-a4d2-4d8b-9148-e3be6c30e623}">
          <xlrd:rvb i="512"/>
        </ext>
      </extLst>
    </bk>
    <bk>
      <extLst>
        <ext uri="{3e2802c4-a4d2-4d8b-9148-e3be6c30e623}">
          <xlrd:rvb i="515"/>
        </ext>
      </extLst>
    </bk>
    <bk>
      <extLst>
        <ext uri="{3e2802c4-a4d2-4d8b-9148-e3be6c30e623}">
          <xlrd:rvb i="518"/>
        </ext>
      </extLst>
    </bk>
    <bk>
      <extLst>
        <ext uri="{3e2802c4-a4d2-4d8b-9148-e3be6c30e623}">
          <xlrd:rvb i="521"/>
        </ext>
      </extLst>
    </bk>
    <bk>
      <extLst>
        <ext uri="{3e2802c4-a4d2-4d8b-9148-e3be6c30e623}">
          <xlrd:rvb i="524"/>
        </ext>
      </extLst>
    </bk>
    <bk>
      <extLst>
        <ext uri="{3e2802c4-a4d2-4d8b-9148-e3be6c30e623}">
          <xlrd:rvb i="527"/>
        </ext>
      </extLst>
    </bk>
    <bk>
      <extLst>
        <ext uri="{3e2802c4-a4d2-4d8b-9148-e3be6c30e623}">
          <xlrd:rvb i="530"/>
        </ext>
      </extLst>
    </bk>
    <bk>
      <extLst>
        <ext uri="{3e2802c4-a4d2-4d8b-9148-e3be6c30e623}">
          <xlrd:rvb i="533"/>
        </ext>
      </extLst>
    </bk>
    <bk>
      <extLst>
        <ext uri="{3e2802c4-a4d2-4d8b-9148-e3be6c30e623}">
          <xlrd:rvb i="536"/>
        </ext>
      </extLst>
    </bk>
    <bk>
      <extLst>
        <ext uri="{3e2802c4-a4d2-4d8b-9148-e3be6c30e623}">
          <xlrd:rvb i="539"/>
        </ext>
      </extLst>
    </bk>
    <bk>
      <extLst>
        <ext uri="{3e2802c4-a4d2-4d8b-9148-e3be6c30e623}">
          <xlrd:rvb i="541"/>
        </ext>
      </extLst>
    </bk>
    <bk>
      <extLst>
        <ext uri="{3e2802c4-a4d2-4d8b-9148-e3be6c30e623}">
          <xlrd:rvb i="544"/>
        </ext>
      </extLst>
    </bk>
    <bk>
      <extLst>
        <ext uri="{3e2802c4-a4d2-4d8b-9148-e3be6c30e623}">
          <xlrd:rvb i="547"/>
        </ext>
      </extLst>
    </bk>
    <bk>
      <extLst>
        <ext uri="{3e2802c4-a4d2-4d8b-9148-e3be6c30e623}">
          <xlrd:rvb i="550"/>
        </ext>
      </extLst>
    </bk>
    <bk>
      <extLst>
        <ext uri="{3e2802c4-a4d2-4d8b-9148-e3be6c30e623}">
          <xlrd:rvb i="553"/>
        </ext>
      </extLst>
    </bk>
    <bk>
      <extLst>
        <ext uri="{3e2802c4-a4d2-4d8b-9148-e3be6c30e623}">
          <xlrd:rvb i="556"/>
        </ext>
      </extLst>
    </bk>
    <bk>
      <extLst>
        <ext uri="{3e2802c4-a4d2-4d8b-9148-e3be6c30e623}">
          <xlrd:rvb i="558"/>
        </ext>
      </extLst>
    </bk>
    <bk>
      <extLst>
        <ext uri="{3e2802c4-a4d2-4d8b-9148-e3be6c30e623}">
          <xlrd:rvb i="561"/>
        </ext>
      </extLst>
    </bk>
    <bk>
      <extLst>
        <ext uri="{3e2802c4-a4d2-4d8b-9148-e3be6c30e623}">
          <xlrd:rvb i="564"/>
        </ext>
      </extLst>
    </bk>
    <bk>
      <extLst>
        <ext uri="{3e2802c4-a4d2-4d8b-9148-e3be6c30e623}">
          <xlrd:rvb i="567"/>
        </ext>
      </extLst>
    </bk>
    <bk>
      <extLst>
        <ext uri="{3e2802c4-a4d2-4d8b-9148-e3be6c30e623}">
          <xlrd:rvb i="568"/>
        </ext>
      </extLst>
    </bk>
    <bk>
      <extLst>
        <ext uri="{3e2802c4-a4d2-4d8b-9148-e3be6c30e623}">
          <xlrd:rvb i="571"/>
        </ext>
      </extLst>
    </bk>
    <bk>
      <extLst>
        <ext uri="{3e2802c4-a4d2-4d8b-9148-e3be6c30e623}">
          <xlrd:rvb i="574"/>
        </ext>
      </extLst>
    </bk>
    <bk>
      <extLst>
        <ext uri="{3e2802c4-a4d2-4d8b-9148-e3be6c30e623}">
          <xlrd:rvb i="577"/>
        </ext>
      </extLst>
    </bk>
    <bk>
      <extLst>
        <ext uri="{3e2802c4-a4d2-4d8b-9148-e3be6c30e623}">
          <xlrd:rvb i="579"/>
        </ext>
      </extLst>
    </bk>
    <bk>
      <extLst>
        <ext uri="{3e2802c4-a4d2-4d8b-9148-e3be6c30e623}">
          <xlrd:rvb i="582"/>
        </ext>
      </extLst>
    </bk>
    <bk>
      <extLst>
        <ext uri="{3e2802c4-a4d2-4d8b-9148-e3be6c30e623}">
          <xlrd:rvb i="585"/>
        </ext>
      </extLst>
    </bk>
    <bk>
      <extLst>
        <ext uri="{3e2802c4-a4d2-4d8b-9148-e3be6c30e623}">
          <xlrd:rvb i="587"/>
        </ext>
      </extLst>
    </bk>
    <bk>
      <extLst>
        <ext uri="{3e2802c4-a4d2-4d8b-9148-e3be6c30e623}">
          <xlrd:rvb i="590"/>
        </ext>
      </extLst>
    </bk>
    <bk>
      <extLst>
        <ext uri="{3e2802c4-a4d2-4d8b-9148-e3be6c30e623}">
          <xlrd:rvb i="593"/>
        </ext>
      </extLst>
    </bk>
    <bk>
      <extLst>
        <ext uri="{3e2802c4-a4d2-4d8b-9148-e3be6c30e623}">
          <xlrd:rvb i="596"/>
        </ext>
      </extLst>
    </bk>
    <bk>
      <extLst>
        <ext uri="{3e2802c4-a4d2-4d8b-9148-e3be6c30e623}">
          <xlrd:rvb i="599"/>
        </ext>
      </extLst>
    </bk>
    <bk>
      <extLst>
        <ext uri="{3e2802c4-a4d2-4d8b-9148-e3be6c30e623}">
          <xlrd:rvb i="602"/>
        </ext>
      </extLst>
    </bk>
    <bk>
      <extLst>
        <ext uri="{3e2802c4-a4d2-4d8b-9148-e3be6c30e623}">
          <xlrd:rvb i="605"/>
        </ext>
      </extLst>
    </bk>
    <bk>
      <extLst>
        <ext uri="{3e2802c4-a4d2-4d8b-9148-e3be6c30e623}">
          <xlrd:rvb i="607"/>
        </ext>
      </extLst>
    </bk>
    <bk>
      <extLst>
        <ext uri="{3e2802c4-a4d2-4d8b-9148-e3be6c30e623}">
          <xlrd:rvb i="610"/>
        </ext>
      </extLst>
    </bk>
    <bk>
      <extLst>
        <ext uri="{3e2802c4-a4d2-4d8b-9148-e3be6c30e623}">
          <xlrd:rvb i="613"/>
        </ext>
      </extLst>
    </bk>
    <bk>
      <extLst>
        <ext uri="{3e2802c4-a4d2-4d8b-9148-e3be6c30e623}">
          <xlrd:rvb i="616"/>
        </ext>
      </extLst>
    </bk>
    <bk>
      <extLst>
        <ext uri="{3e2802c4-a4d2-4d8b-9148-e3be6c30e623}">
          <xlrd:rvb i="618"/>
        </ext>
      </extLst>
    </bk>
    <bk>
      <extLst>
        <ext uri="{3e2802c4-a4d2-4d8b-9148-e3be6c30e623}">
          <xlrd:rvb i="620"/>
        </ext>
      </extLst>
    </bk>
    <bk>
      <extLst>
        <ext uri="{3e2802c4-a4d2-4d8b-9148-e3be6c30e623}">
          <xlrd:rvb i="623"/>
        </ext>
      </extLst>
    </bk>
    <bk>
      <extLst>
        <ext uri="{3e2802c4-a4d2-4d8b-9148-e3be6c30e623}">
          <xlrd:rvb i="625"/>
        </ext>
      </extLst>
    </bk>
    <bk>
      <extLst>
        <ext uri="{3e2802c4-a4d2-4d8b-9148-e3be6c30e623}">
          <xlrd:rvb i="628"/>
        </ext>
      </extLst>
    </bk>
    <bk>
      <extLst>
        <ext uri="{3e2802c4-a4d2-4d8b-9148-e3be6c30e623}">
          <xlrd:rvb i="631"/>
        </ext>
      </extLst>
    </bk>
    <bk>
      <extLst>
        <ext uri="{3e2802c4-a4d2-4d8b-9148-e3be6c30e623}">
          <xlrd:rvb i="634"/>
        </ext>
      </extLst>
    </bk>
    <bk>
      <extLst>
        <ext uri="{3e2802c4-a4d2-4d8b-9148-e3be6c30e623}">
          <xlrd:rvb i="637"/>
        </ext>
      </extLst>
    </bk>
    <bk>
      <extLst>
        <ext uri="{3e2802c4-a4d2-4d8b-9148-e3be6c30e623}">
          <xlrd:rvb i="640"/>
        </ext>
      </extLst>
    </bk>
    <bk>
      <extLst>
        <ext uri="{3e2802c4-a4d2-4d8b-9148-e3be6c30e623}">
          <xlrd:rvb i="643"/>
        </ext>
      </extLst>
    </bk>
    <bk>
      <extLst>
        <ext uri="{3e2802c4-a4d2-4d8b-9148-e3be6c30e623}">
          <xlrd:rvb i="646"/>
        </ext>
      </extLst>
    </bk>
    <bk>
      <extLst>
        <ext uri="{3e2802c4-a4d2-4d8b-9148-e3be6c30e623}">
          <xlrd:rvb i="649"/>
        </ext>
      </extLst>
    </bk>
    <bk>
      <extLst>
        <ext uri="{3e2802c4-a4d2-4d8b-9148-e3be6c30e623}">
          <xlrd:rvb i="652"/>
        </ext>
      </extLst>
    </bk>
    <bk>
      <extLst>
        <ext uri="{3e2802c4-a4d2-4d8b-9148-e3be6c30e623}">
          <xlrd:rvb i="655"/>
        </ext>
      </extLst>
    </bk>
    <bk>
      <extLst>
        <ext uri="{3e2802c4-a4d2-4d8b-9148-e3be6c30e623}">
          <xlrd:rvb i="658"/>
        </ext>
      </extLst>
    </bk>
    <bk>
      <extLst>
        <ext uri="{3e2802c4-a4d2-4d8b-9148-e3be6c30e623}">
          <xlrd:rvb i="661"/>
        </ext>
      </extLst>
    </bk>
    <bk>
      <extLst>
        <ext uri="{3e2802c4-a4d2-4d8b-9148-e3be6c30e623}">
          <xlrd:rvb i="664"/>
        </ext>
      </extLst>
    </bk>
    <bk>
      <extLst>
        <ext uri="{3e2802c4-a4d2-4d8b-9148-e3be6c30e623}">
          <xlrd:rvb i="667"/>
        </ext>
      </extLst>
    </bk>
    <bk>
      <extLst>
        <ext uri="{3e2802c4-a4d2-4d8b-9148-e3be6c30e623}">
          <xlrd:rvb i="670"/>
        </ext>
      </extLst>
    </bk>
    <bk>
      <extLst>
        <ext uri="{3e2802c4-a4d2-4d8b-9148-e3be6c30e623}">
          <xlrd:rvb i="673"/>
        </ext>
      </extLst>
    </bk>
    <bk>
      <extLst>
        <ext uri="{3e2802c4-a4d2-4d8b-9148-e3be6c30e623}">
          <xlrd:rvb i="675"/>
        </ext>
      </extLst>
    </bk>
    <bk>
      <extLst>
        <ext uri="{3e2802c4-a4d2-4d8b-9148-e3be6c30e623}">
          <xlrd:rvb i="677"/>
        </ext>
      </extLst>
    </bk>
    <bk>
      <extLst>
        <ext uri="{3e2802c4-a4d2-4d8b-9148-e3be6c30e623}">
          <xlrd:rvb i="680"/>
        </ext>
      </extLst>
    </bk>
    <bk>
      <extLst>
        <ext uri="{3e2802c4-a4d2-4d8b-9148-e3be6c30e623}">
          <xlrd:rvb i="683"/>
        </ext>
      </extLst>
    </bk>
    <bk>
      <extLst>
        <ext uri="{3e2802c4-a4d2-4d8b-9148-e3be6c30e623}">
          <xlrd:rvb i="686"/>
        </ext>
      </extLst>
    </bk>
    <bk>
      <extLst>
        <ext uri="{3e2802c4-a4d2-4d8b-9148-e3be6c30e623}">
          <xlrd:rvb i="689"/>
        </ext>
      </extLst>
    </bk>
    <bk>
      <extLst>
        <ext uri="{3e2802c4-a4d2-4d8b-9148-e3be6c30e623}">
          <xlrd:rvb i="692"/>
        </ext>
      </extLst>
    </bk>
    <bk>
      <extLst>
        <ext uri="{3e2802c4-a4d2-4d8b-9148-e3be6c30e623}">
          <xlrd:rvb i="695"/>
        </ext>
      </extLst>
    </bk>
    <bk>
      <extLst>
        <ext uri="{3e2802c4-a4d2-4d8b-9148-e3be6c30e623}">
          <xlrd:rvb i="698"/>
        </ext>
      </extLst>
    </bk>
    <bk>
      <extLst>
        <ext uri="{3e2802c4-a4d2-4d8b-9148-e3be6c30e623}">
          <xlrd:rvb i="701"/>
        </ext>
      </extLst>
    </bk>
    <bk>
      <extLst>
        <ext uri="{3e2802c4-a4d2-4d8b-9148-e3be6c30e623}">
          <xlrd:rvb i="704"/>
        </ext>
      </extLst>
    </bk>
    <bk>
      <extLst>
        <ext uri="{3e2802c4-a4d2-4d8b-9148-e3be6c30e623}">
          <xlrd:rvb i="706"/>
        </ext>
      </extLst>
    </bk>
    <bk>
      <extLst>
        <ext uri="{3e2802c4-a4d2-4d8b-9148-e3be6c30e623}">
          <xlrd:rvb i="708"/>
        </ext>
      </extLst>
    </bk>
    <bk>
      <extLst>
        <ext uri="{3e2802c4-a4d2-4d8b-9148-e3be6c30e623}">
          <xlrd:rvb i="711"/>
        </ext>
      </extLst>
    </bk>
    <bk>
      <extLst>
        <ext uri="{3e2802c4-a4d2-4d8b-9148-e3be6c30e623}">
          <xlrd:rvb i="714"/>
        </ext>
      </extLst>
    </bk>
    <bk>
      <extLst>
        <ext uri="{3e2802c4-a4d2-4d8b-9148-e3be6c30e623}">
          <xlrd:rvb i="717"/>
        </ext>
      </extLst>
    </bk>
    <bk>
      <extLst>
        <ext uri="{3e2802c4-a4d2-4d8b-9148-e3be6c30e623}">
          <xlrd:rvb i="719"/>
        </ext>
      </extLst>
    </bk>
    <bk>
      <extLst>
        <ext uri="{3e2802c4-a4d2-4d8b-9148-e3be6c30e623}">
          <xlrd:rvb i="722"/>
        </ext>
      </extLst>
    </bk>
    <bk>
      <extLst>
        <ext uri="{3e2802c4-a4d2-4d8b-9148-e3be6c30e623}">
          <xlrd:rvb i="725"/>
        </ext>
      </extLst>
    </bk>
    <bk>
      <extLst>
        <ext uri="{3e2802c4-a4d2-4d8b-9148-e3be6c30e623}">
          <xlrd:rvb i="727"/>
        </ext>
      </extLst>
    </bk>
    <bk>
      <extLst>
        <ext uri="{3e2802c4-a4d2-4d8b-9148-e3be6c30e623}">
          <xlrd:rvb i="730"/>
        </ext>
      </extLst>
    </bk>
    <bk>
      <extLst>
        <ext uri="{3e2802c4-a4d2-4d8b-9148-e3be6c30e623}">
          <xlrd:rvb i="733"/>
        </ext>
      </extLst>
    </bk>
    <bk>
      <extLst>
        <ext uri="{3e2802c4-a4d2-4d8b-9148-e3be6c30e623}">
          <xlrd:rvb i="736"/>
        </ext>
      </extLst>
    </bk>
    <bk>
      <extLst>
        <ext uri="{3e2802c4-a4d2-4d8b-9148-e3be6c30e623}">
          <xlrd:rvb i="739"/>
        </ext>
      </extLst>
    </bk>
    <bk>
      <extLst>
        <ext uri="{3e2802c4-a4d2-4d8b-9148-e3be6c30e623}">
          <xlrd:rvb i="742"/>
        </ext>
      </extLst>
    </bk>
    <bk>
      <extLst>
        <ext uri="{3e2802c4-a4d2-4d8b-9148-e3be6c30e623}">
          <xlrd:rvb i="745"/>
        </ext>
      </extLst>
    </bk>
    <bk>
      <extLst>
        <ext uri="{3e2802c4-a4d2-4d8b-9148-e3be6c30e623}">
          <xlrd:rvb i="748"/>
        </ext>
      </extLst>
    </bk>
    <bk>
      <extLst>
        <ext uri="{3e2802c4-a4d2-4d8b-9148-e3be6c30e623}">
          <xlrd:rvb i="751"/>
        </ext>
      </extLst>
    </bk>
    <bk>
      <extLst>
        <ext uri="{3e2802c4-a4d2-4d8b-9148-e3be6c30e623}">
          <xlrd:rvb i="754"/>
        </ext>
      </extLst>
    </bk>
    <bk>
      <extLst>
        <ext uri="{3e2802c4-a4d2-4d8b-9148-e3be6c30e623}">
          <xlrd:rvb i="757"/>
        </ext>
      </extLst>
    </bk>
    <bk>
      <extLst>
        <ext uri="{3e2802c4-a4d2-4d8b-9148-e3be6c30e623}">
          <xlrd:rvb i="760"/>
        </ext>
      </extLst>
    </bk>
    <bk>
      <extLst>
        <ext uri="{3e2802c4-a4d2-4d8b-9148-e3be6c30e623}">
          <xlrd:rvb i="763"/>
        </ext>
      </extLst>
    </bk>
    <bk>
      <extLst>
        <ext uri="{3e2802c4-a4d2-4d8b-9148-e3be6c30e623}">
          <xlrd:rvb i="766"/>
        </ext>
      </extLst>
    </bk>
    <bk>
      <extLst>
        <ext uri="{3e2802c4-a4d2-4d8b-9148-e3be6c30e623}">
          <xlrd:rvb i="769"/>
        </ext>
      </extLst>
    </bk>
    <bk>
      <extLst>
        <ext uri="{3e2802c4-a4d2-4d8b-9148-e3be6c30e623}">
          <xlrd:rvb i="772"/>
        </ext>
      </extLst>
    </bk>
    <bk>
      <extLst>
        <ext uri="{3e2802c4-a4d2-4d8b-9148-e3be6c30e623}">
          <xlrd:rvb i="775"/>
        </ext>
      </extLst>
    </bk>
    <bk>
      <extLst>
        <ext uri="{3e2802c4-a4d2-4d8b-9148-e3be6c30e623}">
          <xlrd:rvb i="778"/>
        </ext>
      </extLst>
    </bk>
    <bk>
      <extLst>
        <ext uri="{3e2802c4-a4d2-4d8b-9148-e3be6c30e623}">
          <xlrd:rvb i="781"/>
        </ext>
      </extLst>
    </bk>
    <bk>
      <extLst>
        <ext uri="{3e2802c4-a4d2-4d8b-9148-e3be6c30e623}">
          <xlrd:rvb i="784"/>
        </ext>
      </extLst>
    </bk>
    <bk>
      <extLst>
        <ext uri="{3e2802c4-a4d2-4d8b-9148-e3be6c30e623}">
          <xlrd:rvb i="787"/>
        </ext>
      </extLst>
    </bk>
    <bk>
      <extLst>
        <ext uri="{3e2802c4-a4d2-4d8b-9148-e3be6c30e623}">
          <xlrd:rvb i="790"/>
        </ext>
      </extLst>
    </bk>
    <bk>
      <extLst>
        <ext uri="{3e2802c4-a4d2-4d8b-9148-e3be6c30e623}">
          <xlrd:rvb i="793"/>
        </ext>
      </extLst>
    </bk>
    <bk>
      <extLst>
        <ext uri="{3e2802c4-a4d2-4d8b-9148-e3be6c30e623}">
          <xlrd:rvb i="796"/>
        </ext>
      </extLst>
    </bk>
    <bk>
      <extLst>
        <ext uri="{3e2802c4-a4d2-4d8b-9148-e3be6c30e623}">
          <xlrd:rvb i="799"/>
        </ext>
      </extLst>
    </bk>
    <bk>
      <extLst>
        <ext uri="{3e2802c4-a4d2-4d8b-9148-e3be6c30e623}">
          <xlrd:rvb i="801"/>
        </ext>
      </extLst>
    </bk>
    <bk>
      <extLst>
        <ext uri="{3e2802c4-a4d2-4d8b-9148-e3be6c30e623}">
          <xlrd:rvb i="804"/>
        </ext>
      </extLst>
    </bk>
    <bk>
      <extLst>
        <ext uri="{3e2802c4-a4d2-4d8b-9148-e3be6c30e623}">
          <xlrd:rvb i="807"/>
        </ext>
      </extLst>
    </bk>
    <bk>
      <extLst>
        <ext uri="{3e2802c4-a4d2-4d8b-9148-e3be6c30e623}">
          <xlrd:rvb i="810"/>
        </ext>
      </extLst>
    </bk>
    <bk>
      <extLst>
        <ext uri="{3e2802c4-a4d2-4d8b-9148-e3be6c30e623}">
          <xlrd:rvb i="813"/>
        </ext>
      </extLst>
    </bk>
    <bk>
      <extLst>
        <ext uri="{3e2802c4-a4d2-4d8b-9148-e3be6c30e623}">
          <xlrd:rvb i="816"/>
        </ext>
      </extLst>
    </bk>
    <bk>
      <extLst>
        <ext uri="{3e2802c4-a4d2-4d8b-9148-e3be6c30e623}">
          <xlrd:rvb i="819"/>
        </ext>
      </extLst>
    </bk>
    <bk>
      <extLst>
        <ext uri="{3e2802c4-a4d2-4d8b-9148-e3be6c30e623}">
          <xlrd:rvb i="822"/>
        </ext>
      </extLst>
    </bk>
    <bk>
      <extLst>
        <ext uri="{3e2802c4-a4d2-4d8b-9148-e3be6c30e623}">
          <xlrd:rvb i="824"/>
        </ext>
      </extLst>
    </bk>
    <bk>
      <extLst>
        <ext uri="{3e2802c4-a4d2-4d8b-9148-e3be6c30e623}">
          <xlrd:rvb i="827"/>
        </ext>
      </extLst>
    </bk>
    <bk>
      <extLst>
        <ext uri="{3e2802c4-a4d2-4d8b-9148-e3be6c30e623}">
          <xlrd:rvb i="830"/>
        </ext>
      </extLst>
    </bk>
    <bk>
      <extLst>
        <ext uri="{3e2802c4-a4d2-4d8b-9148-e3be6c30e623}">
          <xlrd:rvb i="833"/>
        </ext>
      </extLst>
    </bk>
    <bk>
      <extLst>
        <ext uri="{3e2802c4-a4d2-4d8b-9148-e3be6c30e623}">
          <xlrd:rvb i="836"/>
        </ext>
      </extLst>
    </bk>
    <bk>
      <extLst>
        <ext uri="{3e2802c4-a4d2-4d8b-9148-e3be6c30e623}">
          <xlrd:rvb i="839"/>
        </ext>
      </extLst>
    </bk>
    <bk>
      <extLst>
        <ext uri="{3e2802c4-a4d2-4d8b-9148-e3be6c30e623}">
          <xlrd:rvb i="841"/>
        </ext>
      </extLst>
    </bk>
    <bk>
      <extLst>
        <ext uri="{3e2802c4-a4d2-4d8b-9148-e3be6c30e623}">
          <xlrd:rvb i="844"/>
        </ext>
      </extLst>
    </bk>
    <bk>
      <extLst>
        <ext uri="{3e2802c4-a4d2-4d8b-9148-e3be6c30e623}">
          <xlrd:rvb i="847"/>
        </ext>
      </extLst>
    </bk>
    <bk>
      <extLst>
        <ext uri="{3e2802c4-a4d2-4d8b-9148-e3be6c30e623}">
          <xlrd:rvb i="850"/>
        </ext>
      </extLst>
    </bk>
    <bk>
      <extLst>
        <ext uri="{3e2802c4-a4d2-4d8b-9148-e3be6c30e623}">
          <xlrd:rvb i="853"/>
        </ext>
      </extLst>
    </bk>
    <bk>
      <extLst>
        <ext uri="{3e2802c4-a4d2-4d8b-9148-e3be6c30e623}">
          <xlrd:rvb i="856"/>
        </ext>
      </extLst>
    </bk>
    <bk>
      <extLst>
        <ext uri="{3e2802c4-a4d2-4d8b-9148-e3be6c30e623}">
          <xlrd:rvb i="858"/>
        </ext>
      </extLst>
    </bk>
    <bk>
      <extLst>
        <ext uri="{3e2802c4-a4d2-4d8b-9148-e3be6c30e623}">
          <xlrd:rvb i="861"/>
        </ext>
      </extLst>
    </bk>
    <bk>
      <extLst>
        <ext uri="{3e2802c4-a4d2-4d8b-9148-e3be6c30e623}">
          <xlrd:rvb i="864"/>
        </ext>
      </extLst>
    </bk>
    <bk>
      <extLst>
        <ext uri="{3e2802c4-a4d2-4d8b-9148-e3be6c30e623}">
          <xlrd:rvb i="867"/>
        </ext>
      </extLst>
    </bk>
    <bk>
      <extLst>
        <ext uri="{3e2802c4-a4d2-4d8b-9148-e3be6c30e623}">
          <xlrd:rvb i="870"/>
        </ext>
      </extLst>
    </bk>
    <bk>
      <extLst>
        <ext uri="{3e2802c4-a4d2-4d8b-9148-e3be6c30e623}">
          <xlrd:rvb i="873"/>
        </ext>
      </extLst>
    </bk>
    <bk>
      <extLst>
        <ext uri="{3e2802c4-a4d2-4d8b-9148-e3be6c30e623}">
          <xlrd:rvb i="876"/>
        </ext>
      </extLst>
    </bk>
    <bk>
      <extLst>
        <ext uri="{3e2802c4-a4d2-4d8b-9148-e3be6c30e623}">
          <xlrd:rvb i="879"/>
        </ext>
      </extLst>
    </bk>
    <bk>
      <extLst>
        <ext uri="{3e2802c4-a4d2-4d8b-9148-e3be6c30e623}">
          <xlrd:rvb i="882"/>
        </ext>
      </extLst>
    </bk>
    <bk>
      <extLst>
        <ext uri="{3e2802c4-a4d2-4d8b-9148-e3be6c30e623}">
          <xlrd:rvb i="885"/>
        </ext>
      </extLst>
    </bk>
    <bk>
      <extLst>
        <ext uri="{3e2802c4-a4d2-4d8b-9148-e3be6c30e623}">
          <xlrd:rvb i="887"/>
        </ext>
      </extLst>
    </bk>
    <bk>
      <extLst>
        <ext uri="{3e2802c4-a4d2-4d8b-9148-e3be6c30e623}">
          <xlrd:rvb i="890"/>
        </ext>
      </extLst>
    </bk>
    <bk>
      <extLst>
        <ext uri="{3e2802c4-a4d2-4d8b-9148-e3be6c30e623}">
          <xlrd:rvb i="893"/>
        </ext>
      </extLst>
    </bk>
    <bk>
      <extLst>
        <ext uri="{3e2802c4-a4d2-4d8b-9148-e3be6c30e623}">
          <xlrd:rvb i="896"/>
        </ext>
      </extLst>
    </bk>
    <bk>
      <extLst>
        <ext uri="{3e2802c4-a4d2-4d8b-9148-e3be6c30e623}">
          <xlrd:rvb i="899"/>
        </ext>
      </extLst>
    </bk>
    <bk>
      <extLst>
        <ext uri="{3e2802c4-a4d2-4d8b-9148-e3be6c30e623}">
          <xlrd:rvb i="902"/>
        </ext>
      </extLst>
    </bk>
    <bk>
      <extLst>
        <ext uri="{3e2802c4-a4d2-4d8b-9148-e3be6c30e623}">
          <xlrd:rvb i="905"/>
        </ext>
      </extLst>
    </bk>
    <bk>
      <extLst>
        <ext uri="{3e2802c4-a4d2-4d8b-9148-e3be6c30e623}">
          <xlrd:rvb i="908"/>
        </ext>
      </extLst>
    </bk>
    <bk>
      <extLst>
        <ext uri="{3e2802c4-a4d2-4d8b-9148-e3be6c30e623}">
          <xlrd:rvb i="911"/>
        </ext>
      </extLst>
    </bk>
    <bk>
      <extLst>
        <ext uri="{3e2802c4-a4d2-4d8b-9148-e3be6c30e623}">
          <xlrd:rvb i="914"/>
        </ext>
      </extLst>
    </bk>
    <bk>
      <extLst>
        <ext uri="{3e2802c4-a4d2-4d8b-9148-e3be6c30e623}">
          <xlrd:rvb i="917"/>
        </ext>
      </extLst>
    </bk>
    <bk>
      <extLst>
        <ext uri="{3e2802c4-a4d2-4d8b-9148-e3be6c30e623}">
          <xlrd:rvb i="919"/>
        </ext>
      </extLst>
    </bk>
    <bk>
      <extLst>
        <ext uri="{3e2802c4-a4d2-4d8b-9148-e3be6c30e623}">
          <xlrd:rvb i="921"/>
        </ext>
      </extLst>
    </bk>
    <bk>
      <extLst>
        <ext uri="{3e2802c4-a4d2-4d8b-9148-e3be6c30e623}">
          <xlrd:rvb i="924"/>
        </ext>
      </extLst>
    </bk>
    <bk>
      <extLst>
        <ext uri="{3e2802c4-a4d2-4d8b-9148-e3be6c30e623}">
          <xlrd:rvb i="927"/>
        </ext>
      </extLst>
    </bk>
    <bk>
      <extLst>
        <ext uri="{3e2802c4-a4d2-4d8b-9148-e3be6c30e623}">
          <xlrd:rvb i="930"/>
        </ext>
      </extLst>
    </bk>
    <bk>
      <extLst>
        <ext uri="{3e2802c4-a4d2-4d8b-9148-e3be6c30e623}">
          <xlrd:rvb i="936"/>
        </ext>
      </extLst>
    </bk>
    <bk>
      <extLst>
        <ext uri="{3e2802c4-a4d2-4d8b-9148-e3be6c30e623}">
          <xlrd:rvb i="939"/>
        </ext>
      </extLst>
    </bk>
    <bk>
      <extLst>
        <ext uri="{3e2802c4-a4d2-4d8b-9148-e3be6c30e623}">
          <xlrd:rvb i="942"/>
        </ext>
      </extLst>
    </bk>
    <bk>
      <extLst>
        <ext uri="{3e2802c4-a4d2-4d8b-9148-e3be6c30e623}">
          <xlrd:rvb i="945"/>
        </ext>
      </extLst>
    </bk>
    <bk>
      <extLst>
        <ext uri="{3e2802c4-a4d2-4d8b-9148-e3be6c30e623}">
          <xlrd:rvb i="948"/>
        </ext>
      </extLst>
    </bk>
    <bk>
      <extLst>
        <ext uri="{3e2802c4-a4d2-4d8b-9148-e3be6c30e623}">
          <xlrd:rvb i="951"/>
        </ext>
      </extLst>
    </bk>
    <bk>
      <extLst>
        <ext uri="{3e2802c4-a4d2-4d8b-9148-e3be6c30e623}">
          <xlrd:rvb i="954"/>
        </ext>
      </extLst>
    </bk>
    <bk>
      <extLst>
        <ext uri="{3e2802c4-a4d2-4d8b-9148-e3be6c30e623}">
          <xlrd:rvb i="957"/>
        </ext>
      </extLst>
    </bk>
    <bk>
      <extLst>
        <ext uri="{3e2802c4-a4d2-4d8b-9148-e3be6c30e623}">
          <xlrd:rvb i="960"/>
        </ext>
      </extLst>
    </bk>
    <bk>
      <extLst>
        <ext uri="{3e2802c4-a4d2-4d8b-9148-e3be6c30e623}">
          <xlrd:rvb i="963"/>
        </ext>
      </extLst>
    </bk>
    <bk>
      <extLst>
        <ext uri="{3e2802c4-a4d2-4d8b-9148-e3be6c30e623}">
          <xlrd:rvb i="966"/>
        </ext>
      </extLst>
    </bk>
    <bk>
      <extLst>
        <ext uri="{3e2802c4-a4d2-4d8b-9148-e3be6c30e623}">
          <xlrd:rvb i="969"/>
        </ext>
      </extLst>
    </bk>
    <bk>
      <extLst>
        <ext uri="{3e2802c4-a4d2-4d8b-9148-e3be6c30e623}">
          <xlrd:rvb i="972"/>
        </ext>
      </extLst>
    </bk>
    <bk>
      <extLst>
        <ext uri="{3e2802c4-a4d2-4d8b-9148-e3be6c30e623}">
          <xlrd:rvb i="974"/>
        </ext>
      </extLst>
    </bk>
    <bk>
      <extLst>
        <ext uri="{3e2802c4-a4d2-4d8b-9148-e3be6c30e623}">
          <xlrd:rvb i="977"/>
        </ext>
      </extLst>
    </bk>
    <bk>
      <extLst>
        <ext uri="{3e2802c4-a4d2-4d8b-9148-e3be6c30e623}">
          <xlrd:rvb i="980"/>
        </ext>
      </extLst>
    </bk>
    <bk>
      <extLst>
        <ext uri="{3e2802c4-a4d2-4d8b-9148-e3be6c30e623}">
          <xlrd:rvb i="983"/>
        </ext>
      </extLst>
    </bk>
    <bk>
      <extLst>
        <ext uri="{3e2802c4-a4d2-4d8b-9148-e3be6c30e623}">
          <xlrd:rvb i="986"/>
        </ext>
      </extLst>
    </bk>
    <bk>
      <extLst>
        <ext uri="{3e2802c4-a4d2-4d8b-9148-e3be6c30e623}">
          <xlrd:rvb i="989"/>
        </ext>
      </extLst>
    </bk>
    <bk>
      <extLst>
        <ext uri="{3e2802c4-a4d2-4d8b-9148-e3be6c30e623}">
          <xlrd:rvb i="991"/>
        </ext>
      </extLst>
    </bk>
    <bk>
      <extLst>
        <ext uri="{3e2802c4-a4d2-4d8b-9148-e3be6c30e623}">
          <xlrd:rvb i="994"/>
        </ext>
      </extLst>
    </bk>
    <bk>
      <extLst>
        <ext uri="{3e2802c4-a4d2-4d8b-9148-e3be6c30e623}">
          <xlrd:rvb i="997"/>
        </ext>
      </extLst>
    </bk>
    <bk>
      <extLst>
        <ext uri="{3e2802c4-a4d2-4d8b-9148-e3be6c30e623}">
          <xlrd:rvb i="1000"/>
        </ext>
      </extLst>
    </bk>
    <bk>
      <extLst>
        <ext uri="{3e2802c4-a4d2-4d8b-9148-e3be6c30e623}">
          <xlrd:rvb i="1003"/>
        </ext>
      </extLst>
    </bk>
    <bk>
      <extLst>
        <ext uri="{3e2802c4-a4d2-4d8b-9148-e3be6c30e623}">
          <xlrd:rvb i="1006"/>
        </ext>
      </extLst>
    </bk>
    <bk>
      <extLst>
        <ext uri="{3e2802c4-a4d2-4d8b-9148-e3be6c30e623}">
          <xlrd:rvb i="1009"/>
        </ext>
      </extLst>
    </bk>
    <bk>
      <extLst>
        <ext uri="{3e2802c4-a4d2-4d8b-9148-e3be6c30e623}">
          <xlrd:rvb i="1012"/>
        </ext>
      </extLst>
    </bk>
    <bk>
      <extLst>
        <ext uri="{3e2802c4-a4d2-4d8b-9148-e3be6c30e623}">
          <xlrd:rvb i="1014"/>
        </ext>
      </extLst>
    </bk>
    <bk>
      <extLst>
        <ext uri="{3e2802c4-a4d2-4d8b-9148-e3be6c30e623}">
          <xlrd:rvb i="1017"/>
        </ext>
      </extLst>
    </bk>
    <bk>
      <extLst>
        <ext uri="{3e2802c4-a4d2-4d8b-9148-e3be6c30e623}">
          <xlrd:rvb i="1020"/>
        </ext>
      </extLst>
    </bk>
    <bk>
      <extLst>
        <ext uri="{3e2802c4-a4d2-4d8b-9148-e3be6c30e623}">
          <xlrd:rvb i="1022"/>
        </ext>
      </extLst>
    </bk>
    <bk>
      <extLst>
        <ext uri="{3e2802c4-a4d2-4d8b-9148-e3be6c30e623}">
          <xlrd:rvb i="1025"/>
        </ext>
      </extLst>
    </bk>
    <bk>
      <extLst>
        <ext uri="{3e2802c4-a4d2-4d8b-9148-e3be6c30e623}">
          <xlrd:rvb i="1028"/>
        </ext>
      </extLst>
    </bk>
    <bk>
      <extLst>
        <ext uri="{3e2802c4-a4d2-4d8b-9148-e3be6c30e623}">
          <xlrd:rvb i="1031"/>
        </ext>
      </extLst>
    </bk>
    <bk>
      <extLst>
        <ext uri="{3e2802c4-a4d2-4d8b-9148-e3be6c30e623}">
          <xlrd:rvb i="1034"/>
        </ext>
      </extLst>
    </bk>
    <bk>
      <extLst>
        <ext uri="{3e2802c4-a4d2-4d8b-9148-e3be6c30e623}">
          <xlrd:rvb i="1037"/>
        </ext>
      </extLst>
    </bk>
    <bk>
      <extLst>
        <ext uri="{3e2802c4-a4d2-4d8b-9148-e3be6c30e623}">
          <xlrd:rvb i="1040"/>
        </ext>
      </extLst>
    </bk>
    <bk>
      <extLst>
        <ext uri="{3e2802c4-a4d2-4d8b-9148-e3be6c30e623}">
          <xlrd:rvb i="1043"/>
        </ext>
      </extLst>
    </bk>
    <bk>
      <extLst>
        <ext uri="{3e2802c4-a4d2-4d8b-9148-e3be6c30e623}">
          <xlrd:rvb i="1046"/>
        </ext>
      </extLst>
    </bk>
    <bk>
      <extLst>
        <ext uri="{3e2802c4-a4d2-4d8b-9148-e3be6c30e623}">
          <xlrd:rvb i="1049"/>
        </ext>
      </extLst>
    </bk>
    <bk>
      <extLst>
        <ext uri="{3e2802c4-a4d2-4d8b-9148-e3be6c30e623}">
          <xlrd:rvb i="1052"/>
        </ext>
      </extLst>
    </bk>
    <bk>
      <extLst>
        <ext uri="{3e2802c4-a4d2-4d8b-9148-e3be6c30e623}">
          <xlrd:rvb i="1054"/>
        </ext>
      </extLst>
    </bk>
    <bk>
      <extLst>
        <ext uri="{3e2802c4-a4d2-4d8b-9148-e3be6c30e623}">
          <xlrd:rvb i="1056"/>
        </ext>
      </extLst>
    </bk>
    <bk>
      <extLst>
        <ext uri="{3e2802c4-a4d2-4d8b-9148-e3be6c30e623}">
          <xlrd:rvb i="1059"/>
        </ext>
      </extLst>
    </bk>
    <bk>
      <extLst>
        <ext uri="{3e2802c4-a4d2-4d8b-9148-e3be6c30e623}">
          <xlrd:rvb i="1062"/>
        </ext>
      </extLst>
    </bk>
    <bk>
      <extLst>
        <ext uri="{3e2802c4-a4d2-4d8b-9148-e3be6c30e623}">
          <xlrd:rvb i="1065"/>
        </ext>
      </extLst>
    </bk>
    <bk>
      <extLst>
        <ext uri="{3e2802c4-a4d2-4d8b-9148-e3be6c30e623}">
          <xlrd:rvb i="1068"/>
        </ext>
      </extLst>
    </bk>
    <bk>
      <extLst>
        <ext uri="{3e2802c4-a4d2-4d8b-9148-e3be6c30e623}">
          <xlrd:rvb i="1071"/>
        </ext>
      </extLst>
    </bk>
    <bk>
      <extLst>
        <ext uri="{3e2802c4-a4d2-4d8b-9148-e3be6c30e623}">
          <xlrd:rvb i="1074"/>
        </ext>
      </extLst>
    </bk>
    <bk>
      <extLst>
        <ext uri="{3e2802c4-a4d2-4d8b-9148-e3be6c30e623}">
          <xlrd:rvb i="1076"/>
        </ext>
      </extLst>
    </bk>
    <bk>
      <extLst>
        <ext uri="{3e2802c4-a4d2-4d8b-9148-e3be6c30e623}">
          <xlrd:rvb i="1079"/>
        </ext>
      </extLst>
    </bk>
    <bk>
      <extLst>
        <ext uri="{3e2802c4-a4d2-4d8b-9148-e3be6c30e623}">
          <xlrd:rvb i="1082"/>
        </ext>
      </extLst>
    </bk>
    <bk>
      <extLst>
        <ext uri="{3e2802c4-a4d2-4d8b-9148-e3be6c30e623}">
          <xlrd:rvb i="1085"/>
        </ext>
      </extLst>
    </bk>
    <bk>
      <extLst>
        <ext uri="{3e2802c4-a4d2-4d8b-9148-e3be6c30e623}">
          <xlrd:rvb i="1088"/>
        </ext>
      </extLst>
    </bk>
    <bk>
      <extLst>
        <ext uri="{3e2802c4-a4d2-4d8b-9148-e3be6c30e623}">
          <xlrd:rvb i="1091"/>
        </ext>
      </extLst>
    </bk>
    <bk>
      <extLst>
        <ext uri="{3e2802c4-a4d2-4d8b-9148-e3be6c30e623}">
          <xlrd:rvb i="1094"/>
        </ext>
      </extLst>
    </bk>
    <bk>
      <extLst>
        <ext uri="{3e2802c4-a4d2-4d8b-9148-e3be6c30e623}">
          <xlrd:rvb i="1097"/>
        </ext>
      </extLst>
    </bk>
    <bk>
      <extLst>
        <ext uri="{3e2802c4-a4d2-4d8b-9148-e3be6c30e623}">
          <xlrd:rvb i="1100"/>
        </ext>
      </extLst>
    </bk>
    <bk>
      <extLst>
        <ext uri="{3e2802c4-a4d2-4d8b-9148-e3be6c30e623}">
          <xlrd:rvb i="1102"/>
        </ext>
      </extLst>
    </bk>
    <bk>
      <extLst>
        <ext uri="{3e2802c4-a4d2-4d8b-9148-e3be6c30e623}">
          <xlrd:rvb i="1105"/>
        </ext>
      </extLst>
    </bk>
    <bk>
      <extLst>
        <ext uri="{3e2802c4-a4d2-4d8b-9148-e3be6c30e623}">
          <xlrd:rvb i="1108"/>
        </ext>
      </extLst>
    </bk>
    <bk>
      <extLst>
        <ext uri="{3e2802c4-a4d2-4d8b-9148-e3be6c30e623}">
          <xlrd:rvb i="1111"/>
        </ext>
      </extLst>
    </bk>
    <bk>
      <extLst>
        <ext uri="{3e2802c4-a4d2-4d8b-9148-e3be6c30e623}">
          <xlrd:rvb i="1114"/>
        </ext>
      </extLst>
    </bk>
    <bk>
      <extLst>
        <ext uri="{3e2802c4-a4d2-4d8b-9148-e3be6c30e623}">
          <xlrd:rvb i="1117"/>
        </ext>
      </extLst>
    </bk>
    <bk>
      <extLst>
        <ext uri="{3e2802c4-a4d2-4d8b-9148-e3be6c30e623}">
          <xlrd:rvb i="1120"/>
        </ext>
      </extLst>
    </bk>
    <bk>
      <extLst>
        <ext uri="{3e2802c4-a4d2-4d8b-9148-e3be6c30e623}">
          <xlrd:rvb i="1123"/>
        </ext>
      </extLst>
    </bk>
    <bk>
      <extLst>
        <ext uri="{3e2802c4-a4d2-4d8b-9148-e3be6c30e623}">
          <xlrd:rvb i="1125"/>
        </ext>
      </extLst>
    </bk>
    <bk>
      <extLst>
        <ext uri="{3e2802c4-a4d2-4d8b-9148-e3be6c30e623}">
          <xlrd:rvb i="1128"/>
        </ext>
      </extLst>
    </bk>
    <bk>
      <extLst>
        <ext uri="{3e2802c4-a4d2-4d8b-9148-e3be6c30e623}">
          <xlrd:rvb i="1130"/>
        </ext>
      </extLst>
    </bk>
    <bk>
      <extLst>
        <ext uri="{3e2802c4-a4d2-4d8b-9148-e3be6c30e623}">
          <xlrd:rvb i="1133"/>
        </ext>
      </extLst>
    </bk>
    <bk>
      <extLst>
        <ext uri="{3e2802c4-a4d2-4d8b-9148-e3be6c30e623}">
          <xlrd:rvb i="1136"/>
        </ext>
      </extLst>
    </bk>
    <bk>
      <extLst>
        <ext uri="{3e2802c4-a4d2-4d8b-9148-e3be6c30e623}">
          <xlrd:rvb i="1139"/>
        </ext>
      </extLst>
    </bk>
    <bk>
      <extLst>
        <ext uri="{3e2802c4-a4d2-4d8b-9148-e3be6c30e623}">
          <xlrd:rvb i="1142"/>
        </ext>
      </extLst>
    </bk>
    <bk>
      <extLst>
        <ext uri="{3e2802c4-a4d2-4d8b-9148-e3be6c30e623}">
          <xlrd:rvb i="1145"/>
        </ext>
      </extLst>
    </bk>
    <bk>
      <extLst>
        <ext uri="{3e2802c4-a4d2-4d8b-9148-e3be6c30e623}">
          <xlrd:rvb i="1148"/>
        </ext>
      </extLst>
    </bk>
    <bk>
      <extLst>
        <ext uri="{3e2802c4-a4d2-4d8b-9148-e3be6c30e623}">
          <xlrd:rvb i="1151"/>
        </ext>
      </extLst>
    </bk>
    <bk>
      <extLst>
        <ext uri="{3e2802c4-a4d2-4d8b-9148-e3be6c30e623}">
          <xlrd:rvb i="1153"/>
        </ext>
      </extLst>
    </bk>
    <bk>
      <extLst>
        <ext uri="{3e2802c4-a4d2-4d8b-9148-e3be6c30e623}">
          <xlrd:rvb i="1156"/>
        </ext>
      </extLst>
    </bk>
    <bk>
      <extLst>
        <ext uri="{3e2802c4-a4d2-4d8b-9148-e3be6c30e623}">
          <xlrd:rvb i="1159"/>
        </ext>
      </extLst>
    </bk>
    <bk>
      <extLst>
        <ext uri="{3e2802c4-a4d2-4d8b-9148-e3be6c30e623}">
          <xlrd:rvb i="1161"/>
        </ext>
      </extLst>
    </bk>
    <bk>
      <extLst>
        <ext uri="{3e2802c4-a4d2-4d8b-9148-e3be6c30e623}">
          <xlrd:rvb i="1164"/>
        </ext>
      </extLst>
    </bk>
    <bk>
      <extLst>
        <ext uri="{3e2802c4-a4d2-4d8b-9148-e3be6c30e623}">
          <xlrd:rvb i="1167"/>
        </ext>
      </extLst>
    </bk>
    <bk>
      <extLst>
        <ext uri="{3e2802c4-a4d2-4d8b-9148-e3be6c30e623}">
          <xlrd:rvb i="1170"/>
        </ext>
      </extLst>
    </bk>
    <bk>
      <extLst>
        <ext uri="{3e2802c4-a4d2-4d8b-9148-e3be6c30e623}">
          <xlrd:rvb i="1173"/>
        </ext>
      </extLst>
    </bk>
    <bk>
      <extLst>
        <ext uri="{3e2802c4-a4d2-4d8b-9148-e3be6c30e623}">
          <xlrd:rvb i="1176"/>
        </ext>
      </extLst>
    </bk>
    <bk>
      <extLst>
        <ext uri="{3e2802c4-a4d2-4d8b-9148-e3be6c30e623}">
          <xlrd:rvb i="1179"/>
        </ext>
      </extLst>
    </bk>
    <bk>
      <extLst>
        <ext uri="{3e2802c4-a4d2-4d8b-9148-e3be6c30e623}">
          <xlrd:rvb i="1182"/>
        </ext>
      </extLst>
    </bk>
    <bk>
      <extLst>
        <ext uri="{3e2802c4-a4d2-4d8b-9148-e3be6c30e623}">
          <xlrd:rvb i="1185"/>
        </ext>
      </extLst>
    </bk>
    <bk>
      <extLst>
        <ext uri="{3e2802c4-a4d2-4d8b-9148-e3be6c30e623}">
          <xlrd:rvb i="1188"/>
        </ext>
      </extLst>
    </bk>
    <bk>
      <extLst>
        <ext uri="{3e2802c4-a4d2-4d8b-9148-e3be6c30e623}">
          <xlrd:rvb i="1190"/>
        </ext>
      </extLst>
    </bk>
    <bk>
      <extLst>
        <ext uri="{3e2802c4-a4d2-4d8b-9148-e3be6c30e623}">
          <xlrd:rvb i="1193"/>
        </ext>
      </extLst>
    </bk>
    <bk>
      <extLst>
        <ext uri="{3e2802c4-a4d2-4d8b-9148-e3be6c30e623}">
          <xlrd:rvb i="1196"/>
        </ext>
      </extLst>
    </bk>
    <bk>
      <extLst>
        <ext uri="{3e2802c4-a4d2-4d8b-9148-e3be6c30e623}">
          <xlrd:rvb i="1199"/>
        </ext>
      </extLst>
    </bk>
    <bk>
      <extLst>
        <ext uri="{3e2802c4-a4d2-4d8b-9148-e3be6c30e623}">
          <xlrd:rvb i="1202"/>
        </ext>
      </extLst>
    </bk>
    <bk>
      <extLst>
        <ext uri="{3e2802c4-a4d2-4d8b-9148-e3be6c30e623}">
          <xlrd:rvb i="1205"/>
        </ext>
      </extLst>
    </bk>
    <bk>
      <extLst>
        <ext uri="{3e2802c4-a4d2-4d8b-9148-e3be6c30e623}">
          <xlrd:rvb i="1208"/>
        </ext>
      </extLst>
    </bk>
    <bk>
      <extLst>
        <ext uri="{3e2802c4-a4d2-4d8b-9148-e3be6c30e623}">
          <xlrd:rvb i="1211"/>
        </ext>
      </extLst>
    </bk>
    <bk>
      <extLst>
        <ext uri="{3e2802c4-a4d2-4d8b-9148-e3be6c30e623}">
          <xlrd:rvb i="1214"/>
        </ext>
      </extLst>
    </bk>
    <bk>
      <extLst>
        <ext uri="{3e2802c4-a4d2-4d8b-9148-e3be6c30e623}">
          <xlrd:rvb i="1217"/>
        </ext>
      </extLst>
    </bk>
    <bk>
      <extLst>
        <ext uri="{3e2802c4-a4d2-4d8b-9148-e3be6c30e623}">
          <xlrd:rvb i="1220"/>
        </ext>
      </extLst>
    </bk>
    <bk>
      <extLst>
        <ext uri="{3e2802c4-a4d2-4d8b-9148-e3be6c30e623}">
          <xlrd:rvb i="1223"/>
        </ext>
      </extLst>
    </bk>
    <bk>
      <extLst>
        <ext uri="{3e2802c4-a4d2-4d8b-9148-e3be6c30e623}">
          <xlrd:rvb i="1225"/>
        </ext>
      </extLst>
    </bk>
    <bk>
      <extLst>
        <ext uri="{3e2802c4-a4d2-4d8b-9148-e3be6c30e623}">
          <xlrd:rvb i="1227"/>
        </ext>
      </extLst>
    </bk>
    <bk>
      <extLst>
        <ext uri="{3e2802c4-a4d2-4d8b-9148-e3be6c30e623}">
          <xlrd:rvb i="1230"/>
        </ext>
      </extLst>
    </bk>
    <bk>
      <extLst>
        <ext uri="{3e2802c4-a4d2-4d8b-9148-e3be6c30e623}">
          <xlrd:rvb i="1233"/>
        </ext>
      </extLst>
    </bk>
    <bk>
      <extLst>
        <ext uri="{3e2802c4-a4d2-4d8b-9148-e3be6c30e623}">
          <xlrd:rvb i="1236"/>
        </ext>
      </extLst>
    </bk>
    <bk>
      <extLst>
        <ext uri="{3e2802c4-a4d2-4d8b-9148-e3be6c30e623}">
          <xlrd:rvb i="1238"/>
        </ext>
      </extLst>
    </bk>
    <bk>
      <extLst>
        <ext uri="{3e2802c4-a4d2-4d8b-9148-e3be6c30e623}">
          <xlrd:rvb i="1241"/>
        </ext>
      </extLst>
    </bk>
    <bk>
      <extLst>
        <ext uri="{3e2802c4-a4d2-4d8b-9148-e3be6c30e623}">
          <xlrd:rvb i="1244"/>
        </ext>
      </extLst>
    </bk>
    <bk>
      <extLst>
        <ext uri="{3e2802c4-a4d2-4d8b-9148-e3be6c30e623}">
          <xlrd:rvb i="1247"/>
        </ext>
      </extLst>
    </bk>
    <bk>
      <extLst>
        <ext uri="{3e2802c4-a4d2-4d8b-9148-e3be6c30e623}">
          <xlrd:rvb i="1249"/>
        </ext>
      </extLst>
    </bk>
    <bk>
      <extLst>
        <ext uri="{3e2802c4-a4d2-4d8b-9148-e3be6c30e623}">
          <xlrd:rvb i="1251"/>
        </ext>
      </extLst>
    </bk>
    <bk>
      <extLst>
        <ext uri="{3e2802c4-a4d2-4d8b-9148-e3be6c30e623}">
          <xlrd:rvb i="1254"/>
        </ext>
      </extLst>
    </bk>
    <bk>
      <extLst>
        <ext uri="{3e2802c4-a4d2-4d8b-9148-e3be6c30e623}">
          <xlrd:rvb i="1257"/>
        </ext>
      </extLst>
    </bk>
    <bk>
      <extLst>
        <ext uri="{3e2802c4-a4d2-4d8b-9148-e3be6c30e623}">
          <xlrd:rvb i="1263"/>
        </ext>
      </extLst>
    </bk>
    <bk>
      <extLst>
        <ext uri="{3e2802c4-a4d2-4d8b-9148-e3be6c30e623}">
          <xlrd:rvb i="1265"/>
        </ext>
      </extLst>
    </bk>
    <bk>
      <extLst>
        <ext uri="{3e2802c4-a4d2-4d8b-9148-e3be6c30e623}">
          <xlrd:rvb i="1268"/>
        </ext>
      </extLst>
    </bk>
    <bk>
      <extLst>
        <ext uri="{3e2802c4-a4d2-4d8b-9148-e3be6c30e623}">
          <xlrd:rvb i="1270"/>
        </ext>
      </extLst>
    </bk>
    <bk>
      <extLst>
        <ext uri="{3e2802c4-a4d2-4d8b-9148-e3be6c30e623}">
          <xlrd:rvb i="1273"/>
        </ext>
      </extLst>
    </bk>
    <bk>
      <extLst>
        <ext uri="{3e2802c4-a4d2-4d8b-9148-e3be6c30e623}">
          <xlrd:rvb i="1276"/>
        </ext>
      </extLst>
    </bk>
    <bk>
      <extLst>
        <ext uri="{3e2802c4-a4d2-4d8b-9148-e3be6c30e623}">
          <xlrd:rvb i="1279"/>
        </ext>
      </extLst>
    </bk>
    <bk>
      <extLst>
        <ext uri="{3e2802c4-a4d2-4d8b-9148-e3be6c30e623}">
          <xlrd:rvb i="1282"/>
        </ext>
      </extLst>
    </bk>
    <bk>
      <extLst>
        <ext uri="{3e2802c4-a4d2-4d8b-9148-e3be6c30e623}">
          <xlrd:rvb i="1284"/>
        </ext>
      </extLst>
    </bk>
    <bk>
      <extLst>
        <ext uri="{3e2802c4-a4d2-4d8b-9148-e3be6c30e623}">
          <xlrd:rvb i="1287"/>
        </ext>
      </extLst>
    </bk>
    <bk>
      <extLst>
        <ext uri="{3e2802c4-a4d2-4d8b-9148-e3be6c30e623}">
          <xlrd:rvb i="1290"/>
        </ext>
      </extLst>
    </bk>
    <bk>
      <extLst>
        <ext uri="{3e2802c4-a4d2-4d8b-9148-e3be6c30e623}">
          <xlrd:rvb i="1293"/>
        </ext>
      </extLst>
    </bk>
    <bk>
      <extLst>
        <ext uri="{3e2802c4-a4d2-4d8b-9148-e3be6c30e623}">
          <xlrd:rvb i="1296"/>
        </ext>
      </extLst>
    </bk>
    <bk>
      <extLst>
        <ext uri="{3e2802c4-a4d2-4d8b-9148-e3be6c30e623}">
          <xlrd:rvb i="1299"/>
        </ext>
      </extLst>
    </bk>
    <bk>
      <extLst>
        <ext uri="{3e2802c4-a4d2-4d8b-9148-e3be6c30e623}">
          <xlrd:rvb i="1302"/>
        </ext>
      </extLst>
    </bk>
    <bk>
      <extLst>
        <ext uri="{3e2802c4-a4d2-4d8b-9148-e3be6c30e623}">
          <xlrd:rvb i="1304"/>
        </ext>
      </extLst>
    </bk>
    <bk>
      <extLst>
        <ext uri="{3e2802c4-a4d2-4d8b-9148-e3be6c30e623}">
          <xlrd:rvb i="1307"/>
        </ext>
      </extLst>
    </bk>
    <bk>
      <extLst>
        <ext uri="{3e2802c4-a4d2-4d8b-9148-e3be6c30e623}">
          <xlrd:rvb i="1310"/>
        </ext>
      </extLst>
    </bk>
    <bk>
      <extLst>
        <ext uri="{3e2802c4-a4d2-4d8b-9148-e3be6c30e623}">
          <xlrd:rvb i="1313"/>
        </ext>
      </extLst>
    </bk>
    <bk>
      <extLst>
        <ext uri="{3e2802c4-a4d2-4d8b-9148-e3be6c30e623}">
          <xlrd:rvb i="1316"/>
        </ext>
      </extLst>
    </bk>
    <bk>
      <extLst>
        <ext uri="{3e2802c4-a4d2-4d8b-9148-e3be6c30e623}">
          <xlrd:rvb i="1318"/>
        </ext>
      </extLst>
    </bk>
    <bk>
      <extLst>
        <ext uri="{3e2802c4-a4d2-4d8b-9148-e3be6c30e623}">
          <xlrd:rvb i="1321"/>
        </ext>
      </extLst>
    </bk>
    <bk>
      <extLst>
        <ext uri="{3e2802c4-a4d2-4d8b-9148-e3be6c30e623}">
          <xlrd:rvb i="1324"/>
        </ext>
      </extLst>
    </bk>
    <bk>
      <extLst>
        <ext uri="{3e2802c4-a4d2-4d8b-9148-e3be6c30e623}">
          <xlrd:rvb i="1326"/>
        </ext>
      </extLst>
    </bk>
    <bk>
      <extLst>
        <ext uri="{3e2802c4-a4d2-4d8b-9148-e3be6c30e623}">
          <xlrd:rvb i="1329"/>
        </ext>
      </extLst>
    </bk>
    <bk>
      <extLst>
        <ext uri="{3e2802c4-a4d2-4d8b-9148-e3be6c30e623}">
          <xlrd:rvb i="1332"/>
        </ext>
      </extLst>
    </bk>
    <bk>
      <extLst>
        <ext uri="{3e2802c4-a4d2-4d8b-9148-e3be6c30e623}">
          <xlrd:rvb i="1335"/>
        </ext>
      </extLst>
    </bk>
    <bk>
      <extLst>
        <ext uri="{3e2802c4-a4d2-4d8b-9148-e3be6c30e623}">
          <xlrd:rvb i="1338"/>
        </ext>
      </extLst>
    </bk>
    <bk>
      <extLst>
        <ext uri="{3e2802c4-a4d2-4d8b-9148-e3be6c30e623}">
          <xlrd:rvb i="1341"/>
        </ext>
      </extLst>
    </bk>
    <bk>
      <extLst>
        <ext uri="{3e2802c4-a4d2-4d8b-9148-e3be6c30e623}">
          <xlrd:rvb i="1344"/>
        </ext>
      </extLst>
    </bk>
    <bk>
      <extLst>
        <ext uri="{3e2802c4-a4d2-4d8b-9148-e3be6c30e623}">
          <xlrd:rvb i="1347"/>
        </ext>
      </extLst>
    </bk>
    <bk>
      <extLst>
        <ext uri="{3e2802c4-a4d2-4d8b-9148-e3be6c30e623}">
          <xlrd:rvb i="1350"/>
        </ext>
      </extLst>
    </bk>
    <bk>
      <extLst>
        <ext uri="{3e2802c4-a4d2-4d8b-9148-e3be6c30e623}">
          <xlrd:rvb i="1353"/>
        </ext>
      </extLst>
    </bk>
    <bk>
      <extLst>
        <ext uri="{3e2802c4-a4d2-4d8b-9148-e3be6c30e623}">
          <xlrd:rvb i="1356"/>
        </ext>
      </extLst>
    </bk>
    <bk>
      <extLst>
        <ext uri="{3e2802c4-a4d2-4d8b-9148-e3be6c30e623}">
          <xlrd:rvb i="1359"/>
        </ext>
      </extLst>
    </bk>
    <bk>
      <extLst>
        <ext uri="{3e2802c4-a4d2-4d8b-9148-e3be6c30e623}">
          <xlrd:rvb i="1361"/>
        </ext>
      </extLst>
    </bk>
    <bk>
      <extLst>
        <ext uri="{3e2802c4-a4d2-4d8b-9148-e3be6c30e623}">
          <xlrd:rvb i="1364"/>
        </ext>
      </extLst>
    </bk>
    <bk>
      <extLst>
        <ext uri="{3e2802c4-a4d2-4d8b-9148-e3be6c30e623}">
          <xlrd:rvb i="1367"/>
        </ext>
      </extLst>
    </bk>
    <bk>
      <extLst>
        <ext uri="{3e2802c4-a4d2-4d8b-9148-e3be6c30e623}">
          <xlrd:rvb i="1369"/>
        </ext>
      </extLst>
    </bk>
    <bk>
      <extLst>
        <ext uri="{3e2802c4-a4d2-4d8b-9148-e3be6c30e623}">
          <xlrd:rvb i="1371"/>
        </ext>
      </extLst>
    </bk>
    <bk>
      <extLst>
        <ext uri="{3e2802c4-a4d2-4d8b-9148-e3be6c30e623}">
          <xlrd:rvb i="1374"/>
        </ext>
      </extLst>
    </bk>
    <bk>
      <extLst>
        <ext uri="{3e2802c4-a4d2-4d8b-9148-e3be6c30e623}">
          <xlrd:rvb i="1377"/>
        </ext>
      </extLst>
    </bk>
    <bk>
      <extLst>
        <ext uri="{3e2802c4-a4d2-4d8b-9148-e3be6c30e623}">
          <xlrd:rvb i="1380"/>
        </ext>
      </extLst>
    </bk>
    <bk>
      <extLst>
        <ext uri="{3e2802c4-a4d2-4d8b-9148-e3be6c30e623}">
          <xlrd:rvb i="1383"/>
        </ext>
      </extLst>
    </bk>
    <bk>
      <extLst>
        <ext uri="{3e2802c4-a4d2-4d8b-9148-e3be6c30e623}">
          <xlrd:rvb i="1386"/>
        </ext>
      </extLst>
    </bk>
    <bk>
      <extLst>
        <ext uri="{3e2802c4-a4d2-4d8b-9148-e3be6c30e623}">
          <xlrd:rvb i="1389"/>
        </ext>
      </extLst>
    </bk>
    <bk>
      <extLst>
        <ext uri="{3e2802c4-a4d2-4d8b-9148-e3be6c30e623}">
          <xlrd:rvb i="1392"/>
        </ext>
      </extLst>
    </bk>
    <bk>
      <extLst>
        <ext uri="{3e2802c4-a4d2-4d8b-9148-e3be6c30e623}">
          <xlrd:rvb i="1394"/>
        </ext>
      </extLst>
    </bk>
    <bk>
      <extLst>
        <ext uri="{3e2802c4-a4d2-4d8b-9148-e3be6c30e623}">
          <xlrd:rvb i="1397"/>
        </ext>
      </extLst>
    </bk>
    <bk>
      <extLst>
        <ext uri="{3e2802c4-a4d2-4d8b-9148-e3be6c30e623}">
          <xlrd:rvb i="1400"/>
        </ext>
      </extLst>
    </bk>
    <bk>
      <extLst>
        <ext uri="{3e2802c4-a4d2-4d8b-9148-e3be6c30e623}">
          <xlrd:rvb i="1403"/>
        </ext>
      </extLst>
    </bk>
    <bk>
      <extLst>
        <ext uri="{3e2802c4-a4d2-4d8b-9148-e3be6c30e623}">
          <xlrd:rvb i="1406"/>
        </ext>
      </extLst>
    </bk>
    <bk>
      <extLst>
        <ext uri="{3e2802c4-a4d2-4d8b-9148-e3be6c30e623}">
          <xlrd:rvb i="1409"/>
        </ext>
      </extLst>
    </bk>
    <bk>
      <extLst>
        <ext uri="{3e2802c4-a4d2-4d8b-9148-e3be6c30e623}">
          <xlrd:rvb i="1412"/>
        </ext>
      </extLst>
    </bk>
    <bk>
      <extLst>
        <ext uri="{3e2802c4-a4d2-4d8b-9148-e3be6c30e623}">
          <xlrd:rvb i="1415"/>
        </ext>
      </extLst>
    </bk>
    <bk>
      <extLst>
        <ext uri="{3e2802c4-a4d2-4d8b-9148-e3be6c30e623}">
          <xlrd:rvb i="1418"/>
        </ext>
      </extLst>
    </bk>
    <bk>
      <extLst>
        <ext uri="{3e2802c4-a4d2-4d8b-9148-e3be6c30e623}">
          <xlrd:rvb i="1421"/>
        </ext>
      </extLst>
    </bk>
    <bk>
      <extLst>
        <ext uri="{3e2802c4-a4d2-4d8b-9148-e3be6c30e623}">
          <xlrd:rvb i="1424"/>
        </ext>
      </extLst>
    </bk>
    <bk>
      <extLst>
        <ext uri="{3e2802c4-a4d2-4d8b-9148-e3be6c30e623}">
          <xlrd:rvb i="1427"/>
        </ext>
      </extLst>
    </bk>
    <bk>
      <extLst>
        <ext uri="{3e2802c4-a4d2-4d8b-9148-e3be6c30e623}">
          <xlrd:rvb i="1429"/>
        </ext>
      </extLst>
    </bk>
    <bk>
      <extLst>
        <ext uri="{3e2802c4-a4d2-4d8b-9148-e3be6c30e623}">
          <xlrd:rvb i="1432"/>
        </ext>
      </extLst>
    </bk>
    <bk>
      <extLst>
        <ext uri="{3e2802c4-a4d2-4d8b-9148-e3be6c30e623}">
          <xlrd:rvb i="1434"/>
        </ext>
      </extLst>
    </bk>
    <bk>
      <extLst>
        <ext uri="{3e2802c4-a4d2-4d8b-9148-e3be6c30e623}">
          <xlrd:rvb i="1436"/>
        </ext>
      </extLst>
    </bk>
    <bk>
      <extLst>
        <ext uri="{3e2802c4-a4d2-4d8b-9148-e3be6c30e623}">
          <xlrd:rvb i="1439"/>
        </ext>
      </extLst>
    </bk>
    <bk>
      <extLst>
        <ext uri="{3e2802c4-a4d2-4d8b-9148-e3be6c30e623}">
          <xlrd:rvb i="1442"/>
        </ext>
      </extLst>
    </bk>
    <bk>
      <extLst>
        <ext uri="{3e2802c4-a4d2-4d8b-9148-e3be6c30e623}">
          <xlrd:rvb i="1445"/>
        </ext>
      </extLst>
    </bk>
    <bk>
      <extLst>
        <ext uri="{3e2802c4-a4d2-4d8b-9148-e3be6c30e623}">
          <xlrd:rvb i="1448"/>
        </ext>
      </extLst>
    </bk>
    <bk>
      <extLst>
        <ext uri="{3e2802c4-a4d2-4d8b-9148-e3be6c30e623}">
          <xlrd:rvb i="1451"/>
        </ext>
      </extLst>
    </bk>
    <bk>
      <extLst>
        <ext uri="{3e2802c4-a4d2-4d8b-9148-e3be6c30e623}">
          <xlrd:rvb i="1454"/>
        </ext>
      </extLst>
    </bk>
    <bk>
      <extLst>
        <ext uri="{3e2802c4-a4d2-4d8b-9148-e3be6c30e623}">
          <xlrd:rvb i="1457"/>
        </ext>
      </extLst>
    </bk>
    <bk>
      <extLst>
        <ext uri="{3e2802c4-a4d2-4d8b-9148-e3be6c30e623}">
          <xlrd:rvb i="1460"/>
        </ext>
      </extLst>
    </bk>
    <bk>
      <extLst>
        <ext uri="{3e2802c4-a4d2-4d8b-9148-e3be6c30e623}">
          <xlrd:rvb i="1463"/>
        </ext>
      </extLst>
    </bk>
    <bk>
      <extLst>
        <ext uri="{3e2802c4-a4d2-4d8b-9148-e3be6c30e623}">
          <xlrd:rvb i="1466"/>
        </ext>
      </extLst>
    </bk>
    <bk>
      <extLst>
        <ext uri="{3e2802c4-a4d2-4d8b-9148-e3be6c30e623}">
          <xlrd:rvb i="1469"/>
        </ext>
      </extLst>
    </bk>
    <bk>
      <extLst>
        <ext uri="{3e2802c4-a4d2-4d8b-9148-e3be6c30e623}">
          <xlrd:rvb i="1472"/>
        </ext>
      </extLst>
    </bk>
    <bk>
      <extLst>
        <ext uri="{3e2802c4-a4d2-4d8b-9148-e3be6c30e623}">
          <xlrd:rvb i="1475"/>
        </ext>
      </extLst>
    </bk>
    <bk>
      <extLst>
        <ext uri="{3e2802c4-a4d2-4d8b-9148-e3be6c30e623}">
          <xlrd:rvb i="1478"/>
        </ext>
      </extLst>
    </bk>
    <bk>
      <extLst>
        <ext uri="{3e2802c4-a4d2-4d8b-9148-e3be6c30e623}">
          <xlrd:rvb i="1481"/>
        </ext>
      </extLst>
    </bk>
    <bk>
      <extLst>
        <ext uri="{3e2802c4-a4d2-4d8b-9148-e3be6c30e623}">
          <xlrd:rvb i="1484"/>
        </ext>
      </extLst>
    </bk>
    <bk>
      <extLst>
        <ext uri="{3e2802c4-a4d2-4d8b-9148-e3be6c30e623}">
          <xlrd:rvb i="1487"/>
        </ext>
      </extLst>
    </bk>
    <bk>
      <extLst>
        <ext uri="{3e2802c4-a4d2-4d8b-9148-e3be6c30e623}">
          <xlrd:rvb i="1490"/>
        </ext>
      </extLst>
    </bk>
    <bk>
      <extLst>
        <ext uri="{3e2802c4-a4d2-4d8b-9148-e3be6c30e623}">
          <xlrd:rvb i="1493"/>
        </ext>
      </extLst>
    </bk>
    <bk>
      <extLst>
        <ext uri="{3e2802c4-a4d2-4d8b-9148-e3be6c30e623}">
          <xlrd:rvb i="1496"/>
        </ext>
      </extLst>
    </bk>
    <bk>
      <extLst>
        <ext uri="{3e2802c4-a4d2-4d8b-9148-e3be6c30e623}">
          <xlrd:rvb i="1499"/>
        </ext>
      </extLst>
    </bk>
    <bk>
      <extLst>
        <ext uri="{3e2802c4-a4d2-4d8b-9148-e3be6c30e623}">
          <xlrd:rvb i="1502"/>
        </ext>
      </extLst>
    </bk>
    <bk>
      <extLst>
        <ext uri="{3e2802c4-a4d2-4d8b-9148-e3be6c30e623}">
          <xlrd:rvb i="1505"/>
        </ext>
      </extLst>
    </bk>
    <bk>
      <extLst>
        <ext uri="{3e2802c4-a4d2-4d8b-9148-e3be6c30e623}">
          <xlrd:rvb i="1507"/>
        </ext>
      </extLst>
    </bk>
    <bk>
      <extLst>
        <ext uri="{3e2802c4-a4d2-4d8b-9148-e3be6c30e623}">
          <xlrd:rvb i="1510"/>
        </ext>
      </extLst>
    </bk>
    <bk>
      <extLst>
        <ext uri="{3e2802c4-a4d2-4d8b-9148-e3be6c30e623}">
          <xlrd:rvb i="1512"/>
        </ext>
      </extLst>
    </bk>
    <bk>
      <extLst>
        <ext uri="{3e2802c4-a4d2-4d8b-9148-e3be6c30e623}">
          <xlrd:rvb i="1514"/>
        </ext>
      </extLst>
    </bk>
    <bk>
      <extLst>
        <ext uri="{3e2802c4-a4d2-4d8b-9148-e3be6c30e623}">
          <xlrd:rvb i="1517"/>
        </ext>
      </extLst>
    </bk>
    <bk>
      <extLst>
        <ext uri="{3e2802c4-a4d2-4d8b-9148-e3be6c30e623}">
          <xlrd:rvb i="1520"/>
        </ext>
      </extLst>
    </bk>
    <bk>
      <extLst>
        <ext uri="{3e2802c4-a4d2-4d8b-9148-e3be6c30e623}">
          <xlrd:rvb i="1523"/>
        </ext>
      </extLst>
    </bk>
    <bk>
      <extLst>
        <ext uri="{3e2802c4-a4d2-4d8b-9148-e3be6c30e623}">
          <xlrd:rvb i="1526"/>
        </ext>
      </extLst>
    </bk>
    <bk>
      <extLst>
        <ext uri="{3e2802c4-a4d2-4d8b-9148-e3be6c30e623}">
          <xlrd:rvb i="1529"/>
        </ext>
      </extLst>
    </bk>
    <bk>
      <extLst>
        <ext uri="{3e2802c4-a4d2-4d8b-9148-e3be6c30e623}">
          <xlrd:rvb i="1532"/>
        </ext>
      </extLst>
    </bk>
    <bk>
      <extLst>
        <ext uri="{3e2802c4-a4d2-4d8b-9148-e3be6c30e623}">
          <xlrd:rvb i="1535"/>
        </ext>
      </extLst>
    </bk>
    <bk>
      <extLst>
        <ext uri="{3e2802c4-a4d2-4d8b-9148-e3be6c30e623}">
          <xlrd:rvb i="1538"/>
        </ext>
      </extLst>
    </bk>
    <bk>
      <extLst>
        <ext uri="{3e2802c4-a4d2-4d8b-9148-e3be6c30e623}">
          <xlrd:rvb i="1541"/>
        </ext>
      </extLst>
    </bk>
  </futureMetadata>
  <futureMetadata name="XLDAPR" count="1">
    <bk>
      <extLst>
        <ext uri="{bdbb8cdc-fa1e-496e-a857-3c3f30c029c3}">
          <xda:dynamicArrayProperties fDynamic="1" fCollapsed="0"/>
        </ext>
      </extLst>
    </bk>
  </futureMetadata>
  <cellMetadata count="1">
    <bk>
      <rc t="2" v="0"/>
    </bk>
  </cellMetadata>
  <valueMetadata count="537">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valueMetadata>
</metadata>
</file>

<file path=xl/sharedStrings.xml><?xml version="1.0" encoding="utf-8"?>
<sst xmlns="http://schemas.openxmlformats.org/spreadsheetml/2006/main" count="394" uniqueCount="55">
  <si>
    <t>Stock Name</t>
  </si>
  <si>
    <t>D Change (%)</t>
  </si>
  <si>
    <t>P Close</t>
  </si>
  <si>
    <t>Price</t>
  </si>
  <si>
    <t>D Low</t>
  </si>
  <si>
    <t>D High</t>
  </si>
  <si>
    <t>52 WL</t>
  </si>
  <si>
    <t>52 WH</t>
  </si>
  <si>
    <t>% Below high</t>
  </si>
  <si>
    <t>Suggestion</t>
  </si>
  <si>
    <t>M Cap (cr.)</t>
  </si>
  <si>
    <t>M Cap</t>
  </si>
  <si>
    <t>Industry</t>
  </si>
  <si>
    <t>% change from high</t>
  </si>
  <si>
    <t>Previous close</t>
  </si>
  <si>
    <t>Day Low</t>
  </si>
  <si>
    <t>Day High</t>
  </si>
  <si>
    <t>52 week low</t>
  </si>
  <si>
    <t>52 week high</t>
  </si>
  <si>
    <t>Day Change (%)</t>
  </si>
  <si>
    <t>Market cap</t>
  </si>
  <si>
    <t>Banking Services</t>
  </si>
  <si>
    <t>Insurance</t>
  </si>
  <si>
    <t>ETF</t>
  </si>
  <si>
    <t>Investment Banking &amp; Investment Services</t>
  </si>
  <si>
    <t>Change</t>
  </si>
  <si>
    <t>Row Labels</t>
  </si>
  <si>
    <t>Sum of % change from high</t>
  </si>
  <si>
    <t>Grand Total</t>
  </si>
  <si>
    <t>Sector</t>
  </si>
  <si>
    <t>Financial Services</t>
  </si>
  <si>
    <t>(All)</t>
  </si>
  <si>
    <t>Current Price</t>
  </si>
  <si>
    <t>52 WeekHigh</t>
  </si>
  <si>
    <t>52 WeekLow</t>
  </si>
  <si>
    <t>% Below from high</t>
  </si>
  <si>
    <t>% above from Low</t>
  </si>
  <si>
    <t>% Below Low</t>
  </si>
  <si>
    <t>Healthcare</t>
  </si>
  <si>
    <t>Information Technology</t>
  </si>
  <si>
    <t>Chemicals</t>
  </si>
  <si>
    <t>Services</t>
  </si>
  <si>
    <t>Fast Moving Consumer Goods</t>
  </si>
  <si>
    <t>Construction Materials</t>
  </si>
  <si>
    <t>Metals &amp; Mining</t>
  </si>
  <si>
    <t>Consumer Services</t>
  </si>
  <si>
    <t>Automobile and Auto Components</t>
  </si>
  <si>
    <t>Realty</t>
  </si>
  <si>
    <t>Consumer Durables</t>
  </si>
  <si>
    <t>Capital Goods</t>
  </si>
  <si>
    <t>Power</t>
  </si>
  <si>
    <t>Oil Gas &amp; Consumable Fuels</t>
  </si>
  <si>
    <t>Construction</t>
  </si>
  <si>
    <t>Telecommunication</t>
  </si>
  <si>
    <t>Textiles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</si>
</sst>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4009]\ * #,##0.00_ ;_ [$₹-4009]\ * \-#,##0.00_ ;_ [$₹-4009]\ * &quot;-&quot;??_ ;_ @_ "/>
    <numFmt numFmtId="165" formatCode="_ [$₹-4009]\ * #,##0_ ;_ [$₹-4009]\ * \-#,##0_ ;_ [$₹-4009]\ * &quot;-&quot;_ ;_ @_ "/>
    <numFmt numFmtId="166" formatCode="_ [$₹-44D]\ * #,##0_ ;_ [$₹-44D]\ * \-#,##0_ ;_ [$₹-44D]\ * &quot;-&quot;_ ;_ @_ "/>
  </numFmts>
  <fonts count="9">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18"/>
      <color theme="0"/>
      <name val="Calibri"/>
      <family val="2"/>
      <scheme val="minor"/>
    </font>
    <font>
      <sz val="11"/>
      <color theme="1"/>
      <name val="Calibri"/>
      <family val="2"/>
    </font>
    <font>
      <u/>
      <sz val="11"/>
      <color theme="10"/>
      <name val="Calibri"/>
      <family val="2"/>
      <scheme val="minor"/>
    </font>
    <font>
      <sz val="11"/>
      <color rgb="FF000000"/>
      <name val="Calibri"/>
      <family val="2"/>
    </font>
    <font>
      <b/>
      <sz val="11"/>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1"/>
        <bgColor indexed="64"/>
      </patternFill>
    </fill>
    <fill>
      <patternFill patternType="solid">
        <fgColor rgb="FF0070C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style="thin">
        <color theme="4"/>
      </top>
      <bottom style="double">
        <color theme="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4">
    <xf numFmtId="0" fontId="0" fillId="0" borderId="0"/>
    <xf numFmtId="0" fontId="1" fillId="0" borderId="2" applyNumberFormat="0" applyFill="0" applyAlignment="0" applyProtection="0"/>
    <xf numFmtId="0" fontId="5" fillId="0" borderId="0"/>
    <xf numFmtId="0" fontId="6" fillId="0" borderId="0" applyNumberFormat="0" applyFill="0" applyBorder="0" applyAlignment="0" applyProtection="0"/>
  </cellStyleXfs>
  <cellXfs count="108">
    <xf numFmtId="0" fontId="0" fillId="0" borderId="0" xfId="0"/>
    <xf numFmtId="0" fontId="0" fillId="0" borderId="0" xfId="0" pivotButton="1"/>
    <xf numFmtId="0" fontId="0" fillId="0" borderId="0" xfId="0" applyAlignment="1">
      <alignment horizontal="left"/>
    </xf>
    <xf numFmtId="0" fontId="1" fillId="2" borderId="2" xfId="1" applyFill="1" applyAlignment="1">
      <alignment horizontal="left" vertical="top"/>
    </xf>
    <xf numFmtId="0" fontId="1" fillId="0" borderId="2" xfId="1" applyAlignment="1">
      <alignment horizontal="left"/>
    </xf>
    <xf numFmtId="164" fontId="1" fillId="0" borderId="2" xfId="1" applyNumberFormat="1" applyAlignment="1">
      <alignment horizontal="left"/>
    </xf>
    <xf numFmtId="164" fontId="0" fillId="0" borderId="0" xfId="0" applyNumberFormat="1"/>
    <xf numFmtId="2" fontId="0" fillId="0" borderId="0" xfId="0" applyNumberFormat="1"/>
    <xf numFmtId="10" fontId="1" fillId="2" borderId="2" xfId="1" applyNumberFormat="1" applyFill="1" applyAlignment="1">
      <alignment horizontal="right" vertical="top"/>
    </xf>
    <xf numFmtId="10" fontId="1" fillId="0" borderId="2" xfId="1" applyNumberFormat="1" applyAlignment="1">
      <alignment horizontal="right"/>
    </xf>
    <xf numFmtId="165" fontId="1" fillId="0" borderId="2" xfId="1" applyNumberFormat="1" applyAlignment="1">
      <alignment horizontal="left"/>
    </xf>
    <xf numFmtId="0" fontId="1" fillId="2" borderId="1" xfId="1" applyFill="1" applyBorder="1" applyAlignment="1">
      <alignment horizontal="left" vertical="top"/>
    </xf>
    <xf numFmtId="10" fontId="1" fillId="2" borderId="1" xfId="1" applyNumberFormat="1" applyFill="1" applyBorder="1" applyAlignment="1">
      <alignment horizontal="right" vertical="top"/>
    </xf>
    <xf numFmtId="0" fontId="1" fillId="0" borderId="1" xfId="1" applyBorder="1" applyAlignment="1">
      <alignment horizontal="left"/>
    </xf>
    <xf numFmtId="10" fontId="1" fillId="0" borderId="1" xfId="1" applyNumberFormat="1" applyBorder="1" applyAlignment="1">
      <alignment horizontal="right"/>
    </xf>
    <xf numFmtId="164" fontId="1" fillId="0" borderId="1" xfId="1" applyNumberFormat="1" applyBorder="1" applyAlignment="1">
      <alignment horizontal="left"/>
    </xf>
    <xf numFmtId="10" fontId="1" fillId="0" borderId="1" xfId="1" applyNumberFormat="1" applyBorder="1" applyAlignment="1">
      <alignment horizontal="left"/>
    </xf>
    <xf numFmtId="165" fontId="1" fillId="0" borderId="1" xfId="1" applyNumberFormat="1" applyBorder="1" applyAlignment="1">
      <alignment horizontal="left"/>
    </xf>
    <xf numFmtId="0" fontId="1" fillId="0" borderId="1" xfId="1" applyBorder="1"/>
    <xf numFmtId="0" fontId="1" fillId="2" borderId="2" xfId="1" applyFill="1" applyAlignment="1">
      <alignment horizontal="right" vertical="top"/>
    </xf>
    <xf numFmtId="166" fontId="0" fillId="0" borderId="1" xfId="0" applyNumberFormat="1" applyBorder="1"/>
    <xf numFmtId="0" fontId="0" fillId="0" borderId="1" xfId="0" quotePrefix="1" applyBorder="1"/>
    <xf numFmtId="2" fontId="2" fillId="0" borderId="1" xfId="1" applyNumberFormat="1" applyFont="1" applyBorder="1" applyAlignment="1">
      <alignment horizontal="left"/>
    </xf>
    <xf numFmtId="164" fontId="2" fillId="0" borderId="1" xfId="1" applyNumberFormat="1" applyFont="1" applyBorder="1" applyAlignment="1">
      <alignment horizontal="left"/>
    </xf>
    <xf numFmtId="10" fontId="2" fillId="0" borderId="1" xfId="1" applyNumberFormat="1" applyFont="1" applyBorder="1" applyAlignment="1">
      <alignment horizontal="left"/>
    </xf>
    <xf numFmtId="0" fontId="2" fillId="0" borderId="1" xfId="1" applyFont="1" applyBorder="1" applyAlignment="1">
      <alignment horizontal="left"/>
    </xf>
    <xf numFmtId="0" fontId="2" fillId="0" borderId="1" xfId="1" applyFont="1" applyBorder="1"/>
    <xf numFmtId="0" fontId="4" fillId="3" borderId="1" xfId="1" applyFont="1" applyFill="1" applyBorder="1" applyAlignment="1">
      <alignment horizontal="center" vertical="top"/>
    </xf>
    <xf numFmtId="0" fontId="3" fillId="4" borderId="1" xfId="1" applyFont="1" applyFill="1" applyBorder="1" applyAlignment="1">
      <alignment horizontal="left"/>
    </xf>
    <xf numFmtId="0" fontId="3" fillId="4" borderId="1" xfId="1" applyFont="1" applyFill="1" applyBorder="1" applyAlignment="1" applyProtection="1">
      <alignment horizontal="left"/>
      <protection locked="0"/>
    </xf>
    <xf numFmtId="164" fontId="2" fillId="0" borderId="1" xfId="1" applyNumberFormat="1" applyFont="1" applyBorder="1" applyAlignment="1" applyProtection="1">
      <alignment horizontal="left"/>
      <protection locked="0"/>
    </xf>
    <xf numFmtId="0" fontId="4" fillId="3" borderId="1" xfId="1" applyFont="1" applyFill="1" applyBorder="1" applyAlignment="1" applyProtection="1">
      <alignment horizontal="center" vertical="top"/>
    </xf>
    <xf numFmtId="2" fontId="2" fillId="0" borderId="1" xfId="1" applyNumberFormat="1" applyFont="1" applyBorder="1" applyAlignment="1" applyProtection="1">
      <alignment horizontal="left"/>
    </xf>
    <xf numFmtId="10" fontId="2" fillId="0" borderId="1" xfId="1" applyNumberFormat="1" applyFont="1" applyBorder="1" applyAlignment="1" applyProtection="1">
      <alignment horizontal="left"/>
    </xf>
    <xf numFmtId="164" fontId="2" fillId="0" borderId="1" xfId="1" applyNumberFormat="1" applyFont="1" applyBorder="1" applyAlignment="1" applyProtection="1">
      <alignment horizontal="center"/>
      <protection locked="0"/>
    </xf>
    <xf numFmtId="164" fontId="2" fillId="0" borderId="1" xfId="1" applyNumberFormat="1" applyFont="1" applyBorder="1" applyAlignment="1" applyProtection="1">
      <alignment horizontal="left"/>
    </xf>
    <xf numFmtId="164" fontId="2" fillId="0" borderId="1" xfId="1" applyNumberFormat="1" applyFont="1" applyBorder="1" applyAlignment="1" applyProtection="1">
      <alignment horizontal="center"/>
    </xf>
    <xf numFmtId="0" fontId="2" fillId="0" borderId="1" xfId="1" applyFont="1" applyBorder="1" applyAlignment="1" applyProtection="1">
      <alignment horizontal="left"/>
    </xf>
    <xf numFmtId="0" fontId="2" fillId="0" borderId="1" xfId="1" applyFont="1" applyBorder="1" applyProtection="1"/>
    <xf numFmtId="2" fontId="2" fillId="0" borderId="1" xfId="1" applyNumberFormat="1" applyFont="1" applyBorder="1" applyAlignment="1" applyProtection="1">
      <alignment horizontal="center"/>
    </xf>
    <xf numFmtId="2" fontId="2" fillId="0" borderId="1" xfId="1" applyNumberFormat="1" applyFont="1" applyBorder="1" applyAlignment="1" applyProtection="1">
      <alignment horizontal="right"/>
    </xf>
    <xf numFmtId="0" fontId="2" fillId="2" borderId="1" xfId="1" applyFont="1" applyFill="1" applyBorder="1" applyAlignment="1">
      <alignment horizontal="left"/>
    </xf>
    <xf numFmtId="0" fontId="4" fillId="3" borderId="3" xfId="1" applyFont="1" applyFill="1" applyBorder="1" applyAlignment="1" applyProtection="1">
      <alignment horizontal="center" vertical="top"/>
    </xf>
    <xf numFmtId="0" fontId="4" fillId="3" borderId="4" xfId="1" applyFont="1" applyFill="1" applyBorder="1" applyAlignment="1" applyProtection="1">
      <alignment horizontal="center" vertical="top"/>
    </xf>
    <xf numFmtId="0" fontId="4" fillId="3" borderId="5" xfId="1" applyFont="1" applyFill="1" applyBorder="1" applyAlignment="1" applyProtection="1">
      <alignment horizontal="center" vertical="top"/>
    </xf>
    <xf numFmtId="0" fontId="2" fillId="0" borderId="6" xfId="1" applyFont="1" applyBorder="1" applyProtection="1"/>
    <xf numFmtId="0" fontId="2" fillId="0" borderId="6" xfId="1" applyFont="1" applyBorder="1" applyAlignment="1" applyProtection="1">
      <alignment horizontal="left"/>
    </xf>
    <xf numFmtId="164" fontId="2" fillId="0" borderId="7" xfId="1" applyNumberFormat="1" applyFont="1" applyBorder="1" applyAlignment="1" applyProtection="1">
      <alignment horizontal="left"/>
    </xf>
    <xf numFmtId="164" fontId="2" fillId="0" borderId="7" xfId="1" applyNumberFormat="1" applyFont="1" applyBorder="1" applyAlignment="1" applyProtection="1">
      <alignment horizontal="center"/>
    </xf>
    <xf numFmtId="2" fontId="2" fillId="0" borderId="7" xfId="1" applyNumberFormat="1" applyFont="1" applyBorder="1" applyAlignment="1" applyProtection="1">
      <alignment horizontal="right"/>
    </xf>
    <xf numFmtId="2" fontId="2" fillId="0" borderId="7" xfId="1" applyNumberFormat="1" applyFont="1" applyBorder="1" applyAlignment="1" applyProtection="1">
      <alignment horizontal="center"/>
    </xf>
    <xf numFmtId="166" fontId="0" fillId="0" borderId="7" xfId="0" applyNumberFormat="1" applyBorder="1"/>
    <xf numFmtId="0" fontId="0" fillId="0" borderId="7" xfId="0" quotePrefix="1" applyBorder="1"/>
    <xf numFmtId="0" fontId="2" fillId="0" borderId="8" xfId="1" applyFont="1" applyBorder="1" applyAlignment="1" applyProtection="1">
      <alignment horizontal="left"/>
    </xf>
    <xf numFmtId="2" fontId="2" fillId="0" borderId="1" xfId="1" applyNumberFormat="1" applyFont="1" applyBorder="1" applyAlignment="1" applyProtection="1">
      <alignment horizontal="left" vertical="center"/>
    </xf>
    <xf numFmtId="0" fontId="4" fillId="3" borderId="9" xfId="1" applyFont="1" applyFill="1" applyBorder="1" applyAlignment="1" applyProtection="1">
      <alignment horizontal="center" vertical="top"/>
    </xf>
    <xf numFmtId="0" fontId="0" fillId="0" borderId="1" xfId="0" applyBorder="1"/>
    <xf numFmtId="10" fontId="2" fillId="0" borderId="7" xfId="1" applyNumberFormat="1" applyFont="1" applyBorder="1" applyAlignment="1" applyProtection="1">
      <alignment horizontal="left"/>
    </xf>
    <xf numFmtId="2" fontId="2" fillId="0" borderId="7" xfId="1" applyNumberFormat="1" applyFont="1" applyBorder="1" applyAlignment="1" applyProtection="1">
      <alignment horizontal="left" vertical="center"/>
    </xf>
    <xf numFmtId="0" fontId="0" fillId="0" borderId="7" xfId="0" applyBorder="1"/>
    <xf numFmtId="0" fontId="6" fillId="0" borderId="0" xfId="3" applyAlignment="1">
      <alignment horizontal="left" vertical="center" wrapText="1" indent="1"/>
    </xf>
    <xf numFmtId="0" fontId="7" fillId="0" borderId="0" xfId="0" applyFont="1" applyFill="1" applyBorder="1" applyAlignment="1">
      <alignment vertical="top" wrapText="1"/>
    </xf>
    <xf numFmtId="0" fontId="0" fillId="0" borderId="0" xfId="0" pivotButton="1" applyAlignment="1">
      <alignment vertical="top"/>
    </xf>
    <xf numFmtId="0" fontId="0" fillId="0" borderId="0" xfId="0" applyAlignment="1">
      <alignment horizontal="lef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4" fillId="3" borderId="12" xfId="1" applyFont="1" applyFill="1" applyBorder="1" applyAlignment="1" applyProtection="1">
      <alignment horizontal="center" vertical="top"/>
    </xf>
    <xf numFmtId="0" fontId="4" fillId="3" borderId="12" xfId="1" applyFont="1" applyFill="1" applyBorder="1" applyAlignment="1" applyProtection="1">
      <alignment horizontal="left" vertical="top"/>
    </xf>
    <xf numFmtId="0" fontId="7" fillId="0" borderId="12" xfId="0" applyFont="1" applyFill="1" applyBorder="1" applyAlignment="1"/>
    <xf numFmtId="10" fontId="2" fillId="0" borderId="12" xfId="1" applyNumberFormat="1" applyFont="1" applyBorder="1" applyAlignment="1" applyProtection="1">
      <alignment horizontal="left"/>
    </xf>
    <xf numFmtId="164" fontId="2" fillId="0" borderId="12" xfId="1" applyNumberFormat="1" applyFont="1" applyBorder="1" applyAlignment="1" applyProtection="1">
      <alignment horizontal="left"/>
    </xf>
    <xf numFmtId="164" fontId="2" fillId="0" borderId="12" xfId="1" applyNumberFormat="1" applyFont="1" applyBorder="1" applyAlignment="1" applyProtection="1">
      <alignment horizontal="center"/>
    </xf>
    <xf numFmtId="2" fontId="2" fillId="0" borderId="12" xfId="1" applyNumberFormat="1" applyFont="1" applyBorder="1" applyAlignment="1" applyProtection="1">
      <alignment horizontal="right"/>
    </xf>
    <xf numFmtId="2" fontId="2" fillId="0" borderId="12" xfId="1" applyNumberFormat="1" applyFont="1" applyBorder="1" applyAlignment="1" applyProtection="1">
      <alignment horizontal="center"/>
    </xf>
    <xf numFmtId="166" fontId="0" fillId="0" borderId="12" xfId="0" applyNumberFormat="1" applyBorder="1"/>
    <xf numFmtId="0" fontId="0" fillId="0" borderId="12" xfId="0" quotePrefix="1" applyBorder="1"/>
    <xf numFmtId="0" fontId="2" fillId="0" borderId="12" xfId="1" applyFont="1" applyBorder="1" applyAlignment="1" applyProtection="1">
      <alignment horizontal="left"/>
    </xf>
    <xf numFmtId="0" fontId="2" fillId="0" borderId="12" xfId="1" applyFont="1" applyBorder="1" applyProtection="1"/>
    <xf numFmtId="0" fontId="1" fillId="2" borderId="12" xfId="1" applyFont="1" applyFill="1" applyBorder="1" applyAlignment="1">
      <alignment vertical="top"/>
    </xf>
    <xf numFmtId="2" fontId="1" fillId="2" borderId="12" xfId="1" applyNumberFormat="1" applyFont="1" applyFill="1" applyBorder="1"/>
    <xf numFmtId="0" fontId="1" fillId="2" borderId="12" xfId="1" applyFont="1" applyFill="1" applyBorder="1"/>
    <xf numFmtId="0" fontId="1" fillId="0" borderId="12" xfId="1" applyFont="1" applyBorder="1" applyAlignment="1">
      <alignment vertical="top"/>
    </xf>
    <xf numFmtId="2" fontId="0" fillId="0" borderId="12" xfId="1" applyNumberFormat="1" applyFont="1" applyBorder="1"/>
    <xf numFmtId="164" fontId="0" fillId="0" borderId="12" xfId="1" applyNumberFormat="1" applyFont="1" applyBorder="1"/>
    <xf numFmtId="10" fontId="0" fillId="0" borderId="12" xfId="1" applyNumberFormat="1" applyFont="1" applyBorder="1"/>
    <xf numFmtId="165" fontId="0" fillId="0" borderId="12" xfId="1" applyNumberFormat="1" applyFont="1" applyBorder="1"/>
    <xf numFmtId="0" fontId="0" fillId="0" borderId="12" xfId="1" applyFont="1" applyBorder="1"/>
    <xf numFmtId="0" fontId="8" fillId="0" borderId="12" xfId="0" applyFont="1" applyFill="1" applyBorder="1" applyAlignment="1">
      <alignment vertical="top"/>
    </xf>
    <xf numFmtId="10" fontId="2" fillId="0" borderId="12" xfId="1" applyNumberFormat="1" applyFont="1" applyBorder="1" applyAlignment="1" applyProtection="1">
      <alignment horizontal="right"/>
    </xf>
    <xf numFmtId="2" fontId="2" fillId="0" borderId="12" xfId="1" applyNumberFormat="1" applyFont="1" applyBorder="1" applyAlignment="1" applyProtection="1">
      <alignment horizontal="left"/>
    </xf>
    <xf numFmtId="0" fontId="4" fillId="3" borderId="13" xfId="1" applyFont="1" applyFill="1" applyBorder="1" applyAlignment="1" applyProtection="1">
      <alignment horizontal="center" vertical="top"/>
    </xf>
    <xf numFmtId="0" fontId="4" fillId="3" borderId="14" xfId="1" applyFont="1" applyFill="1" applyBorder="1" applyAlignment="1" applyProtection="1">
      <alignment horizontal="right" vertical="center"/>
    </xf>
    <xf numFmtId="0" fontId="4" fillId="3" borderId="14" xfId="1" applyFont="1" applyFill="1" applyBorder="1" applyAlignment="1" applyProtection="1">
      <alignment horizontal="center" vertical="top"/>
    </xf>
    <xf numFmtId="0" fontId="4" fillId="3" borderId="15" xfId="1" applyFont="1" applyFill="1" applyBorder="1" applyAlignment="1" applyProtection="1">
      <alignment horizontal="center" vertical="top"/>
    </xf>
    <xf numFmtId="0" fontId="3" fillId="5" borderId="16" xfId="1" applyFont="1" applyFill="1" applyBorder="1" applyAlignment="1" applyProtection="1">
      <alignment horizontal="left"/>
    </xf>
    <xf numFmtId="0" fontId="2" fillId="0" borderId="17" xfId="1" applyFont="1" applyBorder="1" applyAlignment="1" applyProtection="1">
      <alignment horizontal="left"/>
    </xf>
    <xf numFmtId="0" fontId="2" fillId="0" borderId="17" xfId="1" applyFont="1" applyBorder="1" applyProtection="1"/>
    <xf numFmtId="0" fontId="3" fillId="5" borderId="18" xfId="1" applyFont="1" applyFill="1" applyBorder="1" applyAlignment="1" applyProtection="1">
      <alignment horizontal="left"/>
    </xf>
    <xf numFmtId="10" fontId="2" fillId="0" borderId="19" xfId="1" applyNumberFormat="1" applyFont="1" applyBorder="1" applyAlignment="1" applyProtection="1">
      <alignment horizontal="right"/>
    </xf>
    <xf numFmtId="164" fontId="2" fillId="0" borderId="19" xfId="1" applyNumberFormat="1" applyFont="1" applyBorder="1" applyAlignment="1" applyProtection="1">
      <alignment horizontal="left"/>
    </xf>
    <xf numFmtId="164" fontId="2" fillId="0" borderId="19" xfId="1" applyNumberFormat="1" applyFont="1" applyBorder="1" applyAlignment="1" applyProtection="1">
      <alignment horizontal="center"/>
    </xf>
    <xf numFmtId="2" fontId="2" fillId="0" borderId="19" xfId="1" applyNumberFormat="1" applyFont="1" applyBorder="1" applyAlignment="1" applyProtection="1">
      <alignment horizontal="left"/>
    </xf>
    <xf numFmtId="2" fontId="2" fillId="0" borderId="19" xfId="1" applyNumberFormat="1" applyFont="1" applyBorder="1" applyAlignment="1" applyProtection="1">
      <alignment horizontal="center"/>
    </xf>
    <xf numFmtId="166" fontId="0" fillId="0" borderId="19" xfId="0" applyNumberFormat="1" applyBorder="1"/>
    <xf numFmtId="0" fontId="0" fillId="0" borderId="19" xfId="0" quotePrefix="1" applyBorder="1"/>
    <xf numFmtId="0" fontId="2" fillId="0" borderId="20" xfId="1" applyFont="1" applyBorder="1" applyProtection="1"/>
    <xf numFmtId="0" fontId="7" fillId="0" borderId="0" xfId="0" applyFont="1" applyFill="1" applyBorder="1" applyAlignment="1"/>
  </cellXfs>
  <cellStyles count="4">
    <cellStyle name="Hyperlink" xfId="3" builtinId="8"/>
    <cellStyle name="Normal" xfId="0" builtinId="0"/>
    <cellStyle name="Normal 2" xfId="2" xr:uid="{A5AFC7B0-4C76-4135-A09E-CE0A0B41DE7E}"/>
    <cellStyle name="Total" xfId="1"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ichStyles" Target="richData/richStyles.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1.xml"/><Relationship Id="rId10" Type="http://schemas.openxmlformats.org/officeDocument/2006/relationships/worksheet" Target="worksheets/sheet10.xml"/><Relationship Id="rId19"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alcChain" Target="calcChain.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542">
  <rv s="0">
    <v>https://www.bing.com/financeapi/forcetrigger?t=ahgq1h&amp;q=XNSE%3aAARTIIND&amp;form=skydnc</v>
    <v>Learn more on Bing</v>
  </rv>
  <rv s="1">
    <v>en-US</v>
    <v>ahgq1h</v>
    <v>268435456</v>
    <v>1</v>
    <v>Powered by Refinitiv</v>
    <v>0</v>
    <v>AARTI INDUSTRIES LTD (XNSE:AARTIIND)</v>
    <v>2</v>
    <v>3</v>
    <v>Finance</v>
    <v>4</v>
    <v>495</v>
    <v>344.2</v>
    <v>1.5134000000000001</v>
    <v>-3.3</v>
    <v>-8.6909999999999991E-3</v>
    <v>INR</v>
    <v>Aarti Industries Limited is an India-based company, which is engaged in manufacturing and dealing in specialty chemicals and intermediates. The Company manufactures Benzene and Toluene-based downstream derivatives and Sulfuric acid products. It specializes in a range of chemical processes, which include Ammonolysis, Chlorination, Diazotization, Halex (Fluorination), Hydrogenation, and Nitration. The Company operates through the Specialty Chemicals segment. Its products category includes basic chemicals, agrochemicals, specialty chemicals, and intermediates. Its specialty chemical intermediates are used in manufacturing agri-products, polymers, additives, dyes and pigments, pharmaceuticals, energy applications, rubber chemicals, and home and personal care (FMCG) chemicals. The Company caters to both domestic and global markets, including the United States of America (USA), Europe, Asia, and others. It operates approximately 16 manufacturing facilities.</v>
    <v>5868</v>
    <v>National Stock Exchange of India</v>
    <v>XNSE</v>
    <v>XNSE</v>
    <v>4th Floor, Tower C, Embassy 247 Park, Gandhi Nagar, Vikhroli West, MUMBAI, MAHARASHTRA, 400083 IN</v>
    <v>382.8</v>
    <v>Chemicals</v>
    <v>Stock</v>
    <v>46017.49287037037</v>
    <v>0</v>
    <v>375.55</v>
    <v>136480300000</v>
    <v>AARTI INDUSTRIES LTD</v>
    <v>AARTI INDUSTRIES LTD</v>
    <v>377.85</v>
    <v>47.36</v>
    <v>379.7</v>
    <v>376.4</v>
    <v>362593900</v>
    <v>AARTIIND</v>
    <v>AARTI INDUSTRIES LTD (XNSE:AARTIIND)</v>
    <v>283089</v>
    <v>1541160</v>
    <v>1984</v>
  </rv>
  <rv s="2">
    <v>1</v>
  </rv>
  <rv s="3">
    <v>en-US</v>
    <v>c8nmsm</v>
    <v>268435456</v>
    <v>1</v>
    <v>Powered by Refinitiv</v>
    <v>5</v>
    <v>AARTI PHARMALABS LIMITED (XNSE:AARTIPHARM)</v>
    <v>6</v>
    <v>7</v>
    <v>Finance</v>
    <v>4</v>
    <v>971</v>
    <v>559.9</v>
    <v>-17.3</v>
    <v>-2.2768999999999998E-2</v>
    <v>INR</v>
    <v>Aarti Pharmalabs Limited is engaged in the manufacturing of active pharmaceutical ingredients (APIs), advanced intermediates, and xanthine derivatives, based in India. The Company also offers comprehensive contract development and manufacturing organization (CDMO) and CMO services for drug substances and new chemical entities (NCE), including their key starting materials (KSM) and regulatory starting materials (RSM), serving various pharmaceutical companies worldwide with a focus on the Ph-I/II/III, launch, and commercial phases. It has dedicated facilities for the production of HPAPIs, corticosteroids, cytotoxic medicines, and oncology products. Its caffeine products include caffeine anhydrous, and caffeine anhydrous (granules). Its range of API products include Ramipril, Quinapril HCL, Budesonide, Bambuterol HCL, Apixaban, Rivaroxaban, Cinacalcet and others. Its products are exported to key regulated markets such as the United States (US), the European Union, and Japan.</v>
    <v>2163</v>
    <v>National Stock Exchange of India</v>
    <v>XNSE</v>
    <v>XNSE</v>
    <v>2nd Floor, 204, Udyog Kshetra, Mulund - Goregaon Link Rd, Mulund (W), MUMBAI, MAHARASHTRA, 400080 IN</v>
    <v>759.8</v>
    <v>Pharmaceuticals</v>
    <v>Stock</v>
    <v>46017.49287037037</v>
    <v>740.6</v>
    <v>68873810000</v>
    <v>AARTI PHARMALABS LIMITED</v>
    <v>AARTI PHARMALABS LIMITED</v>
    <v>759</v>
    <v>28.0718</v>
    <v>759.8</v>
    <v>742.5</v>
    <v>90647290</v>
    <v>AARTIPHARM</v>
    <v>AARTI PHARMALABS LIMITED (XNSE:AARTIPHARM)</v>
    <v>84197</v>
    <v>172680</v>
    <v>2019</v>
  </rv>
  <rv s="2">
    <v>3</v>
  </rv>
  <rv s="0">
    <v>https://www.bing.com/financeapi/forcetrigger?t=ahgqcw&amp;q=XNSE%3aABB&amp;form=skydnc</v>
    <v>Learn more on Bing</v>
  </rv>
  <rv s="1">
    <v>en-US</v>
    <v>ahgqcw</v>
    <v>268435456</v>
    <v>1</v>
    <v>Powered by Refinitiv</v>
    <v>0</v>
    <v>ABB India Limited (XNSE:ABB)</v>
    <v>2</v>
    <v>3</v>
    <v>Finance</v>
    <v>4</v>
    <v>7056</v>
    <v>4684.45</v>
    <v>1.1482000000000001</v>
    <v>-32</v>
    <v>-6.136E-3</v>
    <v>INR</v>
    <v>ABB India Limited is an India-based technology company that is focused on electrification and automation. The Company's segments include Robotics and Discrete Automation, Motion, Electrification, and Process Automation. Robotics and Discrete Automation segment provides value-added solutions in robotics, machine and factory automation. Motion segment provides products, solutions and related services that improve industrial productivity and energy efficiency. Its motors, generators and drives provide power, motion and control for a wide range of automation applications. Electrification segment provides technology across the full electrical value chain from substation to the point of consumption. Process Automation segment provides products, systems and services designed to optimize the productivity of industrial processes. Its solutions include turnkey engineering, control systems, measurement products, life cycle services, outsourced maintenance and industry specific products.</v>
    <v>3625</v>
    <v>National Stock Exchange of India</v>
    <v>XNSE</v>
    <v>XNSE</v>
    <v>Disha, Corporate Office, 3rd Floor, Plot No. 5 &amp; 6, 2nd Stage, Peenya Industrial Area IV, Peenya, BANGALORE, KARNATAKA, 560058 IN</v>
    <v>5244.5</v>
    <v>Machinery, Equipment &amp; Components</v>
    <v>Stock</v>
    <v>46017.49287037037</v>
    <v>5</v>
    <v>5164.5</v>
    <v>1098321000000</v>
    <v>ABB India Limited</v>
    <v>ABB India Limited</v>
    <v>5215</v>
    <v>62.54</v>
    <v>5215</v>
    <v>5183</v>
    <v>211908400</v>
    <v>ABB</v>
    <v>ABB India Limited (XNSE:ABB)</v>
    <v>54254</v>
    <v>169590</v>
    <v>1949</v>
  </rv>
  <rv s="2">
    <v>6</v>
  </rv>
  <rv s="0">
    <v>https://www.bing.com/financeapi/forcetrigger?t=ahgr3m&amp;q=XNSE%3aADANIENT&amp;form=skydnc</v>
    <v>Learn more on Bing</v>
  </rv>
  <rv s="1">
    <v>en-US</v>
    <v>ahgr3m</v>
    <v>268435456</v>
    <v>1</v>
    <v>Powered by Refinitiv</v>
    <v>0</v>
    <v>ADANI ENTERPRISES LIMITED (XNSE:ADANIENT)</v>
    <v>2</v>
    <v>3</v>
    <v>Finance</v>
    <v>4</v>
    <v>2612.7600000000002</v>
    <v>1964.71</v>
    <v>1.5269999999999999</v>
    <v>7.2</v>
    <v>3.2390000000000001E-3</v>
    <v>INR</v>
    <v>Adani Enterprises Limited is an India-based integrated infrastructure company that operates with various businesses spanning across integrated resource management, mining services and commercial mining, new energy ecosystem, data center, airports, roads, copper, digital, food Fast-Moving Consumer Goods (FMCG) and others. Its segments include integrated resources management, mining services, commercial mining, new energy ecosystem, airport, road, and others. The Integrated Resources Management provides end-to-end procurement and logistics services. The Mining segment includes mining service contracts for nine coal blocks with a capacity of approximately 100 plus millinewton (Mn) metric tons per annum. The Airport segment is engaged in the construction, operations, and maintenance of airports. The New Energy Ecosystem provides cell and module manufacturing. The Road segment is engaged in the construction, operations, and maintenance of road assets. It also operates in duty free business.</v>
    <v>11571</v>
    <v>National Stock Exchange of India</v>
    <v>XNSE</v>
    <v>XNSE</v>
    <v>Adani House, Shrimali Society, Nr. Mithakhali Circle, Navrangpura, AHMEDABAD, GUJARAT, 380009 IN</v>
    <v>2250.9</v>
    <v>Diversified Industrial Goods Wholesale</v>
    <v>Stock</v>
    <v>46017.49287037037</v>
    <v>8</v>
    <v>2218</v>
    <v>2751211000000</v>
    <v>ADANI ENTERPRISES LIMITED</v>
    <v>ADANI ENTERPRISES LIMITED</v>
    <v>2229.3000000000002</v>
    <v>31.34</v>
    <v>2222.6999999999998</v>
    <v>2229.9</v>
    <v>1292682000</v>
    <v>ADANIENT</v>
    <v>ADANI ENTERPRISES LIMITED (XNSE:ADANIENT)</v>
    <v>566237</v>
    <v>759150</v>
    <v>1993</v>
  </rv>
  <rv s="2">
    <v>9</v>
  </rv>
  <rv s="0">
    <v>https://www.bing.com/financeapi/forcetrigger?t=b1d2yc&amp;q=XNSE%3aADANIGREEN&amp;form=skydnc</v>
    <v>Learn more on Bing</v>
  </rv>
  <rv s="1">
    <v>en-US</v>
    <v>b1d2yc</v>
    <v>268435456</v>
    <v>1</v>
    <v>Powered by Refinitiv</v>
    <v>0</v>
    <v>ADANI GREEN ENERGY LIMITED (XNSE:ADANIGREEN)</v>
    <v>2</v>
    <v>3</v>
    <v>Finance</v>
    <v>4</v>
    <v>1177.55</v>
    <v>758</v>
    <v>2.1970999999999998</v>
    <v>3.1</v>
    <v>3.0539999999999999E-3</v>
    <v>INR</v>
    <v>Adani Green Energy Limited is an India-based renewable energy company. The Company has a presence across 12 states of India, focusing on solar, wind and hybrid (solar wind) renewable power generation. It operates through two segments: renewable power generation and other related ancillary activities and sale of solar power equipments. The sale of solar power equipments segment comprises of an associate, Mundra Solar Energy Limited. The Company sells renewable power generated from its projects under a combination of long-term power purchase agreements (PPA) and on merchant basis and other ancillary activities. It is also developing solar park at khavda, Gujarat over 19,000 hectares and subleased 6,129 hectares land to its subsidiaries including step down subsidiaries and other related parties. Its locked-in renewable energy portfolio stands at approximately 21,953 megawatt (MW) (10,934 MW operational and 11,019 MW under execution) and another 500 MW of hydro pumped storage project.</v>
    <v>1247</v>
    <v>National Stock Exchange of India</v>
    <v>XNSE</v>
    <v>XNSE</v>
    <v>Adani Corporate House, Shantigram,, Nr. Vaishno Devi Circle, S G Highway, Khodiyar, AHMEDABAD, GUJARAT, 382421 IN</v>
    <v>1027</v>
    <v>Electrical Utilities &amp; IPPs</v>
    <v>Stock</v>
    <v>46017.49287037037</v>
    <v>11</v>
    <v>1011.5</v>
    <v>1671884000000</v>
    <v>ADANI GREEN ENERGY LIMITED</v>
    <v>ADANI GREEN ENERGY LIMITED</v>
    <v>1015</v>
    <v>85.2</v>
    <v>1015</v>
    <v>1018.1</v>
    <v>1647176000</v>
    <v>ADANIGREEN</v>
    <v>ADANI GREEN ENERGY LIMITED (XNSE:ADANIGREEN)</v>
    <v>834022</v>
    <v>1918920</v>
    <v>2015</v>
  </rv>
  <rv s="2">
    <v>12</v>
  </rv>
  <rv s="0">
    <v>https://www.bing.com/financeapi/forcetrigger?t=br7hhw&amp;q=XNSE%3aAFFLE&amp;form=skydnc</v>
    <v>Learn more on Bing</v>
  </rv>
  <rv s="1">
    <v>en-US</v>
    <v>br7hhw</v>
    <v>268435456</v>
    <v>1</v>
    <v>Powered by Refinitiv</v>
    <v>0</v>
    <v>Affle 3i Limited (XNSE:AFFLE)</v>
    <v>2</v>
    <v>3</v>
    <v>Finance</v>
    <v>4</v>
    <v>2185.9</v>
    <v>1246</v>
    <v>1.2896000000000001</v>
    <v>1.3</v>
    <v>7.3010000000000002E-4</v>
    <v>INR</v>
    <v>Affle 3i Ltd, formerly Affle (India) Limited, is a global technology company with consumer intelligence platform that delivers consumer recommendations and conversions through relevant mobile advertising. Its solutions include Discover &amp; Identify, Acquire &amp; Engage, Re-Engage &amp; Transact, and Digital Transformation.</v>
    <v>618</v>
    <v>National Stock Exchange of India</v>
    <v>XNSE</v>
    <v>XNSE</v>
    <v>8th floor, Unitech Commercial Tower - 2, Sector - 45, GURGAON, HARYANA, 122003 IN</v>
    <v>1786.2</v>
    <v>Media &amp; Publishing</v>
    <v>Stock</v>
    <v>46017.49287037037</v>
    <v>14</v>
    <v>1748</v>
    <v>250461500000</v>
    <v>Affle 3i Limited</v>
    <v>Affle 3i Limited</v>
    <v>1776</v>
    <v>59.55</v>
    <v>1780.6</v>
    <v>1781.9</v>
    <v>140558700</v>
    <v>AFFLE</v>
    <v>Affle 3i Limited (XNSE:AFFLE)</v>
    <v>120863</v>
    <v>252570</v>
    <v>1994</v>
  </rv>
  <rv s="2">
    <v>15</v>
  </rv>
  <rv s="0">
    <v>https://www.bing.com/financeapi/forcetrigger?t=c1bvcw&amp;q=XNSE%3aANURAS&amp;form=skydnc</v>
    <v>Learn more on Bing</v>
  </rv>
  <rv s="1">
    <v>en-US</v>
    <v>c1bvcw</v>
    <v>268435456</v>
    <v>1</v>
    <v>Powered by Refinitiv</v>
    <v>0</v>
    <v>ANUPAM RASAYAN INDIA LIMITED (XNSE:ANURAS)</v>
    <v>2</v>
    <v>3</v>
    <v>Finance</v>
    <v>4</v>
    <v>1346</v>
    <v>601</v>
    <v>1.3512999999999999</v>
    <v>-0.2</v>
    <v>-1.5139999999999999E-4</v>
    <v>INR</v>
    <v>Anupam Rasayan India Ltd. is an India-based company, which is engaged in the custom synthesis (CSM) and manufacturing of specialty chemicals. The Company's segments include Life Science related Specialty Chemicals and Other Specialty Chemicals. The Life Science related Specialty Chemicals segment includes agrochemicals (including crop protection), personal care, and pharmaceuticals businesses. Its agrochemicals business includes manufacturing agro intermediates and active ingredients, such as insecticides, fungicides, herbicides and plant growth regulators. Its personal care business manufactures antibacterial and ultraviolet protection intermediates. Its pharmaceuticals business develops intermediates and key starting materials for active pharmaceutical ingredients used in therapeutic segments, including cardiovascular and antidiabetic. The Other Specialty Chemicals segment includes specialty pigments, specialty dyes, and polymer additives. It caters to Indian and global customers.</v>
    <v>2606</v>
    <v>National Stock Exchange of India</v>
    <v>XNSE</v>
    <v>XNSE</v>
    <v>8110, Sachin G.I.D.C. Estate, SURAT, GUJARAT, 394230 IN</v>
    <v>1329.2</v>
    <v>Chemicals</v>
    <v>Stock</v>
    <v>46017.49287037037</v>
    <v>17</v>
    <v>1308.5999999999999</v>
    <v>150370800000</v>
    <v>ANUPAM RASAYAN INDIA LIMITED</v>
    <v>ANUPAM RASAYAN INDIA LIMITED</v>
    <v>1329.2</v>
    <v>96.72</v>
    <v>1321</v>
    <v>1320.8</v>
    <v>113848300</v>
    <v>ANURAS</v>
    <v>ANUPAM RASAYAN INDIA LIMITED (XNSE:ANURAS)</v>
    <v>379653</v>
    <v>398400</v>
    <v>2003</v>
  </rv>
  <rv s="2">
    <v>18</v>
  </rv>
  <rv s="0">
    <v>https://www.bing.com/financeapi/forcetrigger?t=ahguzr&amp;q=XNSE%3aAMARAJABAT&amp;form=skydnc</v>
    <v>Learn more on Bing</v>
  </rv>
  <rv s="1">
    <v>en-US</v>
    <v>ahguzr</v>
    <v>268435456</v>
    <v>1</v>
    <v>Powered by Refinitiv</v>
    <v>0</v>
    <v>AMARA RAJA ENERGY &amp; MOBILITY LIMITED (XNSE:ARE&amp;M)</v>
    <v>2</v>
    <v>3</v>
    <v>Finance</v>
    <v>4</v>
    <v>1242</v>
    <v>832.3</v>
    <v>1.1175999999999999</v>
    <v>-4.95</v>
    <v>-5.3490000000000005E-3</v>
    <v>INR</v>
    <v>Amara Raja Energy &amp; Mobility Limited is an India-based manufacturer of lead-acid storage batteries for industrial and automotive applications in India and allied activities. The Company's products are exported to various countries in the Indian Ocean Rim. The Group also provides installation, commissioning and maintenance services. The automotive and industrial battery brands of the Company are Amaron, PowerZone, Power Stack, AmaronVolt and Quanta. The Company is also engaged in the business of developing and manufacturing energy storage and management products, solutions and technologies related to lithium cells or other advanced cell chemistries (ACC), battery packs and components like chargers etc. Its products include AMARON SLEEK, AMARON VOLT, AMARON QUANTA, and AMARON Quanta S-XEL. It provides Li-ion cells, battery packs and charging solutions for light electric vehicles and the telecom industry. Its applications include telecom, solar, railway, and defense.</v>
    <v>10240</v>
    <v>National Stock Exchange of India</v>
    <v>XNSE</v>
    <v>XNSE</v>
    <v>1-18/1/AMR/NR, Nanakramguda, Gachibowli, HYDERABAD, TELANGANA, 500032 IN</v>
    <v>927.5</v>
    <v>Machinery, Equipment &amp; Components</v>
    <v>Stock</v>
    <v>46017.49287037037</v>
    <v>20</v>
    <v>919.1</v>
    <v>169362500000</v>
    <v>AMARA RAJA ENERGY &amp; MOBILITY LIMITED</v>
    <v>AMARA RAJA ENERGY &amp; MOBILITY LIMITED</v>
    <v>925.35</v>
    <v>18.6938</v>
    <v>925.35</v>
    <v>920.4</v>
    <v>183025400</v>
    <v>ARE&amp;M</v>
    <v>AMARA RAJA ENERGY &amp; MOBILITY LIMITED (XNSE:ARE&amp;M)</v>
    <v>150785</v>
    <v>200180</v>
    <v>1985</v>
  </rv>
  <rv s="2">
    <v>21</v>
  </rv>
  <rv s="0">
    <v>https://www.bing.com/financeapi/forcetrigger?t=ahgyww&amp;q=XNSE%3aASHOKA&amp;form=skydnc</v>
    <v>Learn more on Bing</v>
  </rv>
  <rv s="1">
    <v>en-US</v>
    <v>ahgyww</v>
    <v>268435456</v>
    <v>1</v>
    <v>Powered by Refinitiv</v>
    <v>0</v>
    <v>ASHOKA BUILDCON LIMITED (XNSE:ASHOKA)</v>
    <v>2</v>
    <v>3</v>
    <v>Finance</v>
    <v>4</v>
    <v>319</v>
    <v>159.22999999999999</v>
    <v>1.1354</v>
    <v>-1.78</v>
    <v>-1.0337000000000001E-2</v>
    <v>INR</v>
    <v>Ashoka Buildcon Limited is an India-based highway developer. The Company is engaged in the engineering, procurement and construction (EPC), build-operate-transfer (BOT), and hybrid annuity mode (HAM) businesses. Its segments include Construction &amp; Contract, BOT/Annuity Projects and Sale of Goods. The Construction &amp; Contract segment includes engineering, procurement and construction activity for road, rail and power projects. The BOT/Annuity Projects segment includes toll collection and hybrid annuity road projects. The Sale of Goods segment includes the sale of ready-mix concrete, real estate, and city gas distribution. Its verticals include highways and bridges, power, railways, buildings, city gas distribution, and water. Its water vertical includes the designing and construction of modular Sewage Treatment Plants. Its projects include the 8 Lane Extra Dosed Cable Stayed Bridge, Eastern Peripheral Expressway, Mopa Airport Link Project, Goa, and Railway Over Bridge.</v>
    <v>2474</v>
    <v>National Stock Exchange of India</v>
    <v>XNSE</v>
    <v>XNSE</v>
    <v>S.No. 861, Ashoka House, Ashoka Marg, Vadala, NASHIK, MAHARASHTRA, 422011 IN</v>
    <v>173.39</v>
    <v>Construction &amp; Engineering</v>
    <v>Stock</v>
    <v>46017.49287037037</v>
    <v>23</v>
    <v>170.07</v>
    <v>48337730000</v>
    <v>ASHOKA BUILDCON LIMITED</v>
    <v>ASHOKA BUILDCON LIMITED</v>
    <v>172.19</v>
    <v>3.0464000000000002</v>
    <v>172.19</v>
    <v>170.41</v>
    <v>280723200</v>
    <v>ASHOKA</v>
    <v>ASHOKA BUILDCON LIMITED (XNSE:ASHOKA)</v>
    <v>513713</v>
    <v>1089180</v>
    <v>1993</v>
  </rv>
  <rv s="2">
    <v>24</v>
  </rv>
  <rv s="0">
    <v>https://www.bing.com/financeapi/forcetrigger?t=ahgz6h&amp;q=XNSE%3aASIANPAINT&amp;form=skydnc</v>
    <v>Learn more on Bing</v>
  </rv>
  <rv s="1">
    <v>en-US</v>
    <v>ahgz6h</v>
    <v>268435456</v>
    <v>1</v>
    <v>Powered by Refinitiv</v>
    <v>0</v>
    <v>ASIAN PAINTS LIMITED (XNSE:ASIANPAINT)</v>
    <v>2</v>
    <v>3</v>
    <v>Finance</v>
    <v>4</v>
    <v>2985.7</v>
    <v>2124.75</v>
    <v>1.1806000000000001</v>
    <v>-39</v>
    <v>-1.4001E-2</v>
    <v>INR</v>
    <v>Asian Paints Limited is an India-based company, which is engaged in the business of manufacturing, selling and distribution of paints, coatings, products related to home decor, bath fittings and providing related services. The Company operates through the Paints and Home Decor segment. The Company manufactures paints, varnishes, enamels, and thinners. It also manufactures organic and inorganic chemical compounds; metal sanitary ware such as bath, sinks, washbasins and similar articles and cosmetics and toiletries. Its Home Decor business offers modular kitchens and wardrobes, bath fittings and sanitaryware, decorative lightnings, unplasticized polyvinyl chloride (uPVC) windows and doors, wall coverings, furniture, furnishing, and rugs. It offers a range of services, such as interior design service, safe painting service, wood solutions, waterproofing solutions, color consultancy online and contractor finder services.</v>
    <v>11111</v>
    <v>National Stock Exchange of India</v>
    <v>XNSE</v>
    <v>XNSE</v>
    <v>6A &amp; 6B, Shantinagar, Santacruz (East), MUMBAI, MAHARASHTRA, 400055 IN</v>
    <v>2794.4</v>
    <v>Chemicals</v>
    <v>Stock</v>
    <v>46017.49287037037</v>
    <v>26</v>
    <v>2743</v>
    <v>2632735000000</v>
    <v>ASIAN PAINTS LIMITED</v>
    <v>ASIAN PAINTS LIMITED</v>
    <v>2785</v>
    <v>68.540000000000006</v>
    <v>2785.5</v>
    <v>2746.5</v>
    <v>958578200</v>
    <v>ASIANPAINT</v>
    <v>ASIAN PAINTS LIMITED (XNSE:ASIANPAINT)</v>
    <v>532078</v>
    <v>1005820</v>
    <v>1945</v>
  </rv>
  <rv s="2">
    <v>27</v>
  </rv>
  <rv s="0">
    <v>https://www.bing.com/financeapi/forcetrigger?t=ahgznm&amp;q=XNSE%3aASTRAL&amp;form=skydnc</v>
    <v>Learn more on Bing</v>
  </rv>
  <rv s="1">
    <v>en-US</v>
    <v>ahgznm</v>
    <v>268435456</v>
    <v>1</v>
    <v>Powered by Refinitiv</v>
    <v>0</v>
    <v>ASTRAL LIMITED (XNSE:ASTRAL)</v>
    <v>2</v>
    <v>3</v>
    <v>Finance</v>
    <v>4</v>
    <v>1747.95</v>
    <v>1232.3</v>
    <v>1.0714999999999999</v>
    <v>-6.6</v>
    <v>-4.7260000000000002E-3</v>
    <v>INR</v>
    <v>Astral Limited is an India-based company engaged in the manufacturing of chlorinated polyvinyl chloride (CPVC) pipes and fittings. The Company operates in two segments: Plumbing and Paints and Adhesives. Its products and offerings include pipes and fittings, bathware, water tanks, paints, adhesives and sealants, specialized valves, construction chemicals, and infrastructure products. The pipes and fittings category includes plumbing pipes and fittings, sewerage and drainage pipes and fittings, agriculture pipes and fittings, cable protection systems, column pipes, conduit pipes, and others. Its paints range consists of interior emulsions, exterior emulsions, distempers, enamels, and undercoats. The adhesives and sealants segment includes epoxy adhesives and putty, rubber adhesives, anaerobic adhesives, tapes, instant adhesives, industrial adhesives, and other products. The Company’s subsidiaries include Astral Foundation, Seal It Services Limited, and Astral Coatings Private Limited.</v>
    <v>4652</v>
    <v>National Stock Exchange of India</v>
    <v>XNSE</v>
    <v>XNSE</v>
    <v>ASTRAL HOUSE 207/1, Bh. Rajpath Club, Off. S.G. Highway, AHMEDABAD, GUJARAT, 380059 IN</v>
    <v>1399.9</v>
    <v>Homebuilding &amp; Construction Supplies</v>
    <v>Stock</v>
    <v>46017.49287037037</v>
    <v>29</v>
    <v>1386</v>
    <v>375196800000</v>
    <v>ASTRAL LIMITED</v>
    <v>ASTRAL LIMITED</v>
    <v>1393.2</v>
    <v>73.268199999999993</v>
    <v>1396.6</v>
    <v>1390</v>
    <v>268650100</v>
    <v>ASTRAL</v>
    <v>ASTRAL LIMITED (XNSE:ASTRAL)</v>
    <v>246603</v>
    <v>464440</v>
    <v>1996</v>
  </rv>
  <rv s="2">
    <v>30</v>
  </rv>
  <rv s="0">
    <v>https://www.bing.com/financeapi/forcetrigger?t=ahh15r&amp;q=XNSE%3aATUL&amp;form=skydnc</v>
    <v>Learn more on Bing</v>
  </rv>
  <rv s="1">
    <v>en-US</v>
    <v>ahh15r</v>
    <v>268435456</v>
    <v>1</v>
    <v>Powered by Refinitiv</v>
    <v>0</v>
    <v>ATUL LIMITED (XNSE:ATUL)</v>
    <v>2</v>
    <v>3</v>
    <v>Finance</v>
    <v>4</v>
    <v>7788</v>
    <v>4752</v>
    <v>1.1146</v>
    <v>-6.5</v>
    <v>-1.0730000000000002E-3</v>
    <v>INR</v>
    <v>Atul Ltd is an India-based company, which is in the business of life science chemicals and performance, and other chemicals. It serves various industries across the world, such as adhesives, agriculture, animal feed, automobile, composites, construction, cosmetic, defense, dyestuff, electrical and electronics, flavor, food, footwear, fragrance, glass, home care, horticulture, hospitality, paint and coatings, paper, personal care, pharmaceutical, plastic, polymer, rubber, soap and detergent, sport and leisure, textile, tire, and wind energy. It operates through three segments: Life Science Chemicals, Performance and Other Chemicals, and Others. Its Life Science Chemicals segment offers active pharmaceutical ingredients (APIs), API intermediates, crop protection chemicals. Its Performance and Other Chemicals segment offers adhesion promoters, bulk chemicals, epoxy resins and hardeners, intermediates, and textile dyes. Its Others segment offers agribiotech, food products and services.</v>
    <v>3359</v>
    <v>National Stock Exchange of India</v>
    <v>XNSE</v>
    <v>XNSE</v>
    <v>Atul, GUJARAT, 396020 IN</v>
    <v>6095</v>
    <v>Chemicals</v>
    <v>Stock</v>
    <v>46017.49287037037</v>
    <v>32</v>
    <v>6010</v>
    <v>178269800000</v>
    <v>ATUL LIMITED</v>
    <v>ATUL LIMITED</v>
    <v>6059</v>
    <v>32.880000000000003</v>
    <v>6055</v>
    <v>6048.5</v>
    <v>29441760</v>
    <v>ATUL</v>
    <v>ATUL LIMITED (XNSE:ATUL)</v>
    <v>10575</v>
    <v>36320</v>
    <v>1975</v>
  </rv>
  <rv s="2">
    <v>33</v>
  </rv>
  <rv s="0">
    <v>https://www.bing.com/financeapi/forcetrigger?t=ahh1bh&amp;q=XNSE%3aAUBANK&amp;form=skydnc</v>
    <v>Learn more on Bing</v>
  </rv>
  <rv s="1">
    <v>en-US</v>
    <v>ahh1bh</v>
    <v>268435456</v>
    <v>1</v>
    <v>Powered by Refinitiv</v>
    <v>0</v>
    <v>AU SMALL FINANCE BANK LIMITED (XNSE:AUBANK)</v>
    <v>2</v>
    <v>3</v>
    <v>Finance</v>
    <v>4</v>
    <v>1007.25</v>
    <v>478.35</v>
    <v>1.0442</v>
    <v>0.9</v>
    <v>9.2399999999999991E-4</v>
    <v>INR</v>
    <v>AU Small Finance Bank Limited is an India-based non-deposit accepting non-banking financial company (NBFC-ND). The Company is engaged in providing a range of banking and financial services, including retail banking, wholesale banking and treasury operations and other services. Its segments include treasury, retail banking, wholesale banking, and other banking businesses. The treasury segment primarily consists of interest from investment portfolios, money market borrowing and lending. The retail banking segment include digital banking, and other retail banking. The wholesale banking segment provides loans and transaction services to large corporates, emerging corporates, public sector units, government bodies, financial institutions, and medium scale enterprises. Its personal banking includes savings account, salary account, and fixed deposits. It offers various types of loans, which include car loan, home loan, personal loan, tractor loan and others.</v>
    <v>50946</v>
    <v>National Stock Exchange of India</v>
    <v>XNSE</v>
    <v>XNSE</v>
    <v>Bank House, Mile 0, Ajmer Road,, JAIPUR, RAJASTHAN, 302001 IN</v>
    <v>982</v>
    <v>Banking Services</v>
    <v>Stock</v>
    <v>46017.49287037037</v>
    <v>35</v>
    <v>970</v>
    <v>727549200000</v>
    <v>AU SMALL FINANCE BANK LIMITED</v>
    <v>AU SMALL FINANCE BANK LIMITED</v>
    <v>974.05</v>
    <v>33.369999999999997</v>
    <v>974.05</v>
    <v>974.95</v>
    <v>746932100</v>
    <v>AUBANK</v>
    <v>AU SMALL FINANCE BANK LIMITED (XNSE:AUBANK)</v>
    <v>1470189</v>
    <v>1931570</v>
    <v>1996</v>
  </rv>
  <rv s="2">
    <v>36</v>
  </rv>
  <rv s="0">
    <v>https://www.bing.com/financeapi/forcetrigger?t=ahh1k2&amp;q=XNSE%3aAUROPHARMA&amp;form=skydnc</v>
    <v>Learn more on Bing</v>
  </rv>
  <rv s="1">
    <v>en-US</v>
    <v>ahh1k2</v>
    <v>268435456</v>
    <v>1</v>
    <v>Powered by Refinitiv</v>
    <v>0</v>
    <v>AUROBINDO PHARMA LTD (XNSE:AUROPHARMA)</v>
    <v>2</v>
    <v>3</v>
    <v>Finance</v>
    <v>4</v>
    <v>1356.2</v>
    <v>1010</v>
    <v>0.72829999999999995</v>
    <v>-5.2</v>
    <v>-4.2929999999999999E-3</v>
    <v>INR</v>
    <v>Aurobindo Pharma Limited is an India-based pharmaceutical company. The Company is principally engaged in manufacturing and marketing of active pharmaceutical ingredients, branded pharmaceuticals, generic pharmaceuticals, and related services. Its Key therapeutic segments include Central nervous systems (CNS), Antiretrovirals (ARVs), Cardiovascular (CVS), SSP - Orals and Sterile, Anti-infectives, Anti-diabetics and Cephalosporins - Orals. It is engaged in developing a range of oncology and hormonal products. It is developing topical as well as transdermal products in the dermatology therapeutic segment. The Company is marketing its products globally in approximately 150 countries. The Company's subsidiaries include APL Healthcare Limited, Auronext Pharma Private Limited, Auro Peptides Limited, APL Pharma Thai Limited, Auro Pharma Inc, Aurobindo Pharma (Malta) Limited, APL Swift Services (Malta) Limited, Aurobindo Pharma Industria Farmaceutica Ltda, and others.</v>
    <v>9107</v>
    <v>National Stock Exchange of India</v>
    <v>XNSE</v>
    <v>XNSE</v>
    <v>Galaxy, Floors: 22-24,, Plot No.1, Survey No.83/1,, Hyderabad Knowledge City, Raidurg Panmaktha, Ranga Reddy District,, HYDERABAD, TELANGANA, 500032 IN</v>
    <v>1220.9000000000001</v>
    <v>Pharmaceuticals</v>
    <v>Stock</v>
    <v>46017.49287037037</v>
    <v>38</v>
    <v>1203.8</v>
    <v>703583100000</v>
    <v>AUROBINDO PHARMA LTD</v>
    <v>AUROBINDO PHARMA LTD</v>
    <v>1213.7</v>
    <v>20.77</v>
    <v>1211.4000000000001</v>
    <v>1206.2</v>
    <v>580801600</v>
    <v>AUROPHARMA</v>
    <v>AUROBINDO PHARMA LTD (XNSE:AUROPHARMA)</v>
    <v>310348</v>
    <v>657340</v>
    <v>1986</v>
  </rv>
  <rv s="2">
    <v>39</v>
  </rv>
  <rv s="0">
    <v>https://www.bing.com/financeapi/forcetrigger?t=c53u52&amp;q=XNSE%3aAWL&amp;form=skydnc</v>
    <v>Learn more on Bing</v>
  </rv>
  <rv s="1">
    <v>en-US</v>
    <v>c53u52</v>
    <v>268435456</v>
    <v>1</v>
    <v>Powered by Refinitiv</v>
    <v>0</v>
    <v>AWL AGRI BUSINESS LIMITED (XNSE:AWL)</v>
    <v>2</v>
    <v>3</v>
    <v>Finance</v>
    <v>4</v>
    <v>337.05</v>
    <v>231.55</v>
    <v>0.72050000000000003</v>
    <v>0</v>
    <v>0</v>
    <v>INR</v>
    <v>AWL Agri Business Ltd. is an India-based Food &amp; FMCG company offering a diverse portfolio of essential kitchen staples, including edible oils, wheat flour, rice, pulses, and sugar. The Company's businesses consist of Edible Oil, Food &amp; FMCG, and Industry Essential. It also caters the hotel, restaurant, and catering (HoReCa) and institutional sectors, with staple food products, specialized bakery and Lauric fats, Castor Oil derivatives, Oleochemicals, and value-added Soya products. Its advanced castor oil facilities produce pharmaceutical-grade, and low-moisture castor oil, catering to global markets. Additionally, the Company has expanded into the Home &amp; Personal Care (HPC) segment, offering soaps, handwashes, and multipurpose cleaners. Its products are offered under Fortune, its flagship brand, as well as several masstige brands, including King's, Aadhar, Bullet, Raag, Alpha, Jubilee, Avsar, Golden Chef, and Fryola.</v>
    <v>2772</v>
    <v>National Stock Exchange of India</v>
    <v>XNSE</v>
    <v>XNSE</v>
    <v>Fortune House, Nr Navrangpura Railway Crossing, AHMEDABAD, GUJARAT, 380009 IN</v>
    <v>237.75</v>
    <v>Food &amp; Tobacco</v>
    <v>Stock</v>
    <v>46017.49287037037</v>
    <v>41</v>
    <v>235.5</v>
    <v>306917300000</v>
    <v>AWL AGRI BUSINESS LIMITED</v>
    <v>AWL AGRI BUSINESS LIMITED</v>
    <v>237.75</v>
    <v>28.34</v>
    <v>236.95</v>
    <v>236.95</v>
    <v>1295283000</v>
    <v>AWL</v>
    <v>AWL AGRI BUSINESS LIMITED (XNSE:AWL)</v>
    <v>1020301</v>
    <v>1357010</v>
    <v>1999</v>
  </rv>
  <rv s="2">
    <v>42</v>
  </rv>
  <rv s="0">
    <v>https://creativecommons.org/licenses/by-sa/4.0</v>
    <v>CC BY-SA 4.0</v>
  </rv>
  <rv s="0">
    <v>http://ja.wikipedia.org/wiki/バジャージ・オート</v>
    <v>Wikipedia</v>
  </rv>
  <rv s="4">
    <v>44</v>
    <v>45</v>
  </rv>
  <rv s="5">
    <v>12</v>
    <v>https://www.bing.com/th?id=AMMS_bf8c7b0a287214e88ed81aee6f721048&amp;qlt=95</v>
    <v>46</v>
    <v>0</v>
    <v>https://www.bing.com/images/search?form=xlimg&amp;q=bajaj+auto</v>
    <v>Image of BAJAJ AUTO LIMITED.</v>
  </rv>
  <rv s="0">
    <v>https://www.bing.com/financeapi/forcetrigger?t=ahh31h&amp;q=XNSE%3aBAJAJ-AUTO&amp;form=skydnc</v>
    <v>Learn more on Bing</v>
  </rv>
  <rv s="6">
    <v>en-US</v>
    <v>ahh31h</v>
    <v>268435456</v>
    <v>1</v>
    <v>Powered by Refinitiv</v>
    <v>8</v>
    <v>BAJAJ AUTO LIMITED. (XNSE:BAJAJ-AUTO)</v>
    <v>10</v>
    <v>11</v>
    <v>Finance</v>
    <v>4</v>
    <v>9490</v>
    <v>7089.35</v>
    <v>0.80889999999999995</v>
    <v>-105.5</v>
    <v>-1.1505000000000001E-2</v>
    <v>INR</v>
    <v>Bajaj Auto Limited is an India-based company, which is engaged in the business of the development, manufacturing, and distribution of automobiles, such as motorcycles, commercial vehicles, electric vehicles, and parts. It is a manufacturer of two-wheelers, three-wheelers, and quadri-cycles. The Company sells its products in India as well as in various other global markets. Its segments include Automotive, Investments, and Financing. The Automotive segment includes all activities related to the development, design, manufacture, assembly, and sale of two-wheelers/three-wheelers as well as the sale of related parts and accessories. Its motorcycles include Boxer, CT, Platina, Discover, Pulsar, Avenger, KTM, Dominar, Husqvarna, and KTM. Its commercial vehicles include Passenger Carriers, Good Carriers, and Quadricycle. Its three-wheeler vehicles include GoGo, RE, Maxima Z, Maxima X Wide, and Maxima C. Its subsidiaries include Bajaj Auto Credit Ltd., Chetak Technology Ltd., and others.</v>
    <v>5598</v>
    <v>National Stock Exchange of India</v>
    <v>XNSE</v>
    <v>XNSE</v>
    <v>Akurdi,, PUNE, MAHARASHTRA, 411035 IN</v>
    <v>9185.5</v>
    <v>47</v>
    <v>Automobiles &amp; Auto Parts</v>
    <v>Stock</v>
    <v>46017.49287037037</v>
    <v>48</v>
    <v>9052</v>
    <v>2562672000000</v>
    <v>BAJAJ AUTO LIMITED.</v>
    <v>BAJAJ AUTO LIMITED.</v>
    <v>9182.5</v>
    <v>30.73</v>
    <v>9170</v>
    <v>9064.5</v>
    <v>279462600</v>
    <v>BAJAJ-AUTO</v>
    <v>BAJAJ AUTO LIMITED. (XNSE:BAJAJ-AUTO)</v>
    <v>105815</v>
    <v>284970</v>
    <v>2007</v>
  </rv>
  <rv s="2">
    <v>49</v>
  </rv>
  <rv s="0">
    <v>https://www.bing.com/financeapi/forcetrigger?t=ahh3im&amp;q=XNSE%3aBAJFINANCE&amp;form=skydnc</v>
    <v>Learn more on Bing</v>
  </rv>
  <rv s="1">
    <v>en-US</v>
    <v>ahh3im</v>
    <v>268435456</v>
    <v>1</v>
    <v>Powered by Refinitiv</v>
    <v>0</v>
    <v>BAJAJ FINANCE LIMITED (XNSE:BAJFINANCE)</v>
    <v>2</v>
    <v>3</v>
    <v>Finance</v>
    <v>4</v>
    <v>1102.5</v>
    <v>678.28</v>
    <v>1.1956</v>
    <v>-11.7</v>
    <v>-1.1565000000000001E-2</v>
    <v>INR</v>
    <v>Bajaj Finance Ltd. is an India-based non-banking financial company (NBFC). The Company is mainly engaged in the business of lending and accepting deposits. It has a diversified lending portfolio across retail, small and medium-sized enterprises (SMEs) and commercial customers with a presence in both urban and rural India. It also accepts public and corporate deposits and offers a variety of financial service products to its customers. Its products include Consumer Finance, Commercial Lending, SME Finance, Investment, Corporate Finance, and Financial Institutions Lending. Its Consumer Finance includes Digital Product Finance, Lifestyle Finance, Durable Finance, Personal Loan, Home Loan, Retailer Finance, and others. Its commercial lending includes Vendor Financing, Large Value Lease Rental Discounting, Loans against Securities, and others. Its investments include fixed deposit and mutual funds. Its subsidiaries include Bajaj Housing Finance Ltd. and Bajaj Financial Securities Ltd.</v>
    <v>64092</v>
    <v>National Stock Exchange of India</v>
    <v>XNSE</v>
    <v>XNSE</v>
    <v>6th Floor Bajaj Finserv Corporate Office, Off Pune-Ahmednagar Road, Viman Nagar, PUNE, MAHARASHTRA, 411014 IN</v>
    <v>1011.7</v>
    <v>Banking Services</v>
    <v>Stock</v>
    <v>46017.49287037037</v>
    <v>51</v>
    <v>998</v>
    <v>6287852000000</v>
    <v>BAJAJ FINANCE LIMITED</v>
    <v>BAJAJ FINANCE LIMITED</v>
    <v>1011.7</v>
    <v>43.465800000000002</v>
    <v>1011.7</v>
    <v>1000</v>
    <v>6215135000</v>
    <v>BAJFINANCE</v>
    <v>BAJAJ FINANCE LIMITED (XNSE:BAJFINANCE)</v>
    <v>5211460</v>
    <v>4441650</v>
    <v>1987</v>
  </rv>
  <rv s="2">
    <v>52</v>
  </rv>
  <rv s="0">
    <v>https://www.bing.com/financeapi/forcetrigger?t=ahh3oc&amp;q=XNSE%3aBALAMINES&amp;form=skydnc</v>
    <v>Learn more on Bing</v>
  </rv>
  <rv s="1">
    <v>en-US</v>
    <v>ahh3oc</v>
    <v>268435456</v>
    <v>1</v>
    <v>Powered by Refinitiv</v>
    <v>0</v>
    <v>BALAJI AMINES LIMITED (XNSE:BALAMINES)</v>
    <v>2</v>
    <v>3</v>
    <v>Finance</v>
    <v>4</v>
    <v>1988</v>
    <v>1079</v>
    <v>1.9330000000000001</v>
    <v>-2.4</v>
    <v>-2.1320000000000002E-3</v>
    <v>INR</v>
    <v>Balaji Amines Limited is an India-based company, which is engaged in the business of manufacturing of specialty chemicals, aliphatic amines and derivatives. The Company’s segments include Amines &amp; Specialty Chemicals and Hotel Division. It also owns a five-star Hotel in Solapur, Maharashtra. Its products include amines, derivatives, specialty chemicals and pharma excipients. Its amine products include MONOMETHYLAMINE (MMA), DIMETHYLAMINE (DMA), TRIMETHYLAMINE and others. Its specialty chemical products include N-Methyl Pyrrolidone (NMP), Morpholine, 2-PYRROLIDONE (2-P), N-ETHYL-2-PYRROLIDONE, GAMMA-BUTYROLACTONE, ACETONITRILE (ACN) and others. Its derivative products include Di-Methyl Acetamide (DMAC); Di-Methyl Amine Hydrochloride (DMA HCL); Tri-Methyl Amine Hydrochloride (TMA HCL); Di-Ethyl Amine Hydrochloride (DEA HCL), and others. Its pharma excipients products include POLY VINYL PYRROLIDONE(PVP-30) IP/BP/JP GRADE and POLY VINYL PYRROLIDONE(PVP-30)-TECHNICAL GRADE.</v>
    <v>1167</v>
    <v>National Stock Exchange of India</v>
    <v>XNSE</v>
    <v>XNSE</v>
    <v>Plot No. 47, Balaji Bhawan, Kavuri Hills, Madhapur, HYDERABAD, TELANGANA, 500033 IN</v>
    <v>1135</v>
    <v>Chemicals</v>
    <v>Stock</v>
    <v>46017.49287037037</v>
    <v>54</v>
    <v>1120</v>
    <v>36396040000</v>
    <v>BALAJI AMINES LIMITED</v>
    <v>BALAJI AMINES LIMITED</v>
    <v>1128</v>
    <v>25.01</v>
    <v>1125.7</v>
    <v>1123.3</v>
    <v>32401000</v>
    <v>BALAMINES</v>
    <v>BALAJI AMINES LIMITED (XNSE:BALAMINES)</v>
    <v>21436</v>
    <v>46250</v>
    <v>1988</v>
  </rv>
  <rv s="2">
    <v>55</v>
  </rv>
  <rv s="0">
    <v>https://www.bing.com/financeapi/forcetrigger?t=azgih7&amp;q=XNSE%3aBDL&amp;form=skydnc</v>
    <v>Learn more on Bing</v>
  </rv>
  <rv s="1">
    <v>en-US</v>
    <v>azgih7</v>
    <v>268435456</v>
    <v>1</v>
    <v>Powered by Refinitiv</v>
    <v>0</v>
    <v>BHARAT DYNAMICS LIMITED (XNSE:BDL)</v>
    <v>2</v>
    <v>3</v>
    <v>Finance</v>
    <v>4</v>
    <v>2096.6</v>
    <v>907</v>
    <v>1.3651</v>
    <v>-3.3</v>
    <v>-2.2279999999999999E-3</v>
    <v>INR</v>
    <v>Bharat Dynamics Limited is an India-based company, which is engaged in the manufacturing of guided missile systems and allied equipment for the Indian Armed Forces. The Company is working in collaboration with the Defence Research and Development Organisation (DRDO) and foreign original equipment manufacturers (OEMs) for manufacture and supply of various missiles and allied equipment to the Indian Armed Forces. It has a product portfolio consisting of surface to air missiles (SAMs), air-to-air missiles, anti-tank guided missiles (ATGMs), underwater weapons, launchers, countermeasures and test equipment. Its products include Akash SAM, Astra Weapon System, Milan 2T ATGM, Konkurs - M ATGM, submarine fired decoy and heavy weight torpedo. The Company also offers product life cycle support and refurbishment/life extension of vintage missiles. The Company also commenced the export of selected defense equipment and has entered into strategic alliances with public and private sector companies.</v>
    <v>2269</v>
    <v>National Stock Exchange of India</v>
    <v>XNSE</v>
    <v>XNSE</v>
    <v>Plot No.38-39 Tsfc Building, Near Icici Towers, Nanakramguda, Gachibowli,, Financial District, HYDERABAD, TELANGANA, 500032 IN</v>
    <v>1517.7</v>
    <v>Aerospace &amp; Defense</v>
    <v>Stock</v>
    <v>46017.49287037037</v>
    <v>57</v>
    <v>1474</v>
    <v>542952400000</v>
    <v>BHARAT DYNAMICS LIMITED</v>
    <v>BHARAT DYNAMICS LIMITED</v>
    <v>1490</v>
    <v>82.98</v>
    <v>1481.2</v>
    <v>1477.9</v>
    <v>366562500</v>
    <v>BDL</v>
    <v>BHARAT DYNAMICS LIMITED (XNSE:BDL)</v>
    <v>2322415</v>
    <v>1232690</v>
    <v>1970</v>
  </rv>
  <rv s="2">
    <v>58</v>
  </rv>
  <rv s="0">
    <v>https://www.bing.com/financeapi/forcetrigger?t=ahh5sm&amp;q=XNSE%3aBEML&amp;form=skydnc</v>
    <v>Learn more on Bing</v>
  </rv>
  <rv s="1">
    <v>en-US</v>
    <v>ahh5sm</v>
    <v>268435456</v>
    <v>1</v>
    <v>Powered by Refinitiv</v>
    <v>0</v>
    <v>BEML LIMITED (XNSE:BEML)</v>
    <v>2</v>
    <v>3</v>
    <v>Finance</v>
    <v>4</v>
    <v>2437.4</v>
    <v>1175</v>
    <v>1.4698</v>
    <v>9.1</v>
    <v>4.8720000000000005E-3</v>
    <v>INR</v>
    <v>BEML Limited is an India-based company, which operates under three business verticals, such as Defence and Aerospace, Mining and Construction, and Rail and Metro. Its Defence and Aerospace business manufactures and supplies defense ground support equipment, such as Tatra-based high mobility trucks, aircraft towing tractors, medium and heavy recovery vehicles, pontoon mainstream bridge systems, and others. Its Mining and Construction business, manufactures and supplies equipment, such as hydraulic excavators, bulldozers, wheel loaders, wheel dozers, dump trucks, motor graders, pipe layers, tire handlers, water sprinklers, and backhoe loaders for various user segments. Its Rail and Metro business, manufactures and supplies rail coaches, metro cars, alternating current electric multiple units (ACEMUs), overhead equipment (OHE) cars, steel and aluminum wagons for the rail and metro sector. It has four manufacturing complexes located in Bengaluru, Kolar Gold Fields, Mysuru, and Palakkad.</v>
    <v>4469</v>
    <v>National Stock Exchange of India</v>
    <v>XNSE</v>
    <v>XNSE</v>
    <v>23/1, 4th Main, S.R. Nagar, BANGALORE, KARNATAKA, 560027 IN</v>
    <v>1926.7</v>
    <v>Machinery, Equipment &amp; Components</v>
    <v>Stock</v>
    <v>46017.49287037037</v>
    <v>60</v>
    <v>1867.7</v>
    <v>156333500000</v>
    <v>BEML LIMITED</v>
    <v>BEML LIMITED</v>
    <v>1878</v>
    <v>52.14</v>
    <v>1867.9</v>
    <v>1877</v>
    <v>83289000</v>
    <v>BEML</v>
    <v>BEML LIMITED (XNSE:BEML)</v>
    <v>534077</v>
    <v>285460</v>
    <v>1964</v>
  </rv>
  <rv s="2">
    <v>61</v>
  </rv>
  <rv s="0">
    <v>https://www.bing.com/financeapi/forcetrigger?t=ahh5yc&amp;q=XNSE%3aBERGEPAINT&amp;form=skydnc</v>
    <v>Learn more on Bing</v>
  </rv>
  <rv s="1">
    <v>en-US</v>
    <v>ahh5yc</v>
    <v>268435456</v>
    <v>1</v>
    <v>Powered by Refinitiv</v>
    <v>0</v>
    <v>BERGER PAINTS INDIA LIMITED (XNSE:BERGEPAINT)</v>
    <v>2</v>
    <v>3</v>
    <v>Finance</v>
    <v>4</v>
    <v>605</v>
    <v>437.75</v>
    <v>0.99450000000000005</v>
    <v>-13.1</v>
    <v>-2.3597E-2</v>
    <v>INR</v>
    <v>Berger Paints India Limited is an India-based company, which is engaged in the manufacturing and selling of paints. The Company offers products in categories, including interior wall coatings, exterior wall coatings, putty and cement paint, primers, enamels, wood finishes, and waterproofing. Its interior wall coatings include Silk Glamor Matt, Bison Glow, Silk GlamArt Metallica, and Ceiling White. Its exterior wall coatings include Weathercoat Long Life 15, Weathercoat Anti Dustt Kool, Walmasta Glow, Florentina Vintage, Weathercoat Long Life PU Tile Coat. Its putty and cement paint includes Bison Wall Putty and Durocem Extra. Its primaers include Silk Luxury Basecoat, BP Exterior Cement Primer, BP Cement Primer (ST), Luxol QD 1K Epoxy Primer, and Parrot Wood Primer. Its enamels include Luxol PU Enamel and Butterfly GP Enamel. Its SBL Specialty Coatings Private Limited, Beepee Coatings Private Limited, Berger Jenson &amp; Nicholson (Nepal) Private Limited, and STP Limited, among others.</v>
    <v>4760</v>
    <v>National Stock Exchange of India</v>
    <v>XNSE</v>
    <v>XNSE</v>
    <v>Berger House, 129 Part Street, KOLKATA, WEST BENGAL, 700017 IN</v>
    <v>558.54999999999995</v>
    <v>Chemicals</v>
    <v>Stock</v>
    <v>46017.49287037037</v>
    <v>63</v>
    <v>540</v>
    <v>647246500000</v>
    <v>BERGER PAINTS INDIA LIMITED</v>
    <v>BERGER PAINTS INDIA LIMITED</v>
    <v>554</v>
    <v>60.02</v>
    <v>555.15</v>
    <v>542.04999999999995</v>
    <v>1165895000</v>
    <v>BERGEPAINT</v>
    <v>BERGER PAINTS INDIA LIMITED (XNSE:BERGEPAINT)</v>
    <v>347472</v>
    <v>217030</v>
    <v>1923</v>
  </rv>
  <rv s="2">
    <v>64</v>
  </rv>
  <rv s="0">
    <v>https://www.bing.com/financeapi/forcetrigger?t=ahh6ur&amp;q=XNSE%3aBHARATFORG&amp;form=skydnc</v>
    <v>Learn more on Bing</v>
  </rv>
  <rv s="1">
    <v>en-US</v>
    <v>ahh6ur</v>
    <v>268435456</v>
    <v>1</v>
    <v>Powered by Refinitiv</v>
    <v>0</v>
    <v>BHARAT FORGE LTD (XNSE:BHARATFORG)</v>
    <v>2</v>
    <v>3</v>
    <v>Finance</v>
    <v>4</v>
    <v>1470.6</v>
    <v>919.1</v>
    <v>1.1506000000000001</v>
    <v>-6.7</v>
    <v>-4.6189999999999998E-3</v>
    <v>INR</v>
    <v>Bharat Forge Limited is an India-based global provider of safety and critical components and solutions to various sectors, including automotive, power, oil and gas, construction and mining, rail, marine, defense and aerospace. Its segments include Forgings, Defence and Others. The Forgings produces and sells forged products comprising forgings and machined components for automotive and industrial sectors. The Defence segment produces and sells products which have an application in defense related activities. Forged components used in defense related activities are included as a part of the Forgings segment. Others include various initiatives which the Company is carrying out other than forging and defense related activities. Its power products include thermal, such as shafts and others; hydro, such as rotor and others; wind, such as shafts and gear boxes, and nuclear, such as high-pressure valves and nozzles. It has a global manufacturing footprint with presence across five countries.</v>
    <v>3970</v>
    <v>National Stock Exchange of India</v>
    <v>XNSE</v>
    <v>XNSE</v>
    <v>Pune Cantonment, Mundhwa, PUNE, MAHARASHTRA, 411036 IN</v>
    <v>1460</v>
    <v>Metals &amp; Mining</v>
    <v>Stock</v>
    <v>46017.49287037037</v>
    <v>66</v>
    <v>1438</v>
    <v>693467600000</v>
    <v>BHARAT FORGE LTD</v>
    <v>BHARAT FORGE LTD</v>
    <v>1447.3</v>
    <v>64.11</v>
    <v>1450.5</v>
    <v>1443.8</v>
    <v>478088600</v>
    <v>BHARATFORG</v>
    <v>BHARAT FORGE LTD (XNSE:BHARATFORG)</v>
    <v>544143</v>
    <v>473870</v>
    <v>1961</v>
  </rv>
  <rv s="2">
    <v>67</v>
  </rv>
  <rv s="0">
    <v>https://www.bing.com/financeapi/forcetrigger?t=ahh7a2&amp;q=XNSE%3aBHARTIARTL&amp;form=skydnc</v>
    <v>Learn more on Bing</v>
  </rv>
  <rv s="1">
    <v>en-US</v>
    <v>ahh7a2</v>
    <v>268435456</v>
    <v>1</v>
    <v>Powered by Refinitiv</v>
    <v>0</v>
    <v>Bharti Airtel Limited (XNSE:BHARTIARTL)</v>
    <v>2</v>
    <v>3</v>
    <v>Finance</v>
    <v>4</v>
    <v>2174.5</v>
    <v>1559.5</v>
    <v>0.71779999999999999</v>
    <v>-18.3</v>
    <v>-8.6169999999999997E-3</v>
    <v>INR</v>
    <v>Bharti Airtel Limited is a telecommunication company. It operates through two business divisions: India &amp; South Asia and Africa. Its B2C Services consists of Mobile Services (India), Homes Services, and Digital TV Services. Its B2B Services consists of Airtel Business, Passive Infrastructure Services and South Asia. Its Mobile Services (India) segment offers postpaid, pre-paid, roaming, Internet and other value-added services. Its Homes Services segment provides fixed-line telephone and broadband services for homes in approximately 1,512 cities. Its Digital TV Services provides direct-to-home platform, which offers a total of 709 channels including 99 HD channels, 67 SVOD services, four international channels and five interactive services. Its Airtel Business segment offers fixed-line voice (PRIs), data and other connectivity solutions, such as Multi-Protocol Label Switching, Voice over Internet Protocol, SIP trucking. Its South Asia segment represents its operation in Bangladesh.</v>
    <v>28701</v>
    <v>National Stock Exchange of India</v>
    <v>XNSE</v>
    <v>XNSE</v>
    <v>Bharti Crescent 1 Nelson Mandela Road, Vasant Kunj, Phase II, NEW DELHI, DELHI, 110070 IN</v>
    <v>2123</v>
    <v>Telecommunications Services</v>
    <v>Stock</v>
    <v>46017.49287037037</v>
    <v>69</v>
    <v>2101.8000000000002</v>
    <v>12770860000000</v>
    <v>Bharti Airtel Limited</v>
    <v>Bharti Airtel Limited</v>
    <v>2123</v>
    <v>31.92</v>
    <v>2123.6999999999998</v>
    <v>2105.4</v>
    <v>6091080000</v>
    <v>BHARTIARTL</v>
    <v>Bharti Airtel Limited (XNSE:BHARTIARTL)</v>
    <v>1297870</v>
    <v>5017900</v>
    <v>1995</v>
  </rv>
  <rv s="2">
    <v>70</v>
  </rv>
  <rv s="0">
    <v>https://www.bing.com/financeapi/forcetrigger?t=ahh7cw&amp;q=XNSE%3aBHEL&amp;form=skydnc</v>
    <v>Learn more on Bing</v>
  </rv>
  <rv s="1">
    <v>en-US</v>
    <v>ahh7cw</v>
    <v>268435456</v>
    <v>1</v>
    <v>Powered by Refinitiv</v>
    <v>0</v>
    <v>BHARAT HEAVY ELECTRICALS LIMITED (XNSE:BHEL)</v>
    <v>2</v>
    <v>3</v>
    <v>Finance</v>
    <v>4</v>
    <v>295.25</v>
    <v>176</v>
    <v>2.2463000000000002</v>
    <v>3.3</v>
    <v>1.1861999999999999E-2</v>
    <v>INR</v>
    <v>Bharat Heavy Electricals Limited is an engineering and manufacturing company. The Company offers comprehensive products, systems, and services in various areas, including power generation (thermal, hydro, gas, nuclear, and solar photovoltaic), transmission, transportation, defense, aerospace, oil and gas, and emerging sectors like battery energy storage systems and electric vehicle chargers. The Company operates through two business segments: Power and Industry. The Power segment comprises thermal, gas, hydro and nuclear power plant businesses, spares and services businesses, apart from new businesses of coal to chemicals, emission control equipment and spares. The Industry segment caters to major equipment supplies and engineering, procurement and construction (EPC) works for a number of industries, including transportation, transmission, defense, aerospace, captive power plants, process industries, renewables, downstream oil &amp; gas, and energy storage, among others.</v>
    <v>41132</v>
    <v>National Stock Exchange of India</v>
    <v>XNSE</v>
    <v>XNSE</v>
    <v>BHEL House, 4th Floor, Siri Fort Road, Asiad, NEW DELHI, DELHI, 110049 IN</v>
    <v>285.60000000000002</v>
    <v>Machinery, Equipment &amp; Components</v>
    <v>Stock</v>
    <v>46017.49287037037</v>
    <v>72</v>
    <v>277.05</v>
    <v>980200800000</v>
    <v>BHARAT HEAVY ELECTRICALS LIMITED</v>
    <v>BHARAT HEAVY ELECTRICALS LIMITED</v>
    <v>278</v>
    <v>145.75</v>
    <v>278.2</v>
    <v>281.5</v>
    <v>3482063000</v>
    <v>BHEL</v>
    <v>BHARAT HEAVY ELECTRICALS LIMITED (XNSE:BHEL)</v>
    <v>6390786</v>
    <v>5526400</v>
    <v>1964</v>
  </rv>
  <rv s="2">
    <v>73</v>
  </rv>
  <rv s="0">
    <v>https://www.bing.com/financeapi/forcetrigger?t=ahha27&amp;q=XNSE%3aBSE&amp;form=skydnc</v>
    <v>Learn more on Bing</v>
  </rv>
  <rv s="1">
    <v>en-US</v>
    <v>ahha27</v>
    <v>268435456</v>
    <v>1</v>
    <v>Powered by Refinitiv</v>
    <v>0</v>
    <v>BSE Limited (XNSE:BSE)</v>
    <v>2</v>
    <v>3</v>
    <v>Finance</v>
    <v>4</v>
    <v>3030</v>
    <v>1226.49</v>
    <v>1.1802999999999999</v>
    <v>-21.9</v>
    <v>-8.1989999999999997E-3</v>
    <v>INR</v>
    <v>BSE Limited is an India-based stock exchange company. The Company provides a platform for trading in equity, debt instruments, derivatives, and mutual funds. It also has a platform for trading in equities of small-and-medium enterprises (SME). The Company operates through a single segment, namely, facilitates trading in securities and other related ancillary services. It also provides a host of other services to capital market participants, including risk management, clearing, settlement, market data services and education. The Company’s systems and processes are designed to safeguard market integrity, drive the growth of the Indian capital market, and stimulate innovation and competition across all market segments. The Company's subsidiaries include Indian Clearing Corporation Limited, BSE Investments Limited, BSE E-Agricultural Markets Limited, BSE Administration and Supervision Limited, BSE Institute Limited, among others.</v>
    <v>771</v>
    <v>National Stock Exchange of India</v>
    <v>XNSE</v>
    <v>XNSE</v>
    <v>Phiroze Jeejeebhoy Towers, Dalal Street, MUMBAI, MAHARASHTRA, 400001 IN</v>
    <v>2689.3</v>
    <v>Investment Banking &amp; Investment Services</v>
    <v>Stock</v>
    <v>46017.49287037037</v>
    <v>75</v>
    <v>2636</v>
    <v>1087855000000</v>
    <v>BSE Limited</v>
    <v>BSE Limited</v>
    <v>2671.4</v>
    <v>74.378600000000006</v>
    <v>2670.9</v>
    <v>2649</v>
    <v>407299100</v>
    <v>BSE</v>
    <v>BSE Limited (XNSE:BSE)</v>
    <v>2791648</v>
    <v>4329280</v>
    <v>2005</v>
  </rv>
  <rv s="2">
    <v>76</v>
  </rv>
  <rv s="0">
    <v>https://www.bing.com/financeapi/forcetrigger?t=ahhcf2&amp;q=XNSE%3aCDSL&amp;form=skydnc</v>
    <v>Learn more on Bing</v>
  </rv>
  <rv s="1">
    <v>en-US</v>
    <v>ahhcf2</v>
    <v>268435456</v>
    <v>1</v>
    <v>Powered by Refinitiv</v>
    <v>0</v>
    <v>CENTRAL DEPOSITORY SERVICES (INDIA) LIMITED (XNSE:CDSL)</v>
    <v>2</v>
    <v>3</v>
    <v>Finance</v>
    <v>4</v>
    <v>1888</v>
    <v>1047.45</v>
    <v>1.3143</v>
    <v>-16.2</v>
    <v>-1.0808E-2</v>
    <v>INR</v>
    <v>Central Depository Services (India) Limited is engaged in the depository services business and provides services to exchanges, clearing corporations, depository participants and investors. Its segments include Depository Activity, Data Entry and Storage, and Repository. Depository Activity provides various services to investors, such as dematerialization, rematerialization, holding, transfer and pledge of securities in electronic form and providing e-voting services to companies. Data Entry and Storage segment relates to Centralized record keeping of Know Your Customer (KYC) documents of capital market investors. Repository segment provides policyholders/warehouse receipts holder with facility to keep insurance policies/ warehouse receipts in electronic form and to undertake changes, modifications and revisions to the policy/receipt. It also offers e-Locker, Myeasi Mobile App, M-Voting, e-Voting, SMART, and electronic access to securities information &amp; execution of secure transactions.</v>
    <v>403</v>
    <v>National Stock Exchange of India</v>
    <v>XNSE</v>
    <v>XNSE</v>
    <v>Marathon Futurex, Unit No. A-2501, Mafatlal Mills Compound, Lower Parel (E), MUMBAI, MAHARASHTRA, 400013 IN</v>
    <v>1506.4</v>
    <v>Investment Banking &amp; Investment Services</v>
    <v>Stock</v>
    <v>46017.49287037037</v>
    <v>78</v>
    <v>1476.9</v>
    <v>313270100000</v>
    <v>CENTRAL DEPOSITORY SERVICES (INDIA) LIMITED</v>
    <v>CENTRAL DEPOSITORY SERVICES (INDIA) LIMITED</v>
    <v>1496</v>
    <v>66.209999999999994</v>
    <v>1498.9</v>
    <v>1482.7</v>
    <v>209000000</v>
    <v>CDSL</v>
    <v>CENTRAL DEPOSITORY SERVICES (INDIA) LIMITED (XNSE:CDSL)</v>
    <v>1213369</v>
    <v>983800</v>
    <v>1997</v>
  </rv>
  <rv s="2">
    <v>79</v>
  </rv>
  <rv s="0">
    <v>https://www.bing.com/financeapi/forcetrigger?t=ahherw&amp;q=XNSE%3aCOALINDIA&amp;form=skydnc</v>
    <v>Learn more on Bing</v>
  </rv>
  <rv s="1">
    <v>en-US</v>
    <v>ahherw</v>
    <v>268435456</v>
    <v>1</v>
    <v>Powered by Refinitiv</v>
    <v>0</v>
    <v>COAL INDIA LTD (XNSE:COALINDIA)</v>
    <v>2</v>
    <v>3</v>
    <v>Finance</v>
    <v>4</v>
    <v>417.25</v>
    <v>349.25</v>
    <v>1.0441</v>
    <v>-0.2</v>
    <v>-4.9709999999999999E-4</v>
    <v>INR</v>
    <v>Coal India Ltd. is an India-based coal mining company. The Company along with its subsidiaries, is primarily engaged in the mining and production of coal. It operates approximately 310 working mines, consisting of 129 underground, 168 opencast, and 13 mixed mines. Its products and services include Coking Coal, Semi Coking Coal, Non-Coking Coal, Washed and Beneficiated Coal, Middlings, CIL Coke / LTC Coke, Coal Fines / Coke Fines, and others. It has over 21 training Institutes and 76 Vocational Training Centers. The Company operates the Indian Institute of Coal Management (IICM), which is a corporate training institute in India. IICM conducts multi-disciplinary programs. Its subsidiaries include Eastern Coalfields Limited (ECL), Bharat Coking Coal Limited (BCCL), Central Coalfields Limited (CCL), Western Coalfields Limited (WCL), South Eastern Coalfields Limited (SECL), Northern Coalfields Limited (NCL), Mahanadi Coalfields Limited (MCL), CIL Navikarniya Urja Limited (CNUL), and others.</v>
    <v>220272</v>
    <v>National Stock Exchange of India</v>
    <v>XNSE</v>
    <v>XNSE</v>
    <v>Coal Bhawan, Premise No-04 MAR,, Plot No-AF-III,Action Area-1A,, Newtown,Rajarhat, KOLKATA, WEST BENGAL, 700156 IN</v>
    <v>408.4</v>
    <v>Coal</v>
    <v>Stock</v>
    <v>46017.492881944447</v>
    <v>81</v>
    <v>400.6</v>
    <v>2478341000000</v>
    <v>COAL INDIA LTD</v>
    <v>COAL INDIA LTD</v>
    <v>403.8</v>
    <v>7.94</v>
    <v>402.35</v>
    <v>402.15</v>
    <v>6162729000</v>
    <v>COALINDIA</v>
    <v>COAL INDIA LTD (XNSE:COALINDIA)</v>
    <v>5435637</v>
    <v>5995190</v>
    <v>1973</v>
  </rv>
  <rv s="2">
    <v>82</v>
  </rv>
  <rv s="0">
    <v>https://www.bing.com/financeapi/forcetrigger?t=ahheur&amp;q=XNSE%3aCOCHINSHIP&amp;form=skydnc</v>
    <v>Learn more on Bing</v>
  </rv>
  <rv s="1">
    <v>en-US</v>
    <v>ahheur</v>
    <v>268435456</v>
    <v>1</v>
    <v>Powered by Refinitiv</v>
    <v>0</v>
    <v>COCHIN SHIPYARD LIMITED (XNSE:COCHINSHIP)</v>
    <v>2</v>
    <v>3</v>
    <v>Finance</v>
    <v>4</v>
    <v>2545</v>
    <v>1180.2</v>
    <v>1.3246</v>
    <v>2.8</v>
    <v>1.6980000000000001E-3</v>
    <v>INR</v>
    <v>Cochin Shipyard Limited is an India-based company. The Company is engaged in the construction and maintenance of various types of ships. It caters to both domestic and international markets. It operates in two segments: Shipbuilding and Ship Repair. Its shipbuilding products include defense, such as aircraft carriers, next generation missile vessels, technology demonstration vessels, hydrographic survey vessels, and others; commercial, such as oil tankers, bulk carriers, dredgers, Pax vessels, marine ambulances, and others; and offshore, such as platform supply vessels, anchor handling/tug supply vessels, and multi-purpose vessels. It offers ship repair services such as maintenance and repairs of aircraft carriers and other defense vessels; oil rig upgrades, repair projects, and conversions; and repairs and maintenance of tankers, bulk carriers, and all commercial and specialized vessels. The Company’s subsidiaries are Hooghly Cochin Shipyard Limited and Udupi Cochin Shipyard Limited.</v>
    <v>2140</v>
    <v>National Stock Exchange of India</v>
    <v>XNSE</v>
    <v>XNSE</v>
    <v>Administrative Building, Cochin Shipyard Premises, Perumanoor, KOCHI, KERALA, 682015 IN</v>
    <v>1697</v>
    <v>Machinery, Equipment &amp; Components</v>
    <v>Stock</v>
    <v>46017.492881944447</v>
    <v>84</v>
    <v>1646</v>
    <v>433899100000</v>
    <v>COCHIN SHIPYARD LIMITED</v>
    <v>COCHIN SHIPYARD LIMITED</v>
    <v>1651</v>
    <v>57.11</v>
    <v>1649.3</v>
    <v>1652.1</v>
    <v>263080800</v>
    <v>COCHINSHIP</v>
    <v>COCHIN SHIPYARD LIMITED (XNSE:COCHINSHIP)</v>
    <v>1507690</v>
    <v>969580</v>
    <v>1972</v>
  </rv>
  <rv s="2">
    <v>85</v>
  </rv>
  <rv s="0">
    <v>https://www.bing.com/financeapi/forcetrigger?t=ahhf1h&amp;q=XNSE%3aCOLPAL&amp;form=skydnc</v>
    <v>Learn more on Bing</v>
  </rv>
  <rv s="1">
    <v>en-US</v>
    <v>ahhf1h</v>
    <v>268435456</v>
    <v>1</v>
    <v>Powered by Refinitiv</v>
    <v>0</v>
    <v>COLGATE-PALMOLIVE (INDIA) LIMITED (XNSE:COLPAL)</v>
    <v>2</v>
    <v>3</v>
    <v>Finance</v>
    <v>4</v>
    <v>2975</v>
    <v>2064</v>
    <v>1.0978000000000001</v>
    <v>-5.9</v>
    <v>-2.8189999999999999E-3</v>
    <v>INR</v>
    <v>Colgate-Palmolive (India) Limited is primarily focused on oral care and personal care in the Indian market. The Company manufactures and markets a range of oral care essentials under the Colgate brand, including toothpastes, toothpowder, toothbrushes, mouthwashes and rinses, and specialty products such as professional grade oral care products. Additionally, its Palmolive brand offers a specialized range of personal care products. Its products include Colgate Strong Teeth toothpaste with Arginine, Colgate MaxFresh toothpaste with Ultrafreeze technology, Colgate Active Salt toothpaste with superior efficacy, Colgate Zig Zag toothbrush with superior aesthetics &amp; packaging, Colgate Super Junior Toothbrush, and Palmolive's three variants include (Forever Happy, Sweet Delight, Alluring Love). It collaborates through its distributor's network or otherwise with a network of diverse wholesalers, modern trade stores, e-commerce and other retailers to make their products available to customers.</v>
    <v>2198</v>
    <v>National Stock Exchange of India</v>
    <v>XNSE</v>
    <v>XNSE</v>
    <v>Colgate Research Centre, Main Street, Hiranandani Gardens, Powai, MUMBAI, MAHARASHTRA, 400076 IN</v>
    <v>2114.9</v>
    <v>Personal &amp; Household Products &amp; Services</v>
    <v>Stock</v>
    <v>46017.492881944447</v>
    <v>87</v>
    <v>2082</v>
    <v>569347500000</v>
    <v>COLGATE-PALMOLIVE (INDIA) LIMITED</v>
    <v>COLGATE-PALMOLIVE (INDIA) LIMITED</v>
    <v>2093</v>
    <v>42.93</v>
    <v>2093.3000000000002</v>
    <v>2087.4</v>
    <v>271985600</v>
    <v>COLPAL</v>
    <v>COLGATE-PALMOLIVE (INDIA) LIMITED (XNSE:COLPAL)</v>
    <v>186844</v>
    <v>254710</v>
    <v>1937</v>
  </rv>
  <rv s="2">
    <v>88</v>
  </rv>
  <rv s="0">
    <v>https://www.bing.com/financeapi/forcetrigger?t=ahhfa2&amp;q=XNSE%3aCONCOR&amp;form=skydnc</v>
    <v>Learn more on Bing</v>
  </rv>
  <rv s="1">
    <v>en-US</v>
    <v>ahhfa2</v>
    <v>268435456</v>
    <v>1</v>
    <v>Powered by Refinitiv</v>
    <v>0</v>
    <v>CONTAINER CORPORATION OF INDIA LIMITED (XNSE:CONCOR)</v>
    <v>2</v>
    <v>3</v>
    <v>Finance</v>
    <v>4</v>
    <v>652.04</v>
    <v>481</v>
    <v>1.5013000000000001</v>
    <v>11.7</v>
    <v>2.3003999999999997E-2</v>
    <v>INR</v>
    <v>Container Corporation of India Limited (CONCOR) is a holding company. The Company is engaged in logistics and transportation services. The Company operates through two segments: EXIM and Domestic. Both EXIM and Domestic divisions of the Company are engaged in handling, transportation, and warehousing activities. The Company is also engaged in the operation of transportation of containers by rail, transportation of containers by road, handling of containers, operation of logistics facilities including dry ports, container freight stations, and private freight terminals or warehousing and storage. Its international services include air cargo movements, bonded warehousing, reefer and cold chain services, and factory stuffing/destuffing. The Company’s domestic services include volume discount scheme, door delivery and pickups, and terminal handling charges. Its E-Filing software is a Web-based application for EXIM locations being operational at Terminal/Inland Container Depot of CONCOR.</v>
    <v>1271</v>
    <v>National Stock Exchange of India</v>
    <v>XNSE</v>
    <v>XNSE</v>
    <v>NSIC New MDBP Building, 3rd Floor,, Okhla Industrial Estate,, NEW DELHI, DELHI, 110020 IN</v>
    <v>523</v>
    <v>Freight &amp; Logistics Services</v>
    <v>Stock</v>
    <v>46017.492881944447</v>
    <v>90</v>
    <v>507.85</v>
    <v>387358900000</v>
    <v>CONTAINER CORPORATION OF INDIA LIMITED</v>
    <v>CONTAINER CORPORATION OF INDIA LIMITED</v>
    <v>509.05</v>
    <v>32.33</v>
    <v>508.6</v>
    <v>520.29999999999995</v>
    <v>761617900</v>
    <v>CONCOR</v>
    <v>CONTAINER CORPORATION OF INDIA LIMITED (XNSE:CONCOR)</v>
    <v>2498657</v>
    <v>776560</v>
    <v>1988</v>
  </rv>
  <rv s="2">
    <v>91</v>
  </rv>
  <rv s="0">
    <v>https://www.bing.com/financeapi/forcetrigger?t=c4o2nm&amp;q=XNSE%3aDATAPATTNS&amp;form=skydnc</v>
    <v>Learn more on Bing</v>
  </rv>
  <rv s="1">
    <v>en-US</v>
    <v>c4o2nm</v>
    <v>268435456</v>
    <v>1</v>
    <v>Powered by Refinitiv</v>
    <v>0</v>
    <v>DATA PATTERNS (INDIA) LIMITED (XNSE:DATAPATTNS)</v>
    <v>2</v>
    <v>3</v>
    <v>Finance</v>
    <v>4</v>
    <v>3268.8</v>
    <v>1351.15</v>
    <v>1.9832000000000001</v>
    <v>5.5</v>
    <v>2.0579999999999999E-3</v>
    <v>INR</v>
    <v>Data Patterns (India) Limited is an India-based company. It is a vertically integrated defense and aerospace electronics solutions provider catering to the indigenously developed defense products industry. The Company operates in a single business segment, namely manufacture, sale and service of defense electronics. It offers Commercial Off-The-Shelf (COTS) boards, ATE and test systems, RF and microwave products, electronic warfare products, rugged displays, radar and radar subsystems, identify friend and Foe products, avionic systems, laser and electro optic systems, space systems, power supply products, naval systems, communication products, and fire control systems, high-speed processors, consoles, and navigation systems, and others. It designs COTS module products that are used in rugged applications and automatic test equipment platforms. It also provides hardware design, product development, FPGA, software, microwave, mechanical product design, manufacturing and other services.</v>
    <v>1545</v>
    <v>National Stock Exchange of India</v>
    <v>XNSE</v>
    <v>XNSE</v>
    <v>Plot.No H9, 4th Main Road, SIPCOT IT Park Off Rajiv Gandhi Salai (OMR), Siruseri, CHENNAI, TAMIL NADU, 603103 IN</v>
    <v>2747.8</v>
    <v>Aerospace &amp; Defense</v>
    <v>Stock</v>
    <v>46017.492881944447</v>
    <v>93</v>
    <v>2651</v>
    <v>149913900000</v>
    <v>DATA PATTERNS (INDIA) LIMITED</v>
    <v>DATA PATTERNS (INDIA) LIMITED</v>
    <v>2664.4</v>
    <v>64.37</v>
    <v>2672.3</v>
    <v>2677.8</v>
    <v>55983970</v>
    <v>DATAPATTNS</v>
    <v>DATA PATTERNS (INDIA) LIMITED (XNSE:DATAPATTNS)</v>
    <v>364500</v>
    <v>272540</v>
    <v>1998</v>
  </rv>
  <rv s="2">
    <v>94</v>
  </rv>
  <rv s="0">
    <v>https://www.bing.com/financeapi/forcetrigger?t=ahhiur&amp;q=XNSE%3aDEEPAKNTR&amp;form=skydnc</v>
    <v>Learn more on Bing</v>
  </rv>
  <rv s="1">
    <v>en-US</v>
    <v>ahhiur</v>
    <v>268435456</v>
    <v>1</v>
    <v>Powered by Refinitiv</v>
    <v>0</v>
    <v>DEEPAK NITRITE LIMITED (XNSE:DEEPAKNTR)</v>
    <v>2</v>
    <v>3</v>
    <v>Finance</v>
    <v>4</v>
    <v>2632.6</v>
    <v>1514</v>
    <v>1.6449</v>
    <v>24.7</v>
    <v>1.4191E-2</v>
    <v>INR</v>
    <v>Deepak Nitrite Limited is an India-based company, which is engaged in manufacturing and trading of chemicals. The Company operates through two segments: Advanced Intermediates and Phenolics. Its Advanced Intermediates segment offers Nitrites, Nitro Toluidines, Fuel Additives, Xylidines, Oximes, Cumidines, Speciality Agrochemicals, Optical Brightening Agent (OBA), diamino stilbene disulfonic acid (DASDA), and Benzotrifluoride. Its Phenolics segment offers cumene, phenol, acetone, isopropyl alcohol, and ammonium sulfate (AMS). The Company's products cater to several industries, such as paints, pharma, health care, colorants, rubber chemicals, explosives, dyes, pigments, food colors, pharmaceuticals, refineries, agrochemicals, glass, personal care, paper, detergents, and textiles. Its manufacturing facilities are located at Nandesari and Dahej (Gujarat); Roha and Taloja (Maharashtra); and Hyderabad (Telangana).</v>
    <v>1757</v>
    <v>National Stock Exchange of India</v>
    <v>XNSE</v>
    <v>XNSE</v>
    <v>2nd Floor, Fermenter House,, Atembic City, Atembic Avenue Road,, VADODARA, GUJARAT, 390003 IN</v>
    <v>1769.9</v>
    <v>Chemicals</v>
    <v>Stock</v>
    <v>46017.492881944447</v>
    <v>96</v>
    <v>1720.4</v>
    <v>237392100000</v>
    <v>DEEPAK NITRITE LIMITED</v>
    <v>DEEPAK NITRITE LIMITED</v>
    <v>1730</v>
    <v>44.67</v>
    <v>1740.5</v>
    <v>1765.2</v>
    <v>136393000</v>
    <v>DEEPAKNTR</v>
    <v>DEEPAK NITRITE LIMITED (XNSE:DEEPAKNTR)</v>
    <v>244687</v>
    <v>205370</v>
    <v>1970</v>
  </rv>
  <rv s="2">
    <v>97</v>
  </rv>
  <rv s="0">
    <v>https://www.bing.com/financeapi/forcetrigger?t=ahhkhw&amp;q=XNSE%3aDIVISLAB&amp;form=skydnc</v>
    <v>Learn more on Bing</v>
  </rv>
  <rv s="1">
    <v>en-US</v>
    <v>ahhkhw</v>
    <v>268435456</v>
    <v>1</v>
    <v>Powered by Refinitiv</v>
    <v>0</v>
    <v>DIVI'S LABORATORIES LIMITED (XNSE:DIVISLAB)</v>
    <v>2</v>
    <v>3</v>
    <v>Finance</v>
    <v>4</v>
    <v>7071.5</v>
    <v>4955</v>
    <v>0.71220000000000006</v>
    <v>-69</v>
    <v>-1.0621E-2</v>
    <v>INR</v>
    <v>Divi's Laboratories Limited is an India-based company, which is engaged in pharmaceutical ingredients (APIs), intermediates and nutraceutical ingredients with predominance in exports. The Company’s products include Bupropion HCl, Capecitabine, Carbidopa, Diltiazem HCl, Dextromethorphan Base, Dextromethorphan HBr, Gabapentin, Iopamidol, Iohexol, Irbesartan, Lacosamide, Levetiracetam, Levodopa, Losartan, Nabumetone, Naproxen, Naproxen Sodium, Olmesartan Medoxomil, Pregabalin, Ticagrelor, Triprolidine HCl, Valacyclovir HCl, Valsartan, Venlafaxine HCl, Vigabatrin, and others. The Company is also engaged in custom synthesis (contract manufacturing services) of APIs and Intermediates for global innovator companies with a portfolio of products across diverse therapeutic areas. The Company’s subsidiaries include Divis Laboratories (USA) Inc. and Divi’s Laboratories Europe AG.</v>
    <v>18300</v>
    <v>National Stock Exchange of India</v>
    <v>XNSE</v>
    <v>XNSE</v>
    <v>1-72/23(P)/Divis/303,, Divi Towers, Cyber Hills, Gachibowli,, HYDERABAD, TELANGANA, 500032 IN</v>
    <v>6547</v>
    <v>Pharmaceuticals</v>
    <v>Stock</v>
    <v>46017.492881944447</v>
    <v>99</v>
    <v>6402</v>
    <v>1724617000000</v>
    <v>DIVI'S LABORATORIES LIMITED</v>
    <v>DIVI'S LABORATORIES LIMITED</v>
    <v>6495</v>
    <v>69.36</v>
    <v>6496.5</v>
    <v>6427.5</v>
    <v>265468600</v>
    <v>DIVISLAB</v>
    <v>DIVI'S LABORATORIES LIMITED (XNSE:DIVISLAB)</v>
    <v>252704</v>
    <v>277190</v>
    <v>1990</v>
  </rv>
  <rv s="2">
    <v>100</v>
  </rv>
  <rv s="0">
    <v>https://www.bing.com/financeapi/forcetrigger?t=ahhkkr&amp;q=XNSE%3aDIXON&amp;form=skydnc</v>
    <v>Learn more on Bing</v>
  </rv>
  <rv s="1">
    <v>en-US</v>
    <v>ahhkkr</v>
    <v>268435456</v>
    <v>1</v>
    <v>Powered by Refinitiv</v>
    <v>0</v>
    <v>DIXON TECHNOLOGIES (INDIA) LIMITED (XNSE:DIXON)</v>
    <v>2</v>
    <v>3</v>
    <v>Finance</v>
    <v>4</v>
    <v>18700</v>
    <v>12130</v>
    <v>0.96220000000000006</v>
    <v>-301</v>
    <v>-2.3834000000000001E-2</v>
    <v>INR</v>
    <v>Dixon Technologies (India) Limited is an India-based electronics manufacturing services (EMS) provider. The Company is engaged in manufacturing various verticals, including consumer durables, lighting solutions, home appliances, and mobile phones. It operates through a single segment, which is Electronics Goods. Its product portfolio can be categorized into consumer electronics, home appliances, lighting products, mobile phones and EMS. Its consumer electronics include light-emitting diode (LED) televisions (TVs) and refrigerators. Its home appliances include washing machines. Its lighting products include LED bulbs, outdoor lighting, smart lights, battens, and downlighters. Its mobile phones and EMS include smartphones, information technology (IT) hardware, telecommunications, hearables, and wearables. It offers reverse logistics services such as repair and refurbishment of LED TV panels.</v>
    <v>4447</v>
    <v>National Stock Exchange of India</v>
    <v>XNSE</v>
    <v>XNSE</v>
    <v>B 14 &amp; 15, Noida Phase II, Gautam Buddha Nagar, NOIDA, UTTAR PRADESH, 201305 IN</v>
    <v>12711</v>
    <v>Computers, Phones &amp; Household Electronics</v>
    <v>Stock</v>
    <v>46017.492881944447</v>
    <v>102</v>
    <v>12250</v>
    <v>766400300000</v>
    <v>DIXON TECHNOLOGIES (INDIA) LIMITED</v>
    <v>DIXON TECHNOLOGIES (INDIA) LIMITED</v>
    <v>12700</v>
    <v>47.283499999999997</v>
    <v>12629</v>
    <v>12328</v>
    <v>60685740</v>
    <v>DIXON</v>
    <v>DIXON TECHNOLOGIES (INDIA) LIMITED (XNSE:DIXON)</v>
    <v>722112</v>
    <v>634360</v>
    <v>1993</v>
  </rv>
  <rv s="2">
    <v>103</v>
  </rv>
  <rv s="0">
    <v>https://www.bing.com/financeapi/forcetrigger?t=ahhktc&amp;q=XNSE%3aDMART&amp;form=skydnc</v>
    <v>Learn more on Bing</v>
  </rv>
  <rv s="1">
    <v>en-US</v>
    <v>ahhktc</v>
    <v>268435456</v>
    <v>1</v>
    <v>Powered by Refinitiv</v>
    <v>0</v>
    <v>AVENUE SUPERMARTS LIMITED (XNSE:DMART)</v>
    <v>2</v>
    <v>3</v>
    <v>Finance</v>
    <v>4</v>
    <v>4949.5</v>
    <v>3340</v>
    <v>1.3421000000000001</v>
    <v>-12.8</v>
    <v>-3.3679999999999999E-3</v>
    <v>INR</v>
    <v>Avenue Supermarts Limited is an India-based company, which is engaged in the business of organized retail and operating supermarkets under the DMart brand name. DMart is a supermarket chain that offers customers a range of products with a focus on the foods, non-foods fast-moving consumer goods (FMCG) and general merchandise and apparel product categories. Its stores stock home utility products, including food, toiletries, beauty products, garments, kitchenware, bed and bath linen, home appliances and others. The Company offers its products under various categories, such as bed and bath, dairy and frozen, fruits and vegetables, crockery, toys and games, kids’ apparel, ladies’ garments, apparel for men, home and personal care, daily essentials, groceries, and staples. DMart operates approximately 424 stores and has a presence across Maharashtra, Gujarat, Andhra Pradesh, Madhya Pradesh, Karnataka, Telangana, and Chhattisgarh.</v>
    <v>16959</v>
    <v>National Stock Exchange of India</v>
    <v>XNSE</v>
    <v>XNSE</v>
    <v>B-72/72A, Wagle Industrial Estate, Road No. 33, Kamgar Hospital Road, THANE, MAHARASHTRA, 400604 IN</v>
    <v>3824</v>
    <v>Food &amp; Drug Retailing</v>
    <v>Stock</v>
    <v>46017.492881944447</v>
    <v>105</v>
    <v>3781.2</v>
    <v>2472916000000</v>
    <v>AVENUE SUPERMARTS LIMITED</v>
    <v>AVENUE SUPERMARTS LIMITED</v>
    <v>3805</v>
    <v>90.49</v>
    <v>3800.2</v>
    <v>3787.4</v>
    <v>650733100</v>
    <v>DMART</v>
    <v>AVENUE SUPERMARTS LIMITED (XNSE:DMART)</v>
    <v>245539</v>
    <v>336060</v>
    <v>2000</v>
  </rv>
  <rv s="2">
    <v>106</v>
  </rv>
  <rv s="0">
    <v>https://www.bing.com/financeapi/forcetrigger?t=ahhlpr&amp;q=XNSE%3aDRREDDY&amp;form=skydnc</v>
    <v>Learn more on Bing</v>
  </rv>
  <rv s="1">
    <v>en-US</v>
    <v>ahhlpr</v>
    <v>268435456</v>
    <v>1</v>
    <v>Powered by Refinitiv</v>
    <v>0</v>
    <v>DR.REDDY'S LABORATORIES LTD (XNSE:DRREDDY)</v>
    <v>2</v>
    <v>3</v>
    <v>Finance</v>
    <v>4</v>
    <v>1405.9</v>
    <v>1020</v>
    <v>0.43819999999999998</v>
    <v>3.5</v>
    <v>2.7650000000000001E-3</v>
    <v>INR</v>
    <v>Dr. Reddy’s Laboratories Limited is an India-based pharmaceutical company. Its products and services are spread across its core businesses of active pharmaceutical ingredients (APIs), generics, branded generics, biosimilars and over-the-counter (OTC) pharmaceutical products. It works in the areas of gastrointestinal, cardiovascular, diabetology, oncology, pain management and dermatology. Its segments consist of Global Generics; Pharmaceutical Services and Active Ingredients (PSAI), and Others. The Global Generics segment consists of the Company's business of manufacturing and marketing prescription and over-the-counter finished pharmaceutical products ready for consumption by the patient, marketed under a brand name (branded formulations) or as generic finished dosages with therapeutic equivalence to branded formulations (generics). The Pharmaceutical Services and Active Ingredients segment consists of the Company's business of manufacturing and marketing APIs and intermediates.</v>
    <v>26944</v>
    <v>National Stock Exchange of India</v>
    <v>XNSE</v>
    <v>XNSE</v>
    <v>8-2-337, Road No.3 Banjara Hills, HYDERABAD, TELANGANA, 500-034 IN</v>
    <v>1275</v>
    <v>Pharmaceuticals</v>
    <v>Stock</v>
    <v>46017.492881944447</v>
    <v>108</v>
    <v>1261.0999999999999</v>
    <v>1053819000000</v>
    <v>DR.REDDY'S LABORATORIES LTD</v>
    <v>DR.REDDY'S LABORATORIES LTD</v>
    <v>1265</v>
    <v>18.260000000000002</v>
    <v>1265.8</v>
    <v>1269.3</v>
    <v>832531900</v>
    <v>DRREDDY</v>
    <v>DR.REDDY'S LABORATORIES LTD (XNSE:DRREDDY)</v>
    <v>594744</v>
    <v>998730</v>
    <v>1984</v>
  </rv>
  <rv s="2">
    <v>109</v>
  </rv>
  <rv s="0">
    <v>https://www.bing.com/financeapi/forcetrigger?t=ahhokr&amp;q=XNSE%3aENDURANCE&amp;form=skydnc</v>
    <v>Learn more on Bing</v>
  </rv>
  <rv s="1">
    <v>en-US</v>
    <v>ahhokr</v>
    <v>268435456</v>
    <v>1</v>
    <v>Powered by Refinitiv</v>
    <v>0</v>
    <v>ENDURANCE TECHNOLOGIES LIMITED (XNSE:ENDURANCE)</v>
    <v>2</v>
    <v>3</v>
    <v>Finance</v>
    <v>4</v>
    <v>3079.9</v>
    <v>1675</v>
    <v>0.83109999999999995</v>
    <v>-32.299999999999997</v>
    <v>-1.2508999999999999E-2</v>
    <v>INR</v>
    <v>Endurance Technologies Limited is an India-based global automotive components manufacturer. The Company is in the business of manufacturing and selling aluminum die casting (including alloy wheel), suspension, transmission and braking products with operations spread across India. It has operations in India and Europe (Italy and Germany). In India, the Company predominantly caters to two-wheeler and three-wheeler original equipment manufacturers (OEMs) and its products include aluminum castings, suspensions, transmission, braking and battery management systems. In Europe, it supplies aluminum castings to four-wheeler OEMs and caters to the aftermarket for two-wheeler components. It provides end-to-end services by engaging its customers from conception to end user delivery and catering to the replacement market. Its aluminum die casting includes high pressure, low pressure, and gravity die-casting products. It has approximately 32 manufacturing plants globally.</v>
    <v>4302</v>
    <v>National Stock Exchange of India</v>
    <v>XNSE</v>
    <v>XNSE</v>
    <v>E-92, MIDC Industrial Area, Waluj, AURANGABAD, MAHARASHTRA, 431136 IN</v>
    <v>2599.9</v>
    <v>Automobiles &amp; Auto Parts</v>
    <v>Stock</v>
    <v>46017.492881944447</v>
    <v>111</v>
    <v>2541</v>
    <v>363205500000</v>
    <v>ENDURANCE TECHNOLOGIES LIMITED</v>
    <v>ENDURANCE TECHNOLOGIES LIMITED</v>
    <v>2583</v>
    <v>40.610300000000002</v>
    <v>2582.1</v>
    <v>2549.8000000000002</v>
    <v>140662900</v>
    <v>ENDURANCE</v>
    <v>ENDURANCE TECHNOLOGIES LIMITED (XNSE:ENDURANCE)</v>
    <v>24428</v>
    <v>58530</v>
    <v>1999</v>
  </rv>
  <rv s="2">
    <v>112</v>
  </rv>
  <rv s="7">
    <v>en-US</v>
    <v>ch7y27</v>
    <v>268435456</v>
    <v>1</v>
    <v>Powered by Refinitiv</v>
    <v>13</v>
    <v>SIEMENS ENERGY INDIA LIMITED (XNSE:ENRIN)</v>
    <v>6</v>
    <v>14</v>
    <v>Finance</v>
    <v>4</v>
    <v>3625</v>
    <v>2508.8000000000002</v>
    <v>-0.59199999999999997</v>
    <v>29.6</v>
    <v>1.1404000000000001E-2</v>
    <v>INR</v>
    <v>Siemens Energy India Ltd is engaged in infrastructure and transport as well as transmission and generation of electrical power. The Company offers a range of products, solutions and services covering a large part of the energy value chain. Its customer base includes oil and gas, power utilities, IPPs, EPCs, transmission system operators, data centers and industrial companies in sectors such as cement, metals, sugar and ethanol, paper &amp; pulp, and petrochemicals. The Company’s segments include Power Generation and Power Transmission. The Generation Segment focuses on business and related services, such as large and industrial gas turbines, large and industrial steam turbines, energy efficiency solutions such as waste heat recovery, and others. The Transmission segment focuses on manufacturing and supplying HV and EHV equipment like air insulated (AIS) and gas insulated (GIS) switchgears, power transformers, bushing, instrument transformers and coils and related accessories.</v>
    <v>National Stock Exchange of India</v>
    <v>XNSE</v>
    <v>XNSE</v>
    <v>Birla Aurora, Level 21, Plot No. 1080,Dr. Annie Besant Road, Worli, MUMBAI, MAHARASHTRA, 400030 IN</v>
    <v>2644</v>
    <v>Electrical Utilities &amp; IPPs</v>
    <v>Stock</v>
    <v>46017.492881944447</v>
    <v>2598.9</v>
    <v>924310800000</v>
    <v>SIEMENS ENERGY INDIA LIMITED</v>
    <v>SIEMENS ENERGY INDIA LIMITED</v>
    <v>2605</v>
    <v>84.01</v>
    <v>2595.5</v>
    <v>2625.1</v>
    <v>356120500</v>
    <v>ENRIN</v>
    <v>SIEMENS ENERGY INDIA LIMITED (XNSE:ENRIN)</v>
    <v>488094</v>
    <v>1460920</v>
    <v>2024</v>
  </rv>
  <rv s="2">
    <v>114</v>
  </rv>
  <rv s="0">
    <v>https://www.bing.com/financeapi/forcetrigger?t=c2u427&amp;q=XNSE%3aZOMATO&amp;form=skydnc</v>
    <v>Learn more on Bing</v>
  </rv>
  <rv s="1">
    <v>en-US</v>
    <v>c2u427</v>
    <v>268435456</v>
    <v>1</v>
    <v>Powered by Refinitiv</v>
    <v>0</v>
    <v>ETERNAL LIMITED (XNSE:ETERNAL)</v>
    <v>2</v>
    <v>3</v>
    <v>Finance</v>
    <v>4</v>
    <v>368.45</v>
    <v>194.8</v>
    <v>0.79549999999999998</v>
    <v>-3.1</v>
    <v>-1.0883E-2</v>
    <v>INR</v>
    <v>Eternal Limited, formerly Zomato Limited, operates as an Internet portal that helps in connecting the users, restaurant partners/third-party merchants and the delivery partners. It consists of four major businesses: Zomato, Blinkit, District, and Hyperpure. It also provides a platform for restaurant partners/brands to advertise themselves and supply ingredients to restaurant partners. Its India food ordering and delivery segment consists of an online marketplace platform through which it facilitates the listing and online ordering of food items and the delivery of these food items by connecting end users, restaurant partners and delivery partners. Its Hyperpure supplies (B2B business) segment offers farm-to-fork supplies for restaurants. Its quick commerce segment consists of an online marketplace platform (Marketplace), which enables listing of items sold on the Marketplace by the sellers. Its going-out segment is a combination of its dining-out and entertainment ticketing business.</v>
    <v>6903</v>
    <v>National Stock Exchange of India</v>
    <v>XNSE</v>
    <v>XNSE</v>
    <v>Pioneer Square Building, Sector 62, Golf Course Extension Road, GURGAON, HARYANA, 122098 IN</v>
    <v>284.64999999999998</v>
    <v>Software &amp; IT Services</v>
    <v>Stock</v>
    <v>46017.492881944447</v>
    <v>116</v>
    <v>279.7</v>
    <v>2563606000000</v>
    <v>ETERNAL LIMITED</v>
    <v>ETERNAL LIMITED</v>
    <v>281.8</v>
    <v>1340.47</v>
    <v>284.85000000000002</v>
    <v>281.75</v>
    <v>9098866000</v>
    <v>ETERNAL</v>
    <v>ETERNAL LIMITED (XNSE:ETERNAL)</v>
    <v>15744495</v>
    <v>22154480</v>
    <v>2010</v>
  </rv>
  <rv s="2">
    <v>117</v>
  </rv>
  <rv s="0">
    <v>https://www.bing.com/financeapi/forcetrigger?t=ahhqjc&amp;q=XNSE%3aEXIDEIND&amp;form=skydnc</v>
    <v>Learn more on Bing</v>
  </rv>
  <rv s="1">
    <v>en-US</v>
    <v>ahhqjc</v>
    <v>268435456</v>
    <v>1</v>
    <v>Powered by Refinitiv</v>
    <v>0</v>
    <v>EXIDE INDUSTRIES LIMITED (XNSE:EXIDEIND)</v>
    <v>2</v>
    <v>3</v>
    <v>Finance</v>
    <v>4</v>
    <v>431.6</v>
    <v>328</v>
    <v>1.0293000000000001</v>
    <v>-2</v>
    <v>-5.4469999999999996E-3</v>
    <v>INR</v>
    <v>Exide Industries Limited is engaged in manufacturing and sales of lead acid batteries and accumulators. The Company’s operates through Storage Batteries &amp; allied products segment. The Company manufactures electrical equipment, general purpose and special-purpose machinery and equipment, transport equipment. The Company’s products include automotive batteries, institutional ups batteries, inverter batteries, solar solutions, integrated power back-up systems, home ups systems, industrial batteries, genset batteries, e-rickshaw vehicles, and submarine batteries. Its automotive battery products include four-wheeler batteries, three-wheeler batteries, two-wheeler batteries and Exide e-ride batteries. Its products are used by automotive vehicles, uninterruptible power supplies (UPS) and inverters, automotive original equipment manufacturer (OEMs), industrial OEMs, institutional customers, government /non-government entities, Indian Navy, export dealers and distributors.</v>
    <v>5135</v>
    <v>National Stock Exchange of India</v>
    <v>XNSE</v>
    <v>XNSE</v>
    <v>Exide House, 59E, Chowringhee Road, KOLKATA, WEST BENGAL, 700020 IN</v>
    <v>369.75</v>
    <v>Automobiles &amp; Auto Parts</v>
    <v>Stock</v>
    <v>46017.492881944447</v>
    <v>119</v>
    <v>364.35</v>
    <v>312077500000</v>
    <v>EXIDE INDUSTRIES LIMITED</v>
    <v>EXIDE INDUSTRIES LIMITED</v>
    <v>365.05</v>
    <v>39.390500000000003</v>
    <v>367.15</v>
    <v>365.15</v>
    <v>850000000</v>
    <v>EXIDEIND</v>
    <v>EXIDE INDUSTRIES LIMITED (XNSE:EXIDEIND)</v>
    <v>457109</v>
    <v>1013080</v>
    <v>1947</v>
  </rv>
  <rv s="2">
    <v>120</v>
  </rv>
  <rv s="0">
    <v>https://www.bing.com/financeapi/forcetrigger?t=ahhyxm&amp;q=XNSE%3aGREAVESCOT&amp;form=skydnc</v>
    <v>Learn more on Bing</v>
  </rv>
  <rv s="1">
    <v>en-US</v>
    <v>ahhyxm</v>
    <v>268435456</v>
    <v>1</v>
    <v>Powered by Refinitiv</v>
    <v>0</v>
    <v>GREAVES COTTON LIMITED (XNSE:GREAVESCOT)</v>
    <v>2</v>
    <v>3</v>
    <v>Finance</v>
    <v>4</v>
    <v>319.5</v>
    <v>168.25</v>
    <v>0.68069999999999997</v>
    <v>-2.08</v>
    <v>-1.0917E-2</v>
    <v>INR</v>
    <v>Greaves Cotton Limited (GCL) is a diversified, multi-product, multi-fuel, and multi-location engineering company. GCL operates through its five business units, namely Greaves Engineering, Greaves Electric Mobility, Greaves Retail, Greaves Finance, and Greaves Technologies. Greaves Engineering provides design engineering and precision manufacturing solutions for a variety of industries, including automotive, agriculture, marine, construction, and railways. Greaves Electric Mobility is engaged in designing and manufacturing electric two-wheelers and three-wheelers. Greaves Retail provides aftermarket spares and equipment, across multiple sectors. Greaves Finance is an electronic vehicle (EV)-focused Non-Banking Financial Company (NBFC). Under its platform evfin, it provides financing solutions tailored to electric vehicle owners. Greaves Technologies is a full-service Engineering, Research &amp; Development (ER&amp;D), and digital services and solutions provider.</v>
    <v>1079</v>
    <v>National Stock Exchange of India</v>
    <v>XNSE</v>
    <v>XNSE</v>
    <v>Unit No. 1A, 5th Floor,, Tower 3, Equinox Business Park, LBS Marg, Kurla (W), MUMBAI, MAHARASHTRA, 400070 IN</v>
    <v>192.09</v>
    <v>Machinery, Equipment &amp; Components</v>
    <v>Stock</v>
    <v>46017.492881944447</v>
    <v>122</v>
    <v>187.68</v>
    <v>44363880000</v>
    <v>GREAVES COTTON LIMITED</v>
    <v>GREAVES COTTON LIMITED</v>
    <v>190.2</v>
    <v>42.61</v>
    <v>190.53</v>
    <v>188.45</v>
    <v>232844600</v>
    <v>GREAVESCOT</v>
    <v>GREAVES COTTON LIMITED (XNSE:GREAVESCOT)</v>
    <v>656434</v>
    <v>852380</v>
    <v>1922</v>
  </rv>
  <rv s="2">
    <v>123</v>
  </rv>
  <rv s="0">
    <v>https://www.bing.com/financeapi/forcetrigger?t=azjfim&amp;q=XNSE%3aHAL&amp;form=skydnc</v>
    <v>Learn more on Bing</v>
  </rv>
  <rv s="1">
    <v>en-US</v>
    <v>azjfim</v>
    <v>268435456</v>
    <v>1</v>
    <v>Powered by Refinitiv</v>
    <v>0</v>
    <v>HINDUSTAN AERONAUTICS LIMITED (XNSE:HAL)</v>
    <v>2</v>
    <v>3</v>
    <v>Finance</v>
    <v>4</v>
    <v>5165</v>
    <v>3046.05</v>
    <v>1.5961000000000001</v>
    <v>-12.1</v>
    <v>-2.7369999999999998E-3</v>
    <v>INR</v>
    <v>Hindustan Aeronautics Limited is an India-based company engaged in the design, development, manufacture, repair, overhaul, upgrade, and servicing of a wide range of products, including aircraft, helicopters, aero-engines, avionics, accessories, and aerospace structures. The Company’s aircraft products include the HAWK, Light Combat Aircraft (LCA), SU-30 MKI, Intermediate Jet Trainer (IJT), Dornier, and HTT-40. Its helicopter products include the Dhruv, Cheetah, Chetak, Lancer, Cheetal, Rudra, Light Combat Helicopter (LCH), and Light Utility Helicopter (LUH). Its civil aviation products include Do-228 Aircraft (Civil) and DHRUV (ALH) - NG. Its space products include Structures, Propellant Tank, and Cryogenic Engines. Its system products include Flight Data Recorder, Panel Instruments, Ground Radars, Forgings, Castings, and Others. Its maintenance, repair, and operations (MRO) products include Aircraft MRO, Helicopter MRO, Power Plant Services, and Systems, Accessories and Avionics.</v>
    <v>23999</v>
    <v>National Stock Exchange of India</v>
    <v>XNSE</v>
    <v>XNSE</v>
    <v>15/1, Cubbon Road, BANGALORE, KARNATAKA, 560001 IN</v>
    <v>4476</v>
    <v>Aerospace &amp; Defense</v>
    <v>Stock</v>
    <v>46017.492881944447</v>
    <v>125</v>
    <v>4401.1000000000004</v>
    <v>2956855000000</v>
    <v>HINDUSTAN AERONAUTICS LIMITED</v>
    <v>HINDUSTAN AERONAUTICS LIMITED</v>
    <v>4445</v>
    <v>34.812800000000003</v>
    <v>4421.3</v>
    <v>4409.2</v>
    <v>668775000</v>
    <v>HAL</v>
    <v>HINDUSTAN AERONAUTICS LIMITED (XNSE:HAL)</v>
    <v>690425</v>
    <v>667140</v>
    <v>1963</v>
  </rv>
  <rv s="2">
    <v>126</v>
  </rv>
  <rv s="0">
    <v>https://www.bing.com/financeapi/forcetrigger?t=bvtgbh&amp;q=XNSE%3aHAPPSTMNDS&amp;form=skydnc</v>
    <v>Learn more on Bing</v>
  </rv>
  <rv s="1">
    <v>en-US</v>
    <v>bvtgbh</v>
    <v>268435456</v>
    <v>1</v>
    <v>Powered by Refinitiv</v>
    <v>0</v>
    <v>HAPPIEST MINDS TECHNOLOGIES LIMITED (XNSE:HAPPSTMNDS)</v>
    <v>2</v>
    <v>3</v>
    <v>Finance</v>
    <v>4</v>
    <v>773.8</v>
    <v>474.2</v>
    <v>1.2217</v>
    <v>-6.6</v>
    <v>-1.3635E-2</v>
    <v>INR</v>
    <v>Happiest Minds Technologies Limited is an India-based digital transformation information technology (IT) consulting and services company. Its segments include Infrastructure Management &amp; Security Services (IMSS), Product Engineering Services (PES), and Digital Business Services (DBS). The IMSS segment delivers integrated infrastructure and security solutions with specialization in cloud, virtualization, and mobility across a multitude of industry verticals and geographies. The DBS segment delivers enterprise applications and customized solutions. This also provides advisory, design and architecture, custom-app development, package implementation, and testing services for IT initiatives. The PES segment assists software product companies in building products and services that integrate mobile, cloud, and social technologies. It offers a range of solutions, including APPrise, Digital Assisted Selling Platform (DASP), Integrated Security as a Service 9 (iSaaS), and others.</v>
    <v>4886</v>
    <v>National Stock Exchange of India</v>
    <v>XNSE</v>
    <v>XNSE</v>
    <v>SMILES 1, SJR Equinox, Sy.No.47/8, Doddathogur Village, Begur Hobli, Electronics City Phase 1, Hosur Road, BANGALORE, KARNATAKA, 560 100 IN</v>
    <v>487</v>
    <v>Software &amp; IT Services</v>
    <v>Stock</v>
    <v>46017.492881944447</v>
    <v>128</v>
    <v>475.65</v>
    <v>71716380000</v>
    <v>HAPPIEST MINDS TECHNOLOGIES LIMITED</v>
    <v>HAPPIEST MINDS TECHNOLOGIES LIMITED</v>
    <v>487</v>
    <v>37.33</v>
    <v>484.05</v>
    <v>477.45</v>
    <v>150207100</v>
    <v>HAPPSTMNDS</v>
    <v>HAPPIEST MINDS TECHNOLOGIES LIMITED (XNSE:HAPPSTMNDS)</v>
    <v>314984</v>
    <v>203050</v>
    <v>2011</v>
  </rv>
  <rv s="2">
    <v>129</v>
  </rv>
  <rv s="0">
    <v>https://www.bing.com/financeapi/forcetrigger?t=ahi2yc&amp;q=XNSE%3aHBLPOWER&amp;form=skydnc</v>
    <v>Learn more on Bing</v>
  </rv>
  <rv s="1">
    <v>en-US</v>
    <v>ahi2yc</v>
    <v>268435456</v>
    <v>1</v>
    <v>Powered by Refinitiv</v>
    <v>0</v>
    <v>HBL Engineering Limited (XNSE:HBLENGINE)</v>
    <v>2</v>
    <v>3</v>
    <v>Finance</v>
    <v>4</v>
    <v>1122</v>
    <v>405</v>
    <v>0.72340000000000004</v>
    <v>15.9</v>
    <v>1.8035000000000002E-2</v>
    <v>INR</v>
    <v>HBL Engineering Ltd, formerly HBL Power Systems Limited, is an India-based research-based engineering company. The Company's principal activities include manufacturing of different types of batteries, e-mobility and other products. It is also engaged in service activities related to its products. Its segments include Industrial batteries, Defence &amp; Aviation batteries, and Electronics. The Industrial batteries segment's products include lead-acid batteries, nickel cadmium batteries and pure lead thin plate batteries. This segment serves various sectors, such as telecom, uninterruptible power supply, railways, and others. Defence &amp; Aviation batteries segment's products include nickel cadmium sintered plate batteries, silver batteries, thermal batteries and submarine batteries. Electronics segment is organized into two divisions, namely railway electronics and electric mobility. Its train collision avoidance system (TCAS), called as Kavach by Indian Railways, addresses the safety issues.</v>
    <v>2152</v>
    <v>National Stock Exchange of India</v>
    <v>XNSE</v>
    <v>XNSE</v>
    <v>No. 8-2-601, Road No.10, Banjara Hills, HYDERABAD, TELANGANA, 500034 IN</v>
    <v>914.8</v>
    <v>Machinery, Equipment &amp; Components</v>
    <v>Stock</v>
    <v>46017.492881944447</v>
    <v>131</v>
    <v>876.25</v>
    <v>244375100000</v>
    <v>HBL Engineering Limited</v>
    <v>HBL Engineering Limited</v>
    <v>884.8</v>
    <v>38.18</v>
    <v>881.6</v>
    <v>897.5</v>
    <v>277194900</v>
    <v>HBLENGINE</v>
    <v>HBL Engineering Limited (XNSE:HBLENGINE)</v>
    <v>2377317</v>
    <v>2571430</v>
    <v>1986</v>
  </rv>
  <rv s="2">
    <v>132</v>
  </rv>
  <rv s="0">
    <v>https://www.bing.com/financeapi/forcetrigger?t=ahi3dm&amp;q=XNSE%3aHCLTECH&amp;form=skydnc</v>
    <v>Learn more on Bing</v>
  </rv>
  <rv s="1">
    <v>en-US</v>
    <v>ahi3dm</v>
    <v>268435456</v>
    <v>1</v>
    <v>Powered by Refinitiv</v>
    <v>0</v>
    <v>HCL TECHNOLOGIES LIMITED (XNSE:HCLTECH)</v>
    <v>2</v>
    <v>3</v>
    <v>Finance</v>
    <v>4</v>
    <v>2005.46</v>
    <v>1302.75</v>
    <v>0.97570000000000001</v>
    <v>-13.8</v>
    <v>-8.2399999999999991E-3</v>
    <v>INR</v>
    <v>HCL Technologies Limited is a technology company. It is engaged in providing a range of information technology (IT) and business services, engineering and research and development (R&amp;D) services and software products and IP-led offerings. Its segments include IT and Business services, Engineering and R&amp;D services, and HCL Software. IT and Business Services segment provide a comprehensive portfolio of IT and Business Services, such as application, infrastructure and digital process operations) and digital transformation services enabled by digital and analytics, IoTWoRKs, Cloud native and Cybersecurity solutions including products developed within these businesses. Engineering and R&amp;D Services provides engineering services and solutions across software, embedded, mechanical, VLSI and platform engineering that support the end-to-end lifecycle of products both hardware and software across diverse industries. HCL Software segment provides modernized software products and IP-led offerings.</v>
    <v>226640</v>
    <v>National Stock Exchange of India</v>
    <v>XNSE</v>
    <v>XNSE</v>
    <v>Technology Hub, SEZ, Plot No. 3A, Sector 126, NOIDA, UTTAR PRADESH, 201304 IN</v>
    <v>1676.4</v>
    <v>Software &amp; IT Services</v>
    <v>Stock</v>
    <v>46017.492881944447</v>
    <v>134</v>
    <v>1650.5</v>
    <v>4530918000000</v>
    <v>HCL TECHNOLOGIES LIMITED</v>
    <v>HCL TECHNOLOGIES LIMITED</v>
    <v>1668</v>
    <v>26.73</v>
    <v>1674.7</v>
    <v>1660.9</v>
    <v>2705510000</v>
    <v>HCLTECH</v>
    <v>HCL TECHNOLOGIES LIMITED (XNSE:HCLTECH)</v>
    <v>921138</v>
    <v>1696000</v>
    <v>1991</v>
  </rv>
  <rv s="2">
    <v>135</v>
  </rv>
  <rv s="0">
    <v>https://www.bing.com/financeapi/forcetrigger?t=ahi3jc&amp;q=XNSE%3aHDFCBANK&amp;form=skydnc</v>
    <v>Learn more on Bing</v>
  </rv>
  <rv s="1">
    <v>en-US</v>
    <v>ahi3jc</v>
    <v>268435456</v>
    <v>1</v>
    <v>Powered by Refinitiv</v>
    <v>0</v>
    <v>HDFC BANK LIMITED (XNSE:HDFCBANK)</v>
    <v>2</v>
    <v>3</v>
    <v>Finance</v>
    <v>4</v>
    <v>1020.5</v>
    <v>810.13</v>
    <v>0.95140000000000002</v>
    <v>-5.0999999999999996</v>
    <v>-5.1139999999999996E-3</v>
    <v>INR</v>
    <v>HDFC Bank Limited (the Bank) is a private bank. The Bank, together with its subsidiaries, is engaged in providing a range of banking and financial services, including retail banking, wholesale banking, treasury operations, insurance, asset management, stockbroking and other financial services businesses. Its segment includes treasury, retail banking, wholesale banking, and other banking operations. The treasury segment consists of net interest earnings from the Bank’s investment portfolio, money market borrowing and lending, and gains or losses on investment operations. The retail banking segment consists of digital banking and other retail banking. The wholesale banking segment provides loans, non-fund facilities and transaction services to corporates, emerging corporates, public sector units, government bodies, and others. The other banking operations segment includes parabanking activities such as credit cards, debit cards, third-party product distribution, and others.</v>
    <v>220339</v>
    <v>National Stock Exchange of India</v>
    <v>XNSE</v>
    <v>XNSE</v>
    <v>'Hdfc Bank House', Senapati Bapat Road, Lower Parel (West), Mumbai India, MUMBAI, MAHARASHTRA, 400013 IN</v>
    <v>997.2</v>
    <v>Banking Services</v>
    <v>Stock</v>
    <v>46017.492881944447</v>
    <v>137</v>
    <v>987.7</v>
    <v>15341460000000</v>
    <v>HDFC BANK LIMITED</v>
    <v>HDFC BANK LIMITED</v>
    <v>996</v>
    <v>20.991700000000002</v>
    <v>997.2</v>
    <v>992.1</v>
    <v>15384540000</v>
    <v>HDFCBANK</v>
    <v>HDFC BANK LIMITED (XNSE:HDFCBANK)</v>
    <v>9360853</v>
    <v>15878650</v>
    <v>1994</v>
  </rv>
  <rv s="2">
    <v>138</v>
  </rv>
  <rv s="0">
    <v>https://www.bing.com/financeapi/forcetrigger?t=bvlp7w&amp;q=XNSE%3aHBANKETF&amp;form=skydnc</v>
    <v>Learn more on Bing</v>
  </rv>
  <rv s="8">
    <v>en-US</v>
    <v>bvlp7w</v>
    <v>268435456</v>
    <v>1</v>
    <v>Powered by Refinitiv</v>
    <v>15</v>
    <v>HDFC NIFTY Bank ETF (XNSE:HDFCNIFBAN)</v>
    <v>16</v>
    <v>17</v>
    <v>Finance</v>
    <v>4</v>
    <v>62.3</v>
    <v>48.51</v>
    <v>0.94179999999999997</v>
    <v>-0.18</v>
    <v>-2.9659999999999999E-3</v>
    <v>INR</v>
    <v>National Stock Exchange of India</v>
    <v>XNSE</v>
    <v>1.6000000000000001E-3</v>
    <v>60.71</v>
    <v>ETF</v>
    <v>46017.492881944447</v>
    <v>140</v>
    <v>60.41</v>
    <v>28776070000</v>
    <v>HDFC NIFTY Bank ETF</v>
    <v>60.66</v>
    <v>60.68</v>
    <v>60.5</v>
    <v>HDFCNIFBAN</v>
    <v>HDFC NIFTY Bank ETF (XNSE:HDFCNIFBAN)</v>
    <v>16139</v>
  </rv>
  <rv s="2">
    <v>141</v>
  </rv>
  <rv s="9">
    <v>12</v>
    <v>Industry</v>
    <v>0</v>
  </rv>
  <rv s="0">
    <v>https://www.bing.com/financeapi/forcetrigger?t=ahi4cw&amp;q=XNSE%3aHEROMOTOCO&amp;form=skydnc</v>
    <v>Learn more on Bing</v>
  </rv>
  <rv s="1">
    <v>en-US</v>
    <v>ahi4cw</v>
    <v>268435456</v>
    <v>1</v>
    <v>Powered by Refinitiv</v>
    <v>0</v>
    <v>Hero MotoCorp Limited (XNSE:HEROMOTOCO)</v>
    <v>2</v>
    <v>3</v>
    <v>Finance</v>
    <v>4</v>
    <v>6388.5</v>
    <v>3344</v>
    <v>0.83089999999999997</v>
    <v>-61.5</v>
    <v>-1.0792E-2</v>
    <v>INR</v>
    <v>Hero MotoCorp Limited is an India-based two-wheeler manufacturing company. The Company is engaged in the manufacturing and selling of motorized two-wheelers, spare parts and related services. Its product category includes motorcycles, scooters, and parts. Its motorcycle products are XTREME 250R, XPULSE 210, GLAMOUR X, KARIZMA XMR, HF 100, XTREME 125R, SPLENDOR+, GLAMOUR XTEC, XTREME 160R 4V, MAVRICK 440, and others. Its scooter products include XOOM 160, Pleasure+ XTEC, XOOM, Destini PRIME, and NEW DESCTINI 125. Its accessories include Hero H1 Bluetooth helmet device, Smart Intercom Helmet Device, Tourer Magnetic Tank Bag, and Adventure Magnetic Tank Bag. The Company's electric vehicles are VIDA V2 PRO, VIDA V2 PLUS and VIDA V2 LITE. It also provides periodic maintenance for accidental repair with a range of parts, engine oil, and accessories. The Company's subsidiaries include HMCL Americas Inc. USA, HMCL Netherlands B.V., HMC MM Auto Limited, and Hero Tech Centre Germany GmbH.</v>
    <v>9527</v>
    <v>National Stock Exchange of India</v>
    <v>XNSE</v>
    <v>XNSE</v>
    <v>The Grand Plaza, Plot No.2, Nelson Mandela Road, Vasant Kunj - Phase -II, NEW DELHI, DELHI, 110070 IN</v>
    <v>5720</v>
    <v>Automobiles &amp; Auto Parts</v>
    <v>Stock</v>
    <v>46017.492881944447</v>
    <v>144</v>
    <v>5611</v>
    <v>1140165000000</v>
    <v>Hero MotoCorp Limited</v>
    <v>Hero MotoCorp Limited</v>
    <v>5698.5</v>
    <v>21.57</v>
    <v>5698.5</v>
    <v>5637</v>
    <v>200081600</v>
    <v>HEROMOTOCO</v>
    <v>Hero MotoCorp Limited (XNSE:HEROMOTOCO)</v>
    <v>249826</v>
    <v>661680</v>
    <v>1984</v>
  </rv>
  <rv s="2">
    <v>145</v>
  </rv>
  <rv s="0">
    <v>https://www.bing.com/financeapi/forcetrigger?t=ahi59c&amp;q=XNSE%3aHINDALCO&amp;form=skydnc</v>
    <v>Learn more on Bing</v>
  </rv>
  <rv s="1">
    <v>en-US</v>
    <v>ahi59c</v>
    <v>268435456</v>
    <v>1</v>
    <v>Powered by Refinitiv</v>
    <v>0</v>
    <v>HINDALCO INDUSTRIES LIMITED (XNSE:HINDALCO)</v>
    <v>2</v>
    <v>3</v>
    <v>Finance</v>
    <v>4</v>
    <v>882.3</v>
    <v>546.45000000000005</v>
    <v>1.5861000000000001</v>
    <v>8.4499999999999993</v>
    <v>9.7750000000000007E-3</v>
    <v>INR</v>
    <v>Hindalco Industries Limited is an India-based metals flagship company. The Company is primarily engaged in the business of manufacturing and distribution of aluminium, copper, and its products across the globe. It operates through four segments: Novelis, Aluminium Upstream, Aluminium Downstream and Copper. The Novelis segment is engaged in producing and selling aluminium sheet and light gauge products and operating in four continents: North America, South America, Europe, and Asia. The Aluminium Upstream segment is engaged in bauxite and coal mining, alumina specials, refineries, metal, and power. The Aluminium Downstream segment includes aluminium value-added products, such as flat rolled products, extrusion, and foils. The Copper segment includes copper cathode, copper rods, precious metals, and di-ammonium phosphate. Its brands include Hindalco PrizTec, Hindalco Ecoedge C, Hindalco Ecoedge G, Hindalco Everlast, Eternia, Freshwrapp, FUSALOX and Totalis.</v>
    <v>24088</v>
    <v>National Stock Exchange of India</v>
    <v>XNSE</v>
    <v>XNSE</v>
    <v>Birla Centurion, 7th floor, Pandurang Budhkar Road, Worli, MUMBAI, MAHARASHTRA, 400030 IN</v>
    <v>874.75</v>
    <v>Metals &amp; Mining</v>
    <v>Stock</v>
    <v>46017.492881944447</v>
    <v>147</v>
    <v>861</v>
    <v>1951043000000</v>
    <v>HINDALCO INDUSTRIES LIMITED</v>
    <v>HINDALCO INDUSTRIES LIMITED</v>
    <v>865.25</v>
    <v>10.81</v>
    <v>864.45</v>
    <v>872.9</v>
    <v>2235128000</v>
    <v>HINDALCO</v>
    <v>HINDALCO INDUSTRIES LIMITED (XNSE:HINDALCO)</v>
    <v>2334952</v>
    <v>4289860</v>
    <v>1958</v>
  </rv>
  <rv s="2">
    <v>148</v>
  </rv>
  <rv s="0">
    <v>https://www.bing.com/financeapi/forcetrigger?t=ahi62w&amp;q=XNSE%3aHINDUNILVR&amp;form=skydnc</v>
    <v>Learn more on Bing</v>
  </rv>
  <rv s="1">
    <v>en-US</v>
    <v>ahi62w</v>
    <v>268435456</v>
    <v>1</v>
    <v>Powered by Refinitiv</v>
    <v>0</v>
    <v>HINDUSTAN UNILEVER LIMITED (XNSE:HINDUNILVR)</v>
    <v>2</v>
    <v>3</v>
    <v>Finance</v>
    <v>4</v>
    <v>2705.1</v>
    <v>2101.13</v>
    <v>0.74950000000000006</v>
    <v>3.2</v>
    <v>1.4019999999999998E-3</v>
    <v>INR</v>
    <v>Hindustan Unilever Limited is an India-based fast-moving consumer goods company. The Company's segments include Home Care, Beauty &amp; Wellbeing, Personal Care, Foods, and Others (includes Exports, Consignment, etc). Its product categories include skin cleansing, hair care, skin care and color cosmetics, oral care, deodorant and male toiletries, fabric care, household care, nutrition drinks, foods, and beverages. The Company has over 50 brands, including Acne - Squad, Active Wheel 2 in 1, Axe, Boost, Breeze, Brooke Bond 3 Roses, Brooke Bond Red Label, Brooke Bond Taaza, Clinic Plus, Closeup, Comfort, Dermalogica, Domex, Dove, Elle 18, Find Your Happy Place, Glow &amp; Handsome, Glow &amp; Lovely, Hamam, Horlicks, Horlicks Diabetes Plus, Lipton, and Minimalist. Lux is a global brand which offers beauty soaps, shower gels, bath additives, shampoos and others. ELLE 18 brand’s range of cosmetics includes eyeliner, kajal, lipstick, nail polish, compact and foundation.</v>
    <v>18802</v>
    <v>National Stock Exchange of India</v>
    <v>XNSE</v>
    <v>XNSE</v>
    <v>Unilever House,, B D Sawant Marg, Chakala,, Andheri (E), MUMBAI, MAHARASHTRA, 400099 IN</v>
    <v>2290</v>
    <v>Personal &amp; Household Products &amp; Services</v>
    <v>Stock</v>
    <v>46017.492881944447</v>
    <v>150</v>
    <v>2275</v>
    <v>5362237000000</v>
    <v>HINDUSTAN UNILEVER LIMITED</v>
    <v>HINDUSTAN UNILEVER LIMITED</v>
    <v>2282.3000000000002</v>
    <v>49.318100000000001</v>
    <v>2282.1999999999998</v>
    <v>2285.4</v>
    <v>2349591000</v>
    <v>HINDUNILVR</v>
    <v>HINDUSTAN UNILEVER LIMITED (XNSE:HINDUNILVR)</v>
    <v>533626</v>
    <v>1238290</v>
    <v>1933</v>
  </rv>
  <rv s="2">
    <v>151</v>
  </rv>
  <rv s="0">
    <v>http://en.wikipedia.org/wiki/Public_domain</v>
    <v>Public domain</v>
  </rv>
  <rv s="0">
    <v>http://zh.wikipedia.org/wiki/ICICI银行</v>
    <v>Wikipedia</v>
  </rv>
  <rv s="4">
    <v>153</v>
    <v>154</v>
  </rv>
  <rv s="5">
    <v>12</v>
    <v>https://www.bing.com/th?id=AMMS_7a55564cbcf9b185c2bd50f7f3a85b23&amp;qlt=95</v>
    <v>155</v>
    <v>0</v>
    <v>https://www.bing.com/images/search?form=xlimg&amp;q=icici+bank</v>
    <v>Image of ICICI BANK LIMITED</v>
  </rv>
  <rv s="0">
    <v>https://www.bing.com/financeapi/forcetrigger?t=ahi877&amp;q=XNSE%3aICICIBANK&amp;form=skydnc</v>
    <v>Learn more on Bing</v>
  </rv>
  <rv s="6">
    <v>en-US</v>
    <v>ahi877</v>
    <v>268435456</v>
    <v>1</v>
    <v>Powered by Refinitiv</v>
    <v>8</v>
    <v>ICICI BANK LIMITED (XNSE:ICICIBANK)</v>
    <v>10</v>
    <v>11</v>
    <v>Finance</v>
    <v>4</v>
    <v>1500</v>
    <v>1186</v>
    <v>0.9657</v>
    <v>-9.4</v>
    <v>-6.9129999999999999E-3</v>
    <v>INR</v>
    <v>ICICI Bank Limited is a diversified financial services company offering a range of banking and financial services to corporate and retail customers through a variety of delivery channels. The Company offers life and general insurance, asset management, securities broking and private equity products and services through specialized subsidiaries. Its segments include Retail Banking, Wholesale Banking, Treasury, Other Banking, Life Insurance, General Insurance, and Others. Its commercial banking operations for retail customers consist of retail lending, deposit taking, distribution of insurance and investment products and other fee-based products and services. It provides a range of commercial banking products and services, including loan products, fee and commission-based products and services, deposit products and foreign exchange and derivatives products to large corporations, middle market companies and small and medium enterprises. It offers agricultural and rural banking products.</v>
    <v>129177</v>
    <v>National Stock Exchange of India</v>
    <v>XNSE</v>
    <v>XNSE</v>
    <v>ICICI Bank Towers, Bandra-Kurla Complex, MUMBAI, MAHARASHTRA, 400051 IN</v>
    <v>1362</v>
    <v>156</v>
    <v>Banking Services</v>
    <v>Stock</v>
    <v>46017.492881944447</v>
    <v>157</v>
    <v>1348.5</v>
    <v>9719011000000</v>
    <v>ICICI BANK LIMITED</v>
    <v>ICICI BANK LIMITED</v>
    <v>1356.5</v>
    <v>17.980399999999999</v>
    <v>1359.8</v>
    <v>1350.4</v>
    <v>7147382000</v>
    <v>ICICIBANK</v>
    <v>ICICI BANK LIMITED (XNSE:ICICIBANK)</v>
    <v>2812144</v>
    <v>8683730</v>
    <v>1994</v>
  </rv>
  <rv s="2">
    <v>158</v>
  </rv>
  <rv s="0">
    <v>https://www.bing.com/financeapi/forcetrigger?t=ahi8u2&amp;q=XNSE%3aIDEA&amp;form=skydnc</v>
    <v>Learn more on Bing</v>
  </rv>
  <rv s="1">
    <v>en-US</v>
    <v>ahi8u2</v>
    <v>268435456</v>
    <v>1</v>
    <v>Powered by Refinitiv</v>
    <v>0</v>
    <v>VODAFONE IDEA LIMITED (XNSE:IDEA)</v>
    <v>2</v>
    <v>3</v>
    <v>Finance</v>
    <v>4</v>
    <v>12.22</v>
    <v>6.12</v>
    <v>0.97689999999999999</v>
    <v>-0.08</v>
    <v>-6.6559999999999996E-3</v>
    <v>INR</v>
    <v>Vodafone Idea Limited is an India-based telecom service provider. The Company is engaged in the business of telecommunication services. It provides pan-India voice and data services across second-generation (2G), third generation (3G) and fourth generation (4G) platforms. Its Vodafone Idea business services provide communication solutions to global and Indian corporations, public sector and government bodies, small and medium enterprises, and start-ups. The Company’s services include Voice Services, Broadband Services, Content and Digital Offerings, and Other Value-Added Services (VAS) Offerings. It offers a variety of other VAS offerings, including Voice and SMS based services such as caller tunes, voice &amp; SMS chat and Utility services such as missed call alerts. Its subsidiaries include Vodafone Foundation, Vodafone Idea Business Services Limited, Vodafone Idea Communication Systems Limited, Vodafone Idea Manpower Services Limited, among others.</v>
    <v>9985</v>
    <v>National Stock Exchange of India</v>
    <v>XNSE</v>
    <v>XNSE</v>
    <v>Birla Centurion, 10th Floor, Century Mills Compound, Pandurang Budhkar Marg Worli, MUMBAI, MAHARASHTRA, 400030 IN</v>
    <v>12.09</v>
    <v>Telecommunications Services</v>
    <v>Stock</v>
    <v>46017.492881944447</v>
    <v>160</v>
    <v>11.89</v>
    <v>1302283000000</v>
    <v>VODAFONE IDEA LIMITED</v>
    <v>VODAFONE IDEA LIMITED</v>
    <v>12</v>
    <v>0</v>
    <v>12.02</v>
    <v>11.94</v>
    <v>108343000000</v>
    <v>IDEA</v>
    <v>VODAFONE IDEA LIMITED (XNSE:IDEA)</v>
    <v>516916600</v>
    <v>963608300</v>
    <v>1995</v>
  </rv>
  <rv s="2">
    <v>161</v>
  </rv>
  <rv s="10">
    <v>en-US</v>
    <v>ca9dw7</v>
    <v>268435456</v>
    <v>1</v>
    <v>Powered by Refinitiv</v>
    <v>18</v>
    <v>IDEAFORGE TECHNOLOGY LIMITED (XNSE:IDEAFORGE)</v>
    <v>6</v>
    <v>3</v>
    <v>Finance</v>
    <v>4</v>
    <v>659.85</v>
    <v>304.2</v>
    <v>1.6259999999999999</v>
    <v>2.95</v>
    <v>6.1450000000000003E-3</v>
    <v>INR</v>
    <v>ideaForge Technology Limited is an India-based company operating under the unmanned aircraft systems (UAS) market. It is engaged in manufacturing and marketing of unmanned aerial vehicles (UAVs) used for security and surveillance. It develops and manufactures vertical take-off and landing (VTOL) and fixed-wing VTOL hybrid UAVs. Its product portfolio consists of Hardware, which includes UAVs, such as V4PRO, Q4i, Q6, NETRA V4+, SWITCH, payloads like daylight cameras, thermal cameras, photogrammetry payloads, megaphones, battery systems, communication systems, ground control stations and packaging systems; Software and embedded sub-systems include BlueFire Touch (Ground Control Software) for controlling and managing UAVs and autopilot sub-systems, BlueFire Live (Live streaming and payload control software) and Autopilot, and solutions, which include BlueFire MapAssist, Surveillance Pro and GIS Pro. It provides drone operations as an on-demand or subscription service under the DaaS model.</v>
    <v>513</v>
    <v>National Stock Exchange of India</v>
    <v>XNSE</v>
    <v>XNSE</v>
    <v>EL-146 TTC Industrial Area,, Electronic Zone, MIDC Mahape, NAVI MUMBAI, MAHARASHTRA, 400710 IN</v>
    <v>488.8</v>
    <v>Aerospace &amp; Defense</v>
    <v>Stock</v>
    <v>46017.492881944447</v>
    <v>477.8</v>
    <v>20766100000</v>
    <v>IDEAFORGE TECHNOLOGY LIMITED</v>
    <v>IDEAFORGE TECHNOLOGY LIMITED</v>
    <v>482</v>
    <v>0</v>
    <v>480.1</v>
    <v>483.05</v>
    <v>43253700</v>
    <v>IDEAFORGE</v>
    <v>IDEAFORGE TECHNOLOGY LIMITED (XNSE:IDEAFORGE)</v>
    <v>513615</v>
    <v>1651640</v>
    <v>2007</v>
  </rv>
  <rv s="2">
    <v>163</v>
  </rv>
  <rv s="0">
    <v>https://www.bing.com/financeapi/forcetrigger?t=ahiabh&amp;q=XNSE%3aINDHOTEL&amp;form=skydnc</v>
    <v>Learn more on Bing</v>
  </rv>
  <rv s="1">
    <v>en-US</v>
    <v>ahiabh</v>
    <v>268435456</v>
    <v>1</v>
    <v>Powered by Refinitiv</v>
    <v>0</v>
    <v>THE INDIAN HOTELS COMPANY LIMITED (XNSE:INDHOTEL)</v>
    <v>2</v>
    <v>3</v>
    <v>Finance</v>
    <v>4</v>
    <v>894.9</v>
    <v>672.6</v>
    <v>0.82</v>
    <v>-0.5</v>
    <v>-6.7559999999999994E-4</v>
    <v>INR</v>
    <v>The Indian Hotels Company Limited is an India-based hospitality company. The Company and its subsidiaries are primarily engaged in the business of owning, operating and managing hotels, palaces and resorts. Its segments include Hoteliering and Air and Institutional catering. The Company's portfolio comprises not only premium and luxury hotel brands, but also includes diverse F&amp;B, wellness, salon, and lifestyle brands. The Company’s brands include Taj, SeleQtions, Gateway, Vivanta, Ginger, Tree of Life, ama Stays &amp; Trails, Qmin, and Taj Sats. Taj hotels include St. James' Court, A Taj Hotel; The Pierre, A Taj Hotel, New York; Taj Lands End, Mumbai; The Taj Mahal Palace, Mumbai; Taj Exotica Resort &amp; Spa, Goa; Taj Fort Aguada Resort &amp; Spa, Goa; Taj Mahal Tower, Mumbai; Taj Santacruz, Mumbai; Taj Holiday Village Resort &amp; Spa, Goa, and Taj Palace, New Delhi. Gateway resorts and hotels include Gateway Bekal, Gateway Coonoor and Gateway Chikmagalur.</v>
    <v>20090</v>
    <v>National Stock Exchange of India</v>
    <v>XNSE</v>
    <v>XNSE</v>
    <v>9th Floor, Express Towers, Barrister Rajni, Patel Marg, Nariman point, MUMBAI, MAHARASHTRA, 400021 IN</v>
    <v>744.5</v>
    <v>Hotels &amp; Entertainment Services</v>
    <v>Stock</v>
    <v>46017.492881944447</v>
    <v>165</v>
    <v>736.45</v>
    <v>1053482000000</v>
    <v>THE INDIAN HOTELS COMPANY LIMITED</v>
    <v>THE INDIAN HOTELS COMPANY LIMITED</v>
    <v>740.1</v>
    <v>62.5</v>
    <v>740.1</v>
    <v>739.6</v>
    <v>1423432000</v>
    <v>INDHOTEL</v>
    <v>THE INDIAN HOTELS COMPANY LIMITED (XNSE:INDHOTEL)</v>
    <v>1596208</v>
    <v>2176480</v>
    <v>1902</v>
  </rv>
  <rv s="2">
    <v>166</v>
  </rv>
  <rv s="0">
    <v>https://www.bing.com/financeapi/forcetrigger?t=ahiasm&amp;q=XNSE%3aINDIGO&amp;form=skydnc</v>
    <v>Learn more on Bing</v>
  </rv>
  <rv s="1">
    <v>en-US</v>
    <v>ahiasm</v>
    <v>268435456</v>
    <v>1</v>
    <v>Powered by Refinitiv</v>
    <v>0</v>
    <v>INTERGLOBE AVIATION LIMITED (XNSE:INDIGO)</v>
    <v>2</v>
    <v>3</v>
    <v>Finance</v>
    <v>4</v>
    <v>6232.5</v>
    <v>3945</v>
    <v>1.3673999999999999</v>
    <v>-7.5</v>
    <v>-1.4760000000000001E-3</v>
    <v>INR</v>
    <v>InterGlobe Aviation Limited (IndiGo) is an India-based company, which is engaged in the airline business. The principal activities of IndiGo comprise air transportation, which includes passenger and cargo services, and providing related allied services, including inflight sales. IndiGo provides scheduled and charter air services, for both passengers and cargo. It has a fleet of approximately 437 aircraft and provides scheduled services to over 91 domestic and 40 international destinations. IndiGo's subsidiaries include Agile Airport Services Private Limited and InterGlobe Aviation Financial Services IFSC Private Limited. Agile Airport Services Private Limited is engaged in the business of providing ground handling and other allied services to IndiGo at various airports in India.</v>
    <v>41049</v>
    <v>National Stock Exchange of India</v>
    <v>XNSE</v>
    <v>XNSE</v>
    <v>Third floor, Emaar Capital Tower 2, Mehrauli - Gurgaon Road, GURGAON, HARYANA, 122002 IN</v>
    <v>5098</v>
    <v>Passenger Transportation Services</v>
    <v>Stock</v>
    <v>46017.492881944447</v>
    <v>168</v>
    <v>5031</v>
    <v>1961561000000</v>
    <v>INTERGLOBE AVIATION LIMITED</v>
    <v>INTERGLOBE AVIATION LIMITED</v>
    <v>5081.5</v>
    <v>38.409999999999997</v>
    <v>5081.5</v>
    <v>5074</v>
    <v>386590600</v>
    <v>INDIGO</v>
    <v>INTERGLOBE AVIATION LIMITED (XNSE:INDIGO)</v>
    <v>585777</v>
    <v>3472220</v>
    <v>2004</v>
  </rv>
  <rv s="2">
    <v>169</v>
  </rv>
  <rv s="0">
    <v>https://www.bing.com/financeapi/forcetrigger?t=ahicim&amp;q=XNSE%3aINFY&amp;form=skydnc</v>
    <v>Learn more on Bing</v>
  </rv>
  <rv s="1">
    <v>en-US</v>
    <v>ahicim</v>
    <v>268435456</v>
    <v>1</v>
    <v>Powered by Refinitiv</v>
    <v>0</v>
    <v>INFOSYS LIMITED (XNSE:INFY)</v>
    <v>2</v>
    <v>3</v>
    <v>Finance</v>
    <v>4</v>
    <v>1982.8</v>
    <v>1307</v>
    <v>0.82589999999999997</v>
    <v>-7.3</v>
    <v>-4.3890000000000005E-3</v>
    <v>INR</v>
    <v>Infosys Limited is an India-based company, which provides digital services and consulting. The Company enables clients in approximately 59 countries to navigate their digital transformation powered by cloud and artificial intelligence (AI). Its segments include Financial Services; Retail; Communication; Energy, Utilities, Resources and Services; Manufacturing; Hi-Tech; Life Sciences, and All other segments. The Company's solutions have been primarily classified as digital and core. Its digital solutions include experience, insight, innovate, accelerate, and assure. Its experience solutions include Infosys Aster, Digital Marketing, Digital Commerce and Infosys Metaverse Foundry. Its insight solutions include Infosys Topaz, Infosys Generative AI Labs, Data Analytics and AI, Infosys Sustainability Services and Applied AI. Its core solutions include application management services, proprietary application development services, traditional enterprise application implementation and others.</v>
    <v>331991</v>
    <v>National Stock Exchange of India</v>
    <v>XNSE</v>
    <v>XNSE</v>
    <v>Electronics City Hosur Rd, BANGALORE, KARNATAKA, 560100 IN</v>
    <v>1668.8</v>
    <v>Software &amp; IT Services</v>
    <v>Stock</v>
    <v>46017.492881944447</v>
    <v>171</v>
    <v>1651.7</v>
    <v>6699879000000</v>
    <v>INFOSYS LIMITED</v>
    <v>INFOSYS LIMITED</v>
    <v>1663.4</v>
    <v>24.51</v>
    <v>1663.4</v>
    <v>1656.1</v>
    <v>4045576000</v>
    <v>INFY</v>
    <v>INFOSYS LIMITED (XNSE:INFY)</v>
    <v>2006491</v>
    <v>7799010</v>
    <v>1981</v>
  </rv>
  <rv s="2">
    <v>172</v>
  </rv>
  <rv s="0">
    <v>https://www.bing.com/financeapi/forcetrigger?t=ahidf2&amp;q=XNSE%3aIOC&amp;form=skydnc</v>
    <v>Learn more on Bing</v>
  </rv>
  <rv s="1">
    <v>en-US</v>
    <v>ahidf2</v>
    <v>268435456</v>
    <v>1</v>
    <v>Powered by Refinitiv</v>
    <v>0</v>
    <v>INDIAN OIL CORPORATION LIMITED (XNSE:IOC)</v>
    <v>2</v>
    <v>3</v>
    <v>Finance</v>
    <v>4</v>
    <v>174.5</v>
    <v>110.72</v>
    <v>1.3577999999999999</v>
    <v>-0.87</v>
    <v>-5.3979999999999992E-3</v>
    <v>INR</v>
    <v>Indian Oil Corporation Limited is an India-based oil company. The Company's segments include Petroleum Products, Petrochemicals, Gas, and Other Business Activities. Its Other Business Activities segment includes oil and gas exploration activities, explosives and cryogenic business, and wind mill and solar power generation. Its business interests span the entire hydrocarbon value-chain, ranging from refining (downstream), pipeline transportation and marketing to exploration and production of petrochemicals, natural gas and alternative energy. Its downstream business includes city gas distribution (CGD), natural gas supply to bulk consumers, and distribution and marketing of LPG and Industrial Fuels. Its green energy portfolio focuses on CBG and sustainable aviation fuel (SAF). It owns and operates approximately 10 refineries across India. Its subsidiaries include Chennai Petroleum Corporation Limited, IndianOil (Mauritius) Limited, IOC Sweden AB, and IndOil Global B.V., among others.</v>
    <v>29941</v>
    <v>National Stock Exchange of India</v>
    <v>XNSE</v>
    <v>XNSE</v>
    <v>3079/3, Sadiq Nagar, J B Tito Marg, NEW DELHI, DELHI, 110049 IN</v>
    <v>161.94</v>
    <v>Oil &amp; Gas</v>
    <v>Stock</v>
    <v>46017.492881944447</v>
    <v>174</v>
    <v>159.61000000000001</v>
    <v>2275920000000</v>
    <v>INDIAN OIL CORPORATION LIMITED</v>
    <v>INDIAN OIL CORPORATION LIMITED</v>
    <v>161.1</v>
    <v>8.93</v>
    <v>161.16999999999999</v>
    <v>160.30000000000001</v>
    <v>14121240000</v>
    <v>IOC</v>
    <v>INDIAN OIL CORPORATION LIMITED (XNSE:IOC)</v>
    <v>7762050</v>
    <v>14996870</v>
    <v>1959</v>
  </rv>
  <rv s="2">
    <v>175</v>
  </rv>
  <rv s="0">
    <v>https://www.bing.com/financeapi/forcetrigger?t=c2mrsm&amp;q=XNSE%3aIPL&amp;form=skydnc</v>
    <v>Learn more on Bing</v>
  </rv>
  <rv s="1">
    <v>en-US</v>
    <v>c2mrsm</v>
    <v>268435456</v>
    <v>1</v>
    <v>Powered by Refinitiv</v>
    <v>0</v>
    <v>INDIA PESTICIDES LIMITED. (XNSE:IPL)</v>
    <v>2</v>
    <v>3</v>
    <v>Finance</v>
    <v>4</v>
    <v>245.84</v>
    <v>119.79</v>
    <v>0.92900000000000005</v>
    <v>-1.43</v>
    <v>-8.1560000000000001E-3</v>
    <v>INR</v>
    <v>India Pesticides Limited is an India-based globally operating agrochemical company, which manufactures Agro-Chemicals and Active Pharma Ingredients (APIs). The Company offers herbicides, fungicides, insecticides, growth regulators, intermediates, acaricide, and APIs. Its product categories include Technicals, Formulations, and APIs. Its Technicals products include prosulfocarb, pretilachlor, cymoxanil, captan, folpet, diafenthiuron, thiamethoxam, thiocarbamate, pyriproxyfen, etridiazole and PEDA. Its branded formulations include Grip, Pendizet, Trisol, Clogold, Vecto, Trim, Sodhit, Captax-50, Carbo, Tridev, Difen, Star, Talvar, Contanol, Guru, Shakti, and Sparkle. Its API products are used for manufacturing final drugs to treat dermatological problems, such as antifungal and anti-scabies medications. It has its manufacturing site for agrochemical production at Sandila and Dewa Road in Uttar Pradesh.</v>
    <v>1040</v>
    <v>National Stock Exchange of India</v>
    <v>XNSE</v>
    <v>XNSE</v>
    <v>Swarup Cold Storage Compound, Water Works Road, Aishbagh, LUCKNOW, UTTAR PRADESH, 226004 IN</v>
    <v>177.4</v>
    <v>Chemicals</v>
    <v>Stock</v>
    <v>46017.492881944447</v>
    <v>177</v>
    <v>172.35</v>
    <v>20191620000</v>
    <v>INDIA PESTICIDES LIMITED.</v>
    <v>INDIA PESTICIDES LIMITED.</v>
    <v>174.98</v>
    <v>19.66</v>
    <v>175.33</v>
    <v>173.9</v>
    <v>115163500</v>
    <v>IPL</v>
    <v>INDIA PESTICIDES LIMITED. (XNSE:IPL)</v>
    <v>105308</v>
    <v>100650</v>
    <v>1984</v>
  </rv>
  <rv s="2">
    <v>178</v>
  </rv>
  <rv s="0">
    <v>https://www.bing.com/financeapi/forcetrigger?t=bju4qh&amp;q=XNSE%3aIRCON&amp;form=skydnc</v>
    <v>Learn more on Bing</v>
  </rv>
  <rv s="1">
    <v>en-US</v>
    <v>bju4qh</v>
    <v>268435456</v>
    <v>1</v>
    <v>Powered by Refinitiv</v>
    <v>0</v>
    <v>Ircon International Ltd (XNSE:IRCON)</v>
    <v>2</v>
    <v>3</v>
    <v>Finance</v>
    <v>4</v>
    <v>229.5</v>
    <v>134.24</v>
    <v>1.2665</v>
    <v>8.01</v>
    <v>4.6924E-2</v>
    <v>INR</v>
    <v>Ircon International Limited is an India-based integrated engineering and construction company. The Company operates in infrastructure sectors, including railways, highways, bridges, flyovers, tunnels, metro systems, railway electrification, extra-high voltage substations, electrical and mechanical works, commercial and residential buildings, and railway production units, among others. Its service portfolio includes Engineering, Procurement and Construction (EPC), Public-Private Partnership (PPP), Project Management &amp; Consultancy (PMC), and Real Estate (RE). The Company also executes coal connectivity projects in joint ventures with other Central Public Sector Enterprises (CPSEs) under the Ministry of Coal. Its geographical segments include International and Domestic. Its subsidiaries include Ircon Infrastructure &amp; Services Limited, Ircon Shivpuri Guna Tollway Limited, Ircon PB Tollway Limited, Ircon Davanagere Haveri Highway Limited, Ircon Vadodara Kim Expressway Limited, and others.</v>
    <v>1182</v>
    <v>National Stock Exchange of India</v>
    <v>XNSE</v>
    <v>XNSE</v>
    <v>C-4, District Centre,, Saket, NEW DELHI, DELHI, 110017 IN</v>
    <v>186.44</v>
    <v>Construction &amp; Engineering</v>
    <v>Stock</v>
    <v>46017.492881944447</v>
    <v>180</v>
    <v>169</v>
    <v>160546000000</v>
    <v>Ircon International Ltd</v>
    <v>Ircon International Ltd</v>
    <v>170.01</v>
    <v>27.990400000000001</v>
    <v>170.7</v>
    <v>178.71</v>
    <v>940515700</v>
    <v>IRCON</v>
    <v>Ircon International Ltd (XNSE:IRCON)</v>
    <v>50323184</v>
    <v>9552020</v>
    <v>1976</v>
  </rv>
  <rv s="2">
    <v>181</v>
  </rv>
  <rv s="0">
    <v>https://www.bing.com/financeapi/forcetrigger?t=bsg5qh&amp;q=XNSE%3aIRCTC&amp;form=skydnc</v>
    <v>Learn more on Bing</v>
  </rv>
  <rv s="1">
    <v>en-US</v>
    <v>bsg5qh</v>
    <v>268435456</v>
    <v>1</v>
    <v>Powered by Refinitiv</v>
    <v>0</v>
    <v>INDIAN RAILWAY CATERING AND TOURISM CORPORATION LIMITED (XNSE:IRCTC)</v>
    <v>2</v>
    <v>3</v>
    <v>Finance</v>
    <v>4</v>
    <v>831.75</v>
    <v>656</v>
    <v>1.6037999999999999</v>
    <v>25.85</v>
    <v>3.8033999999999998E-2</v>
    <v>INR</v>
    <v>Indian Railway Catering and Tourism Corporation Limited is engaged in providing online railway tickets, catering services to railways and packaged drinking water at railway stations and trains in India. The Company's segments include Catering, Rail Neer, Internet Ticketing, and Tourism. Its catering services include mobile catering services, e-catering services, and static catering services. It offers static catering through food plaza, fast food units, refreshment rooms, base kitchens, and other facilities on station premises, retiring rooms, and dormitories. Rail Neer is the Company's branded bottled drinking water. The Company operates approximately 19 Rail Neer plants. It provides customers with multi-modal transport ticket booking facilities, covering railway, roadways and air travel. Its comprehensive range of tourism and hospitality offerings includes luxury train tours, hotel bookings, domestic air packages, rail tour packages, outbound tour packages, and holiday packages.</v>
    <v>1338</v>
    <v>National Stock Exchange of India</v>
    <v>XNSE</v>
    <v>XNSE</v>
    <v>IRCTC Ltd, 11th Floor, B ? 148, Statesman House, Barakhamba Road, New Delhi ? 110 001, Delhi, Indi, DELHI, DELHI, 110001 IN</v>
    <v>712.55</v>
    <v>Passenger Transportation Services</v>
    <v>Stock</v>
    <v>46017.492881944447</v>
    <v>183</v>
    <v>678.8</v>
    <v>543720000000</v>
    <v>INDIAN RAILWAY CATERING AND TOURISM CORPORATION LIMITED</v>
    <v>INDIAN RAILWAY CATERING AND TOURISM CORPORATION LIMITED</v>
    <v>679.65</v>
    <v>41.1464</v>
    <v>679.65</v>
    <v>705.5</v>
    <v>800000000</v>
    <v>IRCTC</v>
    <v>INDIAN RAILWAY CATERING AND TOURISM CORPORATION LIMITED (XNSE:IRCTC)</v>
    <v>7180874</v>
    <v>692280</v>
    <v>1999</v>
  </rv>
  <rv s="2">
    <v>184</v>
  </rv>
  <rv s="10">
    <v>en-US</v>
    <v>cbp6m7</v>
    <v>268435456</v>
    <v>1</v>
    <v>Powered by Refinitiv</v>
    <v>18</v>
    <v>INDIAN RENEWABLE ENERGY DEVELOPMENT AGENCY LIMITED (XNSE:IREDA)</v>
    <v>6</v>
    <v>3</v>
    <v>Finance</v>
    <v>4</v>
    <v>234.29</v>
    <v>129.11000000000001</v>
    <v>1.956</v>
    <v>2.89</v>
    <v>2.0926999999999998E-2</v>
    <v>INR</v>
    <v>Indian Renewable Energy Development Agency Limited is an India-based non-deposit-taking Non-Banking Financial Company (NBFC). The Company is engaged in promoting, developing and extending financial assistance for new and renewable energy (RE) projects, and energy efficiency and conservation projects. The Company provides a comprehensive range of financial products and related services, from project conceptualization to post-commissioning, for renewable energy projects. It has financed projects across multiple RE sectors, such as solar power, wind power, hydropower, transmission, and biomass, among others. The Company provides loans to government entities and financing schemes for RE suppliers, manufacturers, and contractors.</v>
    <v>166</v>
    <v>National Stock Exchange of India</v>
    <v>XNSE</v>
    <v>XNSE</v>
    <v>3rd Floor, August Kranti Bhawan,, Bhikaji Cama Place, NEW DELHI, DELHI, 110066 IN</v>
    <v>143.30000000000001</v>
    <v>Banking Services</v>
    <v>Stock</v>
    <v>46017.492881944447</v>
    <v>137.21</v>
    <v>396073500000</v>
    <v>INDIAN RENEWABLE ENERGY DEVELOPMENT AGENCY LIMITED</v>
    <v>INDIAN RENEWABLE ENERGY DEVELOPMENT AGENCY LIMITED</v>
    <v>137.76</v>
    <v>21.82</v>
    <v>138.1</v>
    <v>140.99</v>
    <v>2809231000</v>
    <v>IREDA</v>
    <v>INDIAN RENEWABLE ENERGY DEVELOPMENT AGENCY LIMITED (XNSE:IREDA)</v>
    <v>22038445</v>
    <v>5047050</v>
    <v>1987</v>
  </rv>
  <rv s="2">
    <v>186</v>
  </rv>
  <rv s="0">
    <v>https://www.bing.com/financeapi/forcetrigger?t=bxjznm&amp;q=XNSE%3aIRFC&amp;form=skydnc</v>
    <v>Learn more on Bing</v>
  </rv>
  <rv s="1">
    <v>en-US</v>
    <v>bxjznm</v>
    <v>268435456</v>
    <v>1</v>
    <v>Powered by Refinitiv</v>
    <v>0</v>
    <v>INDIAN RAILWAY FINANCE CORPORATION LIMITED (XNSE:IRFC)</v>
    <v>2</v>
    <v>3</v>
    <v>Finance</v>
    <v>4</v>
    <v>158</v>
    <v>108.04</v>
    <v>1.0578000000000001</v>
    <v>12.15</v>
    <v>0.100008</v>
    <v>INR</v>
    <v>Indian Railway Finance Corporation Limited is an India-based company, which is engaged in mobilizing funds from domestic and international markets for supporting infrastructure development of Indian Railways. The Company's main business is to provide leasing and financing to railway sector in India. Its business is leasing of rolling stock assets, railway infrastructure assets and lending to other entities under the Ministry of Railways (MoR). The normal rolling stock asset lease term is 30 years, with a primary component of 15 years and a secondary component of 15 years. During the primary lease period, the principal component and interest are recovered as part of the lease. During the secondary lease period of 15 years, it receives a nominal rent. Its lending operations include providing loans to Rail Vikas Nigam Limited and IRCON. Its borrowing operations include taxable and tax-free bonds issuances, term loans from banks and financial institutions, commercial papers, and others.</v>
    <v>45</v>
    <v>National Stock Exchange of India</v>
    <v>XNSE</v>
    <v>XNSE</v>
    <v>UG - Floor, East Tower, NBCC Place, Bhisham Pitamah Marg, Lodhi Rd, Pragati Vihar, NEW DELHI, DELHI, 110003 IN</v>
    <v>134.59</v>
    <v>Banking Services</v>
    <v>Stock</v>
    <v>46017.492881944447</v>
    <v>188</v>
    <v>121.86</v>
    <v>1587693000000</v>
    <v>INDIAN RAILWAY FINANCE CORPORATION LIMITED</v>
    <v>INDIAN RAILWAY FINANCE CORPORATION LIMITED</v>
    <v>122.14</v>
    <v>25.526700000000002</v>
    <v>121.49</v>
    <v>133.63999999999999</v>
    <v>13068510000</v>
    <v>IRFC</v>
    <v>INDIAN RAILWAY FINANCE CORPORATION LIMITED (XNSE:IRFC)</v>
    <v>163985127</v>
    <v>13932820</v>
    <v>1986</v>
  </rv>
  <rv s="2">
    <v>189</v>
  </rv>
  <rv s="0">
    <v>https://www.bing.com/financeapi/forcetrigger?t=bv1g2w&amp;q=XNSE%3aITBEES&amp;form=skydnc</v>
    <v>Learn more on Bing</v>
  </rv>
  <rv s="8">
    <v>en-US</v>
    <v>bv1g2w</v>
    <v>268435456</v>
    <v>1</v>
    <v>Powered by Refinitiv</v>
    <v>15</v>
    <v>Nippon India ETF Nifty IT (XNSE:ITBEES)</v>
    <v>16</v>
    <v>17</v>
    <v>Finance</v>
    <v>4</v>
    <v>48.33</v>
    <v>33.630000000000003</v>
    <v>1.0348999999999999</v>
    <v>-0.39</v>
    <v>-9.1269999999999997E-3</v>
    <v>INR</v>
    <v>National Stock Exchange of India</v>
    <v>XNSE</v>
    <v>2.2000000000000001E-3</v>
    <v>42.9</v>
    <v>ETF</v>
    <v>46017.492881944447</v>
    <v>191</v>
    <v>42.3</v>
    <v>30795072000</v>
    <v>Nippon India ETF Nifty IT</v>
    <v>42.73</v>
    <v>42.73</v>
    <v>42.34</v>
    <v>ITBEES</v>
    <v>Nippon India ETF Nifty IT (XNSE:ITBEES)</v>
    <v>6706847</v>
  </rv>
  <rv s="2">
    <v>192</v>
  </rv>
  <rv s="0">
    <v>https://www.bing.com/financeapi/forcetrigger?t=ahie2w&amp;q=XNSE%3aITC&amp;form=skydnc</v>
    <v>Learn more on Bing</v>
  </rv>
  <rv s="1">
    <v>en-US</v>
    <v>ahie2w</v>
    <v>268435456</v>
    <v>1</v>
    <v>Powered by Refinitiv</v>
    <v>0</v>
    <v>ITC LIMITED (XNSE:ITC)</v>
    <v>2</v>
    <v>3</v>
    <v>Finance</v>
    <v>4</v>
    <v>471.5</v>
    <v>390.15</v>
    <v>0.74990000000000001</v>
    <v>-2.4500000000000002</v>
    <v>-6.0260000000000001E-3</v>
    <v>INR</v>
    <v>ITC Limited is an India-based diversified conglomerate company. The Company’s segments include Fast Moving Consumer Goods (FMCG), Paperboards, Paper and Packaging, and Agri Business. The FMCG segment comprises products, such as cigarettes, cigars, education and stationery supplies, personal care items, safety matches, agarbattis, and branded packaged foods, which include staples and meals, snacks, dairy and beverages, biscuits and cakes, chocolates, coffee, and confectionery. The Paperboards, Paper and Packaging segment includes specialty paper and flexible packaging. The Agri Business segment involves trading of agricultural commodities such as wheat, rice, spices, coffee, soya, and leaf tobacco. Its FMCG brands include Aashirvaad, Sunfeast, Yippee!, Bingo!, B Natural, 24 Mantra Organic, ITC Master Chef, Fabelle, Sunbean, Fiama, Vivel, Savlon, Classmate, Paperkraft, Mangaldeep, and others. Its personal care brands feature EDW Essenza, Dermafique, Fiama, Vivel, Engage, and others.</v>
    <v>22041</v>
    <v>National Stock Exchange of India</v>
    <v>XNSE</v>
    <v>XNSE</v>
    <v>Virginia House, 37 Jawaharlal Nehru Road, KOLKATA, WEST BENGAL, 700071 IN</v>
    <v>407.15</v>
    <v>Food &amp; Tobacco</v>
    <v>Stock</v>
    <v>46017.492881944447</v>
    <v>194</v>
    <v>403.85</v>
    <v>5094275000000</v>
    <v>ITC LIMITED</v>
    <v>ITC LIMITED</v>
    <v>406.5</v>
    <v>25.22</v>
    <v>406.6</v>
    <v>404.15</v>
    <v>12528960000</v>
    <v>ITC</v>
    <v>ITC LIMITED (XNSE:ITC)</v>
    <v>3152453</v>
    <v>8816890</v>
    <v>1910</v>
  </rv>
  <rv s="2">
    <v>195</v>
  </rv>
  <rv s="10">
    <v>en-US</v>
    <v>cfr4ur</v>
    <v>268435456</v>
    <v>1</v>
    <v>Powered by Refinitiv</v>
    <v>18</v>
    <v>ITC HOTELS LIMITED (XNSE:ITCHOTELS)</v>
    <v>6</v>
    <v>3</v>
    <v>Finance</v>
    <v>4</v>
    <v>261.62</v>
    <v>155.1</v>
    <v>1.4259999999999999</v>
    <v>3.14</v>
    <v>1.6073999999999998E-2</v>
    <v>INR</v>
    <v>ITC Hotels Limited is an India-based hospitality company that operates and manages hotels. The Company’s segments include Hotels, Real Estate, and others. The Hotels segment is engaged in providing hotel services. The Real Estate segment includes branded residences. The Others segment includes golfing and ancillary services. The Company operates under six brands: ITC Hotels and Mementos in the luxury segment, Storii in the boutique premium segment, Welcomhotel in the upper upscale category, Fortune in the midscale segment, and WelcomHeritage in the heritage leisure space. Its hotels include ITC Ratnadipa, Colombo; ITC Narmada, Ahmedabad; ITC Maurya, New Delhi; ITC Grand Bharat Retreat, Gurugram; ITC Royal Bengal, Kolkata; ITC Grand Chola, Chennai; ITC Grand Goa Resort &amp; Spa, Goa; ITC Maratha, Mumbai; ITC Grand Central, Mumbai; ITC Gardenia, Bengaluru; ITC Windsor, Bengaluru; ITC Kohenur, Hyderabad; ITC Kakatiya, Hyderabad; ITC Sonar, Kolkata, and ITC Mughal Resort &amp; Spa, Agra.</v>
    <v>3177</v>
    <v>National Stock Exchange of India</v>
    <v>XNSE</v>
    <v>XNSE</v>
    <v>10, Institutional Area, Sector 32, GURGAON, HARYANA, 122001 IN</v>
    <v>199.29</v>
    <v>Hotels &amp; Entertainment Services</v>
    <v>Stock</v>
    <v>46017.492881944447</v>
    <v>193.6</v>
    <v>406885400000</v>
    <v>ITC HOTELS LIMITED</v>
    <v>ITC HOTELS LIMITED</v>
    <v>195.35</v>
    <v>45.19</v>
    <v>195.35</v>
    <v>198.49</v>
    <v>2082854000</v>
    <v>ITCHOTELS</v>
    <v>ITC HOTELS LIMITED (XNSE:ITCHOTELS)</v>
    <v>2634549</v>
    <v>2167200</v>
    <v>2023</v>
  </rv>
  <rv s="2">
    <v>197</v>
  </rv>
  <rv s="10">
    <v>en-US</v>
    <v>camq9c</v>
    <v>268435456</v>
    <v>1</v>
    <v>Powered by Refinitiv</v>
    <v>18</v>
    <v>JIO FINANCIAL SERVICES LIMITED (XNSE:JIOFIN)</v>
    <v>6</v>
    <v>3</v>
    <v>Finance</v>
    <v>4</v>
    <v>338.6</v>
    <v>198.65</v>
    <v>1.4890000000000001</v>
    <v>-1.95</v>
    <v>-6.5239999999999994E-3</v>
    <v>INR</v>
    <v>Jio Financial Services Ltd. is an India-based core investment company. The Company provides full-stack financial services to customers, enabling them to borrow, transact, save and invest. The Company operates its financial services business through consumer-facing entities. Through Jio Finance Limited (JFL) and Jio Leasing Services Limited (JLSL), it aims to meet the financing needs of customers and merchants by offering digital lending and operating lease solutions. Through its insurance broking arm - Jio Insurance Broking Limited (JIBL) - it offers a comprehensive range of insurance products, including general, life, health, auto, home, and insurance on consumer durable products. Its transacting solutions, through Jio Payment Solutions Limited and Jio Payments Bank Limited (JPBL), include checking accounts, debit and credit cards and payment solutions. It has a joint venture with BlackRock (asset manager) to offer asset management, wealth management and broking services in India.</v>
    <v>1000</v>
    <v>National Stock Exchange of India</v>
    <v>XNSE</v>
    <v>XNSE</v>
    <v>1st floor, Building 4NA, Maker Maxity, Bandra Kurla Complex, Bandra-East, MUMBAI, MAHARASHTRA, 400051 IN</v>
    <v>299.8</v>
    <v>Banking Services</v>
    <v>Stock</v>
    <v>46017.492881944447</v>
    <v>296.14999999999998</v>
    <v>1898954000000</v>
    <v>JIO FINANCIAL SERVICES LIMITED</v>
    <v>JIO FINANCIAL SERVICES LIMITED</v>
    <v>298</v>
    <v>116.17</v>
    <v>298.89999999999998</v>
    <v>296.95</v>
    <v>6353142000</v>
    <v>JIOFIN</v>
    <v>JIO FINANCIAL SERVICES LIMITED (XNSE:JIOFIN)</v>
    <v>3945249</v>
    <v>6772130</v>
    <v>1999</v>
  </rv>
  <rv s="2">
    <v>199</v>
  </rv>
  <rv s="0">
    <v>https://www.bing.com/financeapi/forcetrigger?t=ahihkr&amp;q=XNSE%3aJKPAPER&amp;form=skydnc</v>
    <v>Learn more on Bing</v>
  </rv>
  <rv s="1">
    <v>en-US</v>
    <v>ahihkr</v>
    <v>268435456</v>
    <v>1</v>
    <v>Powered by Refinitiv</v>
    <v>0</v>
    <v>JK PAPER LIMITED (XNSE:JKPAPER)</v>
    <v>2</v>
    <v>3</v>
    <v>Finance</v>
    <v>4</v>
    <v>444.8</v>
    <v>275.75</v>
    <v>1.1349</v>
    <v>0.05</v>
    <v>1.3740000000000001E-4</v>
    <v>INR</v>
    <v>JK Paper Limited is an India-based producer of paper and paper boards. The Company offers various products, such as office documentation papers, uncoated paper and board, coated paper and board, and packaging board. It offers a range of office documentation papers from economy to premium grades. The product includes photocopy and multipurpose papers for use in desktops, inkjet and laser printers, fax machines, photocopiers and multi-functional devices. It offers a range of uncoated writing and printing paper for varied needs, including the super bright JK Maplitho. Its Uncoated Paper and Board products include JK Bond, JK MICR Cheque Paper, JK Parchment Paper, and others. Its Coated Paper and Board products include JK Cote (Matt/Gloss), JK Superkote / JK Cote Premium (Gloss) and JK Cote Chromo (Matt/Gloss). Its Packaging Board products include JK Ultima, JK TuffCote, and others. It is also engaged in the business of manufacturing, marketing and exporting animal nutrition products.</v>
    <v>2854</v>
    <v>National Stock Exchange of India</v>
    <v>XNSE</v>
    <v>XNSE</v>
    <v>Nehru House,, 4, Bahadur Shah Zafar Marg,, NEW DELHI, DELHI, 110002 IN</v>
    <v>367</v>
    <v>Paper &amp; Forest Products</v>
    <v>Stock</v>
    <v>46017.492881944447</v>
    <v>201</v>
    <v>361.8</v>
    <v>61662450000</v>
    <v>JK PAPER LIMITED</v>
    <v>JK PAPER LIMITED</v>
    <v>366.95</v>
    <v>20.7</v>
    <v>364</v>
    <v>364.05</v>
    <v>169402300</v>
    <v>JKPAPER</v>
    <v>JK PAPER LIMITED (XNSE:JKPAPER)</v>
    <v>110012</v>
    <v>116990</v>
    <v>1960</v>
  </rv>
  <rv s="2">
    <v>202</v>
  </rv>
  <rv s="0">
    <v>https://www.bing.com/financeapi/forcetrigger?t=ahiiyc&amp;q=XNSE%3aJUBLFOOD&amp;form=skydnc</v>
    <v>Learn more on Bing</v>
  </rv>
  <rv s="1">
    <v>en-US</v>
    <v>ahiiyc</v>
    <v>268435456</v>
    <v>1</v>
    <v>Powered by Refinitiv</v>
    <v>0</v>
    <v>Jubilant FoodWorks Limited (XNSE:JUBLFOOD)</v>
    <v>2</v>
    <v>3</v>
    <v>Finance</v>
    <v>4</v>
    <v>796.75</v>
    <v>548.4</v>
    <v>1.0263</v>
    <v>-3.85</v>
    <v>-6.8300000000000001E-3</v>
    <v>INR</v>
    <v>Jubilant FoodWorks Limited is a food tech company. It is engaged in retail sales of food through international and homegrown brands addressing different food market segments. Its international brands include Domino’s Pizza, Dunkin’, and Popeyes. Its two own brands include Hong’s Kitchen, an Indo-Chinese quick service restaurant (QSR) brand in India and a CAFE brand - COFFY in Turkey. For Domino’s Pizza, the Company has rights to open and operate Domino’s Pizza Restaurants in India, Sri Lanka, Bangladesh and Nepal. In India, it has a network of approximately 2,321 Domino’s restaurants. It also operates Domino’s restaurants in Sri Lanka and Bangladesh through its wholly owned subsidiaries. It also operates over 61 Popeyes restaurants and 31 Dunkin’ restaurants in India. Its Hong’s Kitchen brand operates in the Chinese cuisine segment, which has approximately 33 restaurants. Its subsidiaries include Jubilant FoodWorks Lanka (Pvt) Ltd, Jubilant FoodWorks Bangladesh Limited, and others.</v>
    <v>41246</v>
    <v>National Stock Exchange of India</v>
    <v>XNSE</v>
    <v>XNSE</v>
    <v>5th Floor, Tower D, Logix Techno Park, Plot No 5, NOIDA, UTTAR PRADESH, 201304 IN</v>
    <v>565.95000000000005</v>
    <v>Hotels &amp; Entertainment Services</v>
    <v>Stock</v>
    <v>46017.492881944447</v>
    <v>204</v>
    <v>555</v>
    <v>368066900000</v>
    <v>Jubilant FoodWorks Limited</v>
    <v>Jubilant FoodWorks Limited</v>
    <v>563.65</v>
    <v>126.44</v>
    <v>563.65</v>
    <v>559.79999999999995</v>
    <v>657497100</v>
    <v>JUBLFOOD</v>
    <v>Jubilant FoodWorks Limited (XNSE:JUBLFOOD)</v>
    <v>2395184</v>
    <v>2043970</v>
    <v>1995</v>
  </rv>
  <rv s="2">
    <v>205</v>
  </rv>
  <rv s="0">
    <v>https://www.bing.com/financeapi/forcetrigger?t=ahinjc&amp;q=XNSE%3aKOTAKBANK&amp;form=skydnc</v>
    <v>Learn more on Bing</v>
  </rv>
  <rv s="1">
    <v>en-US</v>
    <v>ahinjc</v>
    <v>268435456</v>
    <v>1</v>
    <v>Powered by Refinitiv</v>
    <v>0</v>
    <v>KOTAK MAHINDRA BANK LIMITED (XNSE:KOTAKBANK)</v>
    <v>2</v>
    <v>3</v>
    <v>Finance</v>
    <v>4</v>
    <v>2301.9</v>
    <v>1723.75</v>
    <v>0.92349999999999999</v>
    <v>0.5</v>
    <v>2.3109999999999998E-4</v>
    <v>INR</v>
    <v>Kotak Mahindra Bank Limited is an India-based diversified financial services company. The Company's segments include Corporate/Wholesale Banking; Retail Banking; Treasury, Balance Sheet Management Unit (BMU) and Corporate Centre; Vehicle Financing; Other Lending Activities; Broking; Advisory and Transactional Services; Asset Management, and Insurance. Corporate/Wholesale Banking segment includes wholesale borrowings and lending and other related services to the corporate sector. Retail Banking segment comprises of digital banking and other retail banking. Vehicle Financing segment includes retail vehicle financing and wholesale trade financing to auto dealers. Other Lending Activities segment includes securitization and other loans/services. Advisory and Transactional Services segment provides financial advisory and transactional services such as mergers and acquisition advice, equity/debt issue management services and business correspondent services.</v>
    <v>61170</v>
    <v>National Stock Exchange of India</v>
    <v>XNSE</v>
    <v>XNSE</v>
    <v>27Bkc, C 27, G Block, Bandra Kurla Complex, Bandra (E), MUMBAI, MAHARASHTRA, 400051 IN</v>
    <v>2173.6</v>
    <v>Banking Services</v>
    <v>Stock</v>
    <v>46017.492893518516</v>
    <v>207</v>
    <v>2152.9</v>
    <v>4303813000000</v>
    <v>KOTAK MAHINDRA BANK LIMITED</v>
    <v>KOTAK MAHINDRA BANK LIMITED</v>
    <v>2162</v>
    <v>23.168299999999999</v>
    <v>2163.6999999999998</v>
    <v>2164.1999999999998</v>
    <v>2989099000</v>
    <v>KOTAKBANK</v>
    <v>KOTAK MAHINDRA BANK LIMITED (XNSE:KOTAKBANK)</v>
    <v>738349</v>
    <v>2234370</v>
    <v>1985</v>
  </rv>
  <rv s="2">
    <v>208</v>
  </rv>
  <rv s="0">
    <v>https://www.bing.com/financeapi/forcetrigger?t=bpucm7&amp;q=XNSE%3aKPITTECH&amp;form=skydnc</v>
    <v>Learn more on Bing</v>
  </rv>
  <rv s="1">
    <v>en-US</v>
    <v>bpucm7</v>
    <v>268435456</v>
    <v>1</v>
    <v>Powered by Refinitiv</v>
    <v>0</v>
    <v>KPIT TECHNOLOGIES LIMITED (XNSE:KPITTECH)</v>
    <v>2</v>
    <v>3</v>
    <v>Finance</v>
    <v>4</v>
    <v>1500</v>
    <v>1020.6</v>
    <v>0.65659999999999996</v>
    <v>-8.1</v>
    <v>-6.6540000000000002E-3</v>
    <v>INR</v>
    <v>KPIT Technologies Limited is an India-based independent software development and integration company. The Company provides embedded software for the automobile and mobility industry. Its solutions and services include Autonomous Driving and Advanced Driver Assistance System (ADAS); Conventional and Electric Powertrain; Cockpit; Body Electronics; Chassis; Common Middleware for new-age E/E Architectures; Cloud and Connectivity; Edge Analytics and Data Management; Virtual Engineering; Vehicle Engineering and Design; Integrated Diagnostics &amp; Aftersales Transformation (iDART), and Vehicle Diagnostics and Aftersales Transformation. The Company provides comprehensive solutions for vehicle body and gateway from concept development to maintenance for current and next generation programs. Its iDART platform facilitates the development and validation of diagnostic functions and offers transformative and scalable solutions for after-sales service, maintenance and repair.</v>
    <v>9149</v>
    <v>National Stock Exchange of India</v>
    <v>XNSE</v>
    <v>XNSE</v>
    <v>Plot Number-17, Rajiv Gandhi Infotech Park, MIDC-SEZ, Phase-III, Hinjawadi, PUNE, MAHARASHTRA, 411057 IN</v>
    <v>1236.2</v>
    <v>Software &amp; IT Services</v>
    <v>Stock</v>
    <v>46017.492893518516</v>
    <v>210</v>
    <v>1205</v>
    <v>331179500000</v>
    <v>KPIT TECHNOLOGIES LIMITED</v>
    <v>KPIT TECHNOLOGIES LIMITED</v>
    <v>1217.3</v>
    <v>42.81</v>
    <v>1217.3</v>
    <v>1209.2</v>
    <v>272060700</v>
    <v>KPITTECH</v>
    <v>KPIT TECHNOLOGIES LIMITED (XNSE:KPITTECH)</v>
    <v>283503</v>
    <v>601520</v>
    <v>2018</v>
  </rv>
  <rv s="2">
    <v>211</v>
  </rv>
  <rv s="0">
    <v>https://www.bing.com/financeapi/forcetrigger?t=ahipnm&amp;q=XNSE%3aLALPATHLAB&amp;form=skydnc</v>
    <v>Learn more on Bing</v>
  </rv>
  <rv s="1">
    <v>en-US</v>
    <v>ahipnm</v>
    <v>268435456</v>
    <v>1</v>
    <v>Powered by Refinitiv</v>
    <v>0</v>
    <v>DR. LAL PATHLABS Limited (XNSE:LALPATHLAB)</v>
    <v>2</v>
    <v>3</v>
    <v>Finance</v>
    <v>4</v>
    <v>1770</v>
    <v>1146.78</v>
    <v>0.96419999999999995</v>
    <v>-3.3</v>
    <v>-2.3440000000000002E-3</v>
    <v>INR</v>
    <v>Dr. Lal PathLabs Limited is an India-based provider of diagnostic and related healthcare tests and services. The Company is engaged primarily in the business of running laboratories for carrying out pathological investigations in various branches of bio-chemistry, hematology, histopathology, microbiology, electrophoresis, immuno-chemistry, immunology, virology, cytology, and other pathological and radiological investigations. It offers a range of tests, including Pregnancy Test, Full Body Checkups, Covid 19 Test, Heart Test, Kidney Test, Liver Test, Cholesterol Test, Hepatitis B Test, Kidney Function Test, Sugar Test, Thyroid Test, Typhoid Test, Uric Acid Test, Vitamin B12 Test and vitamin D Test. It has approximately 298 clinical laboratories (including National Reference Lab at Delhi, Regional Reference Lab in Kolkata, Bangalore and Mumbai), 6,607 patient service centers, and 12,365 pick-up points (PUPs). Its customers include individual patients, hospitals, and corporate customers.</v>
    <v>4980</v>
    <v>National Stock Exchange of India</v>
    <v>XNSE</v>
    <v>XNSE</v>
    <v>12th Floor, Tower B, SAS Tower, Sector 38,, Medicity, Sector-38, GURGAON, HARYANA, 122001 IN</v>
    <v>1433.9</v>
    <v>Healthcare Providers &amp; Services</v>
    <v>Stock</v>
    <v>46017.492893518516</v>
    <v>213</v>
    <v>1387.6</v>
    <v>235444200000</v>
    <v>DR. LAL PATHLABS Limited</v>
    <v>DR. LAL PATHLABS Limited</v>
    <v>1402</v>
    <v>43.85</v>
    <v>1407.8</v>
    <v>1404.5</v>
    <v>167242600</v>
    <v>LALPATHLAB</v>
    <v>DR. LAL PATHLABS Limited (XNSE:LALPATHLAB)</v>
    <v>232338</v>
    <v>355030</v>
    <v>1995</v>
  </rv>
  <rv s="2">
    <v>214</v>
  </rv>
  <rv s="0">
    <v>https://www.bing.com/financeapi/forcetrigger?t=c47wu2&amp;q=XNSE%3aLATENTVIEW&amp;form=skydnc</v>
    <v>Learn more on Bing</v>
  </rv>
  <rv s="1">
    <v>en-US</v>
    <v>c47wu2</v>
    <v>268435456</v>
    <v>1</v>
    <v>Powered by Refinitiv</v>
    <v>0</v>
    <v>LATENT VIEW ANALYTICS LIMITED (XNSE:LATENTVIEW)</v>
    <v>2</v>
    <v>3</v>
    <v>Finance</v>
    <v>4</v>
    <v>517.5</v>
    <v>341.2</v>
    <v>1.0387</v>
    <v>-2.8</v>
    <v>-6.038E-3</v>
    <v>INR</v>
    <v>Latent View Analytics Limited is an India-based data analytics company. The Company provides a 360-degree view of the digital consumer, enabling companies to predict new revenue streams, anticipate product trends and popularity, improve customer retention rates, and optimize investment decisions. It provides business analytics, consulting services, data engineering, and digital solutions. It partners with companies in the Technology, Financial services, consumer packaged goods (CPG), Retail, and Healthcare sectors. It provides technical services in data engineering, data science and data visualization. Its domain services include customer analytics, human resource analytics, marketing analytics, financial analytics, supply chain analytics, risk &amp; fraud analytics. It provides advisory services that include consulting services, analytics roadmap, among others. Its solutions include AccuPromo, Artificial intelligence (AI) Penpal, ConnectedView, InsightLens, LASER, MatchView, among others.</v>
    <v>1133</v>
    <v>National Stock Exchange of India</v>
    <v>XNSE</v>
    <v>XNSE</v>
    <v>Unit 6,7,8, 5th Floor, Neville Tower, Block A3, Ramanujan IT City SEZ, Rajiv Gandhi Salai (OMR), Taramani Road, Taramani,, CHENNAI, TAMIL NADU, 600113 IN</v>
    <v>469.8</v>
    <v>Software &amp; IT Services</v>
    <v>Stock</v>
    <v>46017.492893518516</v>
    <v>216</v>
    <v>459.4</v>
    <v>95961460000</v>
    <v>LATENT VIEW ANALYTICS LIMITED</v>
    <v>LATENT VIEW ANALYTICS LIMITED</v>
    <v>463.75</v>
    <v>50.25</v>
    <v>463.75</v>
    <v>460.95</v>
    <v>206925000</v>
    <v>LATENTVIEW</v>
    <v>LATENT VIEW ANALYTICS LIMITED (XNSE:LATENTVIEW)</v>
    <v>239682</v>
    <v>731920</v>
    <v>2006</v>
  </rv>
  <rv s="2">
    <v>217</v>
  </rv>
  <rv s="0">
    <v>https://www.bing.com/financeapi/forcetrigger?t=c683ww&amp;q=XNSE%3aLICI&amp;form=skydnc</v>
    <v>Learn more on Bing</v>
  </rv>
  <rv s="1">
    <v>en-US</v>
    <v>c683ww</v>
    <v>268435456</v>
    <v>1</v>
    <v>Powered by Refinitiv</v>
    <v>0</v>
    <v>Life Insurance Corporation of India (XNSE:LICI)</v>
    <v>2</v>
    <v>3</v>
    <v>Finance</v>
    <v>4</v>
    <v>980</v>
    <v>715.3</v>
    <v>1.3123</v>
    <v>-4.1500000000000004</v>
    <v>-4.8599999999999997E-3</v>
    <v>INR</v>
    <v>Life Insurance Corporation of India is an India-based insurance company. The Company is engaged in the business of life insurance in and outside India. It offers a range of individual and group insurance solutions including participating, non-participating and unit linked lines of businesses. The portfolio comprises various insurance and investment products such as protection, pension, savings, investment, annuity, health, and variable. Its segments include Participating Life Individual, Participating Pension Individual, Participating Annuity Individual, Non-Participating Life (Individual &amp; Group), Non-Participating Pension (Individual &amp; Group), Non-Participating Annuity Individual, Non-Participating Variable individual, Non-Participating Health individual, Non-Participating Unit Linked and Capital Redemption, and Annuity Certain Business (CRAC). Its Pension plans include New Pension Plus, Jeevan Akshay-VII, New Jeevan Shanti, Saral Pension, and Smart Pension.</v>
    <v>91606</v>
    <v>National Stock Exchange of India</v>
    <v>XNSE</v>
    <v>XNSE</v>
    <v>Jeevan Bima Marg, P.O. Box No 19953, Yogakshema Building, MUMBAI, MAHARASHTRA, 400021 IN</v>
    <v>851.4</v>
    <v>Insurance</v>
    <v>Stock</v>
    <v>46017.492893518516</v>
    <v>219</v>
    <v>844.8</v>
    <v>5400916000000</v>
    <v>Life Insurance Corporation of India</v>
    <v>Life Insurance Corporation of India</v>
    <v>850.1</v>
    <v>10.5192</v>
    <v>853.9</v>
    <v>849.75</v>
    <v>6324998000</v>
    <v>LICI</v>
    <v>Life Insurance Corporation of India (XNSE:LICI)</v>
    <v>703658</v>
    <v>1130090</v>
    <v>1956</v>
  </rv>
  <rv s="2">
    <v>220</v>
  </rv>
  <rv s="0">
    <v>https://www.bing.com/financeapi/forcetrigger?t=c1tdcw&amp;q=XNSE%3aLODHA&amp;form=skydnc</v>
    <v>Learn more on Bing</v>
  </rv>
  <rv s="1">
    <v>en-US</v>
    <v>c1tdcw</v>
    <v>268435456</v>
    <v>1</v>
    <v>Powered by Refinitiv</v>
    <v>0</v>
    <v>LODHA DEVELOPERS LIMITED (XNSE:LODHA)</v>
    <v>2</v>
    <v>3</v>
    <v>Finance</v>
    <v>4</v>
    <v>1531</v>
    <v>1035.1500000000001</v>
    <v>0.90069999999999995</v>
    <v>-6.6</v>
    <v>-6.1110000000000001E-3</v>
    <v>INR</v>
    <v>Lodha Developers Limited, formerly Macrotech Developers Limited, is an India-based real estate developer. The Company is engaged in the construction and development of real estate and allied activities, which also includes development of residential projects, commercial projects and digital infrastructure parks. The Company’s projects are located in the Mumbai Metropolitan Region, Pune and Bengaluru. Its residential projects include Lodha World Towers, Mumbai; Lodha Cullinan, Mumbai; Lodha Vero, Mumbai; The Reserve by Lodha Belmondo, Mumbai-Pune Expressway; Lodha Sterling, Thane; Lodha Golfview, Palava; Lodha Villa Royale Gold, Thane, and Lodha Azur, Bangalore. Its commercial projects include Lodha Supremus New Cuffe Parade, New Cuffe Parade; Lodha iThink, Palava Business District; Lodha Signet Lower Parel, Lower Parel; LodhaExcelus, Mahalaxmi; Lodha Supremus Thane, Thane; Lodha Life Sciences, Palava, among others.</v>
    <v>5359</v>
    <v>National Stock Exchange of India</v>
    <v>XNSE</v>
    <v>XNSE</v>
    <v>Lodha Excelus, L 2, N M Joshi Marg, Mahalaxmi, MUMBAI, MAHARASHTRA, 400011 IN</v>
    <v>1085</v>
    <v>Real Estate Operations</v>
    <v>Stock</v>
    <v>46017.492893518516</v>
    <v>222</v>
    <v>1069.7</v>
    <v>1078747000000</v>
    <v>LODHA DEVELOPERS LIMITED</v>
    <v>LODHA DEVELOPERS LIMITED</v>
    <v>1079.4000000000001</v>
    <v>32.35</v>
    <v>1080.0999999999999</v>
    <v>1073.5</v>
    <v>998747100</v>
    <v>LODHA</v>
    <v>LODHA DEVELOPERS LIMITED (XNSE:LODHA)</v>
    <v>478206</v>
    <v>808470</v>
    <v>1995</v>
  </rv>
  <rv s="2">
    <v>223</v>
  </rv>
  <rv s="0">
    <v>https://www.bing.com/financeapi/forcetrigger?t=ahirxm&amp;q=XNSE%3aLT&amp;form=skydnc</v>
    <v>Learn more on Bing</v>
  </rv>
  <rv s="1">
    <v>en-US</v>
    <v>ahirxm</v>
    <v>268435456</v>
    <v>1</v>
    <v>Powered by Refinitiv</v>
    <v>0</v>
    <v>LARSEN AND TOUBRO LIMITED (XNSE:LT)</v>
    <v>2</v>
    <v>3</v>
    <v>Finance</v>
    <v>4</v>
    <v>4140</v>
    <v>2965.3</v>
    <v>1.0268999999999999</v>
    <v>-6.3</v>
    <v>-1.554E-3</v>
    <v>INR</v>
    <v>Larsen and Toubro Limited is an India-based multinational company, which is engaged in engineering, procurement, and construction (EPC) projects, hi-tech manufacturing and services. The Company's segments include Infrastructure Projects, Energy Projects, Hi-Tech Manufacturing, IT &amp; Technology Services, Financial Services, Development Projects and Others. Energy Projects segment comprises EPC/turnkey solutions in hydrocarbon business, power business and EPC solutions in green energy space. Hi-Tech Manufacturing segment comprises design, manufacture/construct, supply and revamp/retrofit of custom designed, engineered critical equipment &amp; systems to the process plants, nuclear energy &amp; green hydrogen sectors, marine and land platforms, and electrolysers. IT &amp; Technology Services segment comprises information technology and integrated engineering services (including smart world and communication projects), e-commerce/digital platforms &amp; data centers, and semiconductor chip design.</v>
    <v>58244</v>
    <v>National Stock Exchange of India</v>
    <v>XNSE</v>
    <v>XNSE</v>
    <v>L&amp;T House, Ballard Estate, P. O. Box: 278, MUMBAI, MAHARASHTRA, 400001 IN</v>
    <v>4061.5</v>
    <v>Construction &amp; Engineering</v>
    <v>Stock</v>
    <v>46017.492893518516</v>
    <v>225</v>
    <v>4030.2</v>
    <v>5567389000000</v>
    <v>LARSEN AND TOUBRO LIMITED</v>
    <v>LARSEN AND TOUBRO LIMITED</v>
    <v>4052</v>
    <v>33.99</v>
    <v>4053.6</v>
    <v>4047.3</v>
    <v>1375581000</v>
    <v>LT</v>
    <v>LARSEN AND TOUBRO LIMITED (XNSE:LT)</v>
    <v>594330</v>
    <v>1338640</v>
    <v>1946</v>
  </rv>
  <rv s="2">
    <v>226</v>
  </rv>
  <rv s="0">
    <v>https://www.bing.com/financeapi/forcetrigger?t=ahis4c&amp;q=XNSE%3aLTI&amp;form=skydnc</v>
    <v>Learn more on Bing</v>
  </rv>
  <rv s="1">
    <v>en-US</v>
    <v>ahis4c</v>
    <v>268435456</v>
    <v>1</v>
    <v>Powered by Refinitiv</v>
    <v>0</v>
    <v>LTIMINDTREE LIMITED (XNSE:LTIM)</v>
    <v>2</v>
    <v>3</v>
    <v>Finance</v>
    <v>4</v>
    <v>6380</v>
    <v>3802</v>
    <v>1.3249</v>
    <v>-127.5</v>
    <v>-2.0687999999999998E-2</v>
    <v>INR</v>
    <v>LTIMindtree Limited is an India-based global technology consulting and digital solutions company. It offers a range of information technology (IT) services, such as agile, analytics and information management, application development, maintenance and outsourcing, enterprise solutions, infrastructure management services, testing, digital solutions, and platform-based solutions. It operates in five segments: Banking, Financial Services &amp; Insurance; Technology, Media &amp; Communication; Manufacturing &amp; Resources; Consumer Business; and Healthcare, Life sciences &amp; Public Services. It offers services in cloud and infrastructure training, consulting, cybersecurity, data and insights, digital engineering, disruptive software-as-a-service (D-SaaS), platform operations, and quality engineering. Its products and platforms include Fosfor, LTIMindtree Canvas, LTIMindtree Infinity, iNXT, Canvas.ai, Voicing.AI, CloudXperienz, Unitrax, REDaxis, Advanced Smart City Operating Platform, and MELD.</v>
    <v>86447</v>
    <v>National Stock Exchange of India</v>
    <v>XNSE</v>
    <v>XNSE</v>
    <v>L&amp;T Technology Center, Gate No.5, Saki Vihar Road,, Powai, Mumbai 400 072, MUMBAI, MAHARASHTRA, 400072 IN</v>
    <v>6174.5</v>
    <v>Software &amp; IT Services</v>
    <v>Stock</v>
    <v>46017.492893518516</v>
    <v>228</v>
    <v>6020</v>
    <v>1827135000000</v>
    <v>LTIMINDTREE LIMITED</v>
    <v>LTIMINDTREE LIMITED</v>
    <v>6160</v>
    <v>36.722299999999997</v>
    <v>6163</v>
    <v>6035.5</v>
    <v>296468400</v>
    <v>LTIM</v>
    <v>LTIMINDTREE LIMITED (XNSE:LTIM)</v>
    <v>113668</v>
    <v>257390</v>
    <v>1996</v>
  </rv>
  <rv s="2">
    <v>229</v>
  </rv>
  <rv s="0">
    <v>https://www.bing.com/financeapi/forcetrigger?t=ahis77&amp;q=XNSE%3aLTTS&amp;form=skydnc</v>
    <v>Learn more on Bing</v>
  </rv>
  <rv s="1">
    <v>en-US</v>
    <v>ahis77</v>
    <v>268435456</v>
    <v>1</v>
    <v>Powered by Refinitiv</v>
    <v>0</v>
    <v>L&amp;T TECHNOLOGY SERVICES LIMITED (XNSE:LTTS)</v>
    <v>2</v>
    <v>3</v>
    <v>Finance</v>
    <v>4</v>
    <v>5645</v>
    <v>3951.3</v>
    <v>1.1714</v>
    <v>-89.8</v>
    <v>-1.9487000000000001E-2</v>
    <v>INR</v>
    <v>L&amp;T Technology Services Limited is an India-based engineering research and development (ER&amp;D) services provider. The Company offers consultancy, design, development and testing services across the product and process development lifecycle. It operates in three segments: Mobility, Sustainability, and Tech. The Mobility segment encompasses automotive, commercial vehicles and aerospace verticals. The Sustainability segment covers industrial machinery and building technology, electric and power, fast-moving consumer goods (FMCG), and oil and gas. The Tech segment includes Medical Technology (MedTech), Hi-Tech, Semiconductors, Consumer Electronics, Hyperscalers, SmartWorld, and NexGen Comm verticals. It operates its technology areas in three horizontals: Artificial Intelligence (AI) and Software Defined Everything (SDx), Embedded Systems, and Digital Manufacturing Solutions. It serves approximately 69 Fortune 500 companies and 57 Engineering Research and Development (ER&amp;D) companies.</v>
    <v>21028</v>
    <v>National Stock Exchange of India</v>
    <v>XNSE</v>
    <v>XNSE</v>
    <v>L&amp;T Technology Services Limited, 5th Floor, West Block-II, L&amp;T Knowledge City (IT/ITES) SEZ, VADODARA, GUJARAT, 390019 IN</v>
    <v>4643</v>
    <v>Construction &amp; Engineering</v>
    <v>Stock</v>
    <v>46017.492893518516</v>
    <v>231</v>
    <v>4509</v>
    <v>488409400000</v>
    <v>L&amp;T TECHNOLOGY SERVICES LIMITED</v>
    <v>L&amp;T TECHNOLOGY SERVICES LIMITED</v>
    <v>4608</v>
    <v>38.18</v>
    <v>4608.1000000000004</v>
    <v>4518.3</v>
    <v>105989300</v>
    <v>LTTS</v>
    <v>L&amp;T TECHNOLOGY SERVICES LIMITED (XNSE:LTTS)</v>
    <v>43929</v>
    <v>66780</v>
    <v>2012</v>
  </rv>
  <rv s="2">
    <v>232</v>
  </rv>
  <rv s="0">
    <v>https://www.bing.com/financeapi/forcetrigger?t=ahiwa2&amp;q=XNSE%3aMARUTI&amp;form=skydnc</v>
    <v>Learn more on Bing</v>
  </rv>
  <rv s="1">
    <v>en-US</v>
    <v>ahiwa2</v>
    <v>268435456</v>
    <v>1</v>
    <v>Powered by Refinitiv</v>
    <v>0</v>
    <v>MARUTI SUZUKI INDIA LIMITED (XNSE:MARUTI)</v>
    <v>2</v>
    <v>3</v>
    <v>Finance</v>
    <v>4</v>
    <v>16720</v>
    <v>10725</v>
    <v>0.2767</v>
    <v>-107</v>
    <v>-6.4059999999999994E-3</v>
    <v>INR</v>
    <v>Maruti Suzuki India Limited is engaged in the manufacturing, purchasing and sale of motor vehicles, components, and spare parts. The other activities of the Company comprise facilitation of pre-owned car sales, fleet management. and car financing. The Company is focused on the business of manufacturing and sale of passenger and commercial vehicles. The Company’s vehicles are offered through three channels: NEXA, Arena, and Commercial. It also sells aftermarket parts and accessories under the brand name of Maruti Suzuki Genuine Parts, and Maruti Suzuki Genuine Accessories. Its portfolio of Nexa products includes XL6, e VITARA, Ciaz, The New Age Baleno, Ignis, Grand Vitara, FRONX, Jimny, and Invicto. Its portfolio of Arena products includes Alto K10, Brezza, Celerio, WagonR, Swift, Dzire, S-Presso, Eeco, Dezire, and Ertiga. Its portfolio of Commercial products includes Super Carry and Eeco Cargo. Its service offerings include Maruti Suzuki Smart Finance, Maruti Suzuki Leasing, and more.</v>
    <v>20171</v>
    <v>National Stock Exchange of India</v>
    <v>XNSE</v>
    <v>XNSE</v>
    <v>1, Nelson Mandela Road,, Vasant Kunj,, NEW DELHI, DELHI, 110070 IN</v>
    <v>16703</v>
    <v>Automobiles &amp; Auto Parts</v>
    <v>Stock</v>
    <v>46017.492893518516</v>
    <v>234</v>
    <v>16516</v>
    <v>5217825000000</v>
    <v>MARUTI SUZUKI INDIA LIMITED</v>
    <v>MARUTI SUZUKI INDIA LIMITED</v>
    <v>16703</v>
    <v>35.53</v>
    <v>16703</v>
    <v>16596</v>
    <v>314402600</v>
    <v>MARUTI</v>
    <v>MARUTI SUZUKI INDIA LIMITED (XNSE:MARUTI)</v>
    <v>212925</v>
    <v>263210</v>
    <v>1981</v>
  </rv>
  <rv s="2">
    <v>235</v>
  </rv>
  <rv s="0">
    <v>https://www.bing.com/financeapi/forcetrigger?t=ahiysm&amp;q=XNSE%3aMINDACORP&amp;form=skydnc</v>
    <v>Learn more on Bing</v>
  </rv>
  <rv s="1">
    <v>en-US</v>
    <v>ahiysm</v>
    <v>268435456</v>
    <v>1</v>
    <v>Powered by Refinitiv</v>
    <v>0</v>
    <v>MINDA CORPORATION LIMITED (XNSE:MINDACORP)</v>
    <v>2</v>
    <v>3</v>
    <v>Finance</v>
    <v>4</v>
    <v>619.95000000000005</v>
    <v>445.05</v>
    <v>0.86450000000000005</v>
    <v>-6.05</v>
    <v>-1.0300999999999999E-2</v>
    <v>INR</v>
    <v>Minda Corporation Limited is an India-based company engaged in manufacturing automotive components and parts thereof. Its division includes Mechatronics, Information and Connected Systems, Plastics and Interiors, Aftermarket solutions, Electronics Manufacturing, and Spark Minda Green Mobility. Its Mechatronics division includes ignition switch cum steering lock, keyless entry, mechatronics handle, immobilizer-fuel tank cap, aluminum die casting, compressor housing, alternator and starter motor. The Information and Connected Systems division includes Wiring Harness, 2W Fully Digital Cluster, Cockpit, and Connectors. Its Aftermarket solution division includes clutch, immobilizer Fuel Tank Cap, starter motorslocks, filters, and alternators. It offers products for auto original equipment manufacturers (OEMs). Its products are designed to cater to a range of vehicle segments, including two-three-wheelers, passenger vehicles, commercial vehicles, and off-road vehicles.</v>
    <v>3387</v>
    <v>National Stock Exchange of India</v>
    <v>XNSE</v>
    <v>XNSE</v>
    <v>D-6-11, Sector-59, Distt. G.B. Nagar, NOIDA, UTTAR PRADESH, 201301 IN</v>
    <v>589.75</v>
    <v>Automobiles &amp; Auto Parts</v>
    <v>Stock</v>
    <v>46017.492893518516</v>
    <v>237</v>
    <v>578.04999999999995</v>
    <v>138239200000</v>
    <v>MINDA CORPORATION LIMITED</v>
    <v>MINDA CORPORATION LIMITED</v>
    <v>587.35</v>
    <v>51.247500000000002</v>
    <v>587.35</v>
    <v>581.29999999999995</v>
    <v>235360900</v>
    <v>MINDACORP</v>
    <v>MINDA CORPORATION LIMITED (XNSE:MINDACORP)</v>
    <v>151602</v>
    <v>283570</v>
    <v>1985</v>
  </rv>
  <rv s="2">
    <v>238</v>
  </rv>
  <rv s="0">
    <v>https://www.bing.com/financeapi/forcetrigger?t=ahizgh&amp;q=XNSE%3aM%26M&amp;form=skydnc</v>
    <v>Learn more on Bing</v>
  </rv>
  <rv s="1">
    <v>en-US</v>
    <v>ahizgh</v>
    <v>268435456</v>
    <v>1</v>
    <v>Powered by Refinitiv</v>
    <v>0</v>
    <v>MAHINDRA AND MAHINDRA LIMITED (XNSE:M&amp;M)</v>
    <v>2</v>
    <v>3</v>
    <v>Finance</v>
    <v>4</v>
    <v>3795</v>
    <v>2425</v>
    <v>0.8649</v>
    <v>-13.6</v>
    <v>-3.7399999999999998E-3</v>
    <v>INR</v>
    <v>Mahindra and Mahindra Limited is engaged in offering farm equipment, electric vehicles, sport utility vehicles (SUVs), information technology (IT), and financial services. Its segments include Automotive, Farm Equipment, Auto Investments, Farm Investments, Financial Services, and Industrial Businesses and Consumer Services. The Automotive segment comprises the sale of automobiles, two-wheelers, spares, construction equipment and related services. The Farm Equipment segment consists of the sale of tractors, implements, spares, powerol, and related services. Industrial Businesses and Consumer Services segment comprises all other segments like IT services, real estate, hospitality, logistics, steel trading and processing, renewables, after-market, defense, and agri. Financial Services segment comprises offering financial products ranging from retail and other loans, small and medium-sized enterprise finance, housing finance, mutual funds, and life and non-life insurance broking services.</v>
    <v>25222</v>
    <v>National Stock Exchange of India</v>
    <v>XNSE</v>
    <v>XNSE</v>
    <v>Gateway Building, Apollo Bunder, MUMBAI, MAHARASHTRA, 400001 IN</v>
    <v>3647</v>
    <v>Automobiles &amp; Auto Parts</v>
    <v>Stock</v>
    <v>46017.492893518516</v>
    <v>240</v>
    <v>3614.6</v>
    <v>4364209000000</v>
    <v>MAHINDRA AND MAHINDRA LIMITED</v>
    <v>MAHINDRA AND MAHINDRA LIMITED</v>
    <v>3636.7</v>
    <v>28.412700000000001</v>
    <v>3636.7</v>
    <v>3623.1</v>
    <v>1200046000</v>
    <v>M&amp;M</v>
    <v>MAHINDRA AND MAHINDRA LIMITED (XNSE:M&amp;M)</v>
    <v>829910</v>
    <v>1411960</v>
    <v>1945</v>
  </rv>
  <rv s="2">
    <v>241</v>
  </rv>
  <rv s="0">
    <v>https://www.bing.com/financeapi/forcetrigger?t=ahj1u2&amp;q=XNSE%3aMOTHERSON&amp;form=skydnc</v>
    <v>Learn more on Bing</v>
  </rv>
  <rv s="1">
    <v>en-US</v>
    <v>ahj1u2</v>
    <v>268435456</v>
    <v>1</v>
    <v>Powered by Refinitiv</v>
    <v>0</v>
    <v>SAMVARDHANA MOTHERSON INTERNATIONAL LIMITED (XNSE:MOTHERSON)</v>
    <v>2</v>
    <v>3</v>
    <v>Finance</v>
    <v>4</v>
    <v>122.8</v>
    <v>71.5</v>
    <v>1.6032999999999999</v>
    <v>-0.24</v>
    <v>-2.0080000000000002E-3</v>
    <v>INR</v>
    <v>Samvardhana Motherson International Limited is a globally diversified manufacturer. It is a full system solutions provider to customers in automotive and other industries. Its segments include Wiring harness, Modules and polymer products, Vision systems, Integrated assemblies and Emerging businesses. Wiring harness segment is engaged in the business of manufacturing and trading of wiring harnesses, its components and rendering of support service functions to wiring harness operations. Modules and polymer products segment is engaged in rendering of support service functions exclusively to modules and polymer products. Vision systems segment is engaged in the development, manufacturing and supplying of rearview mirrors and drive assistance systems. Integrated assemblies’ segment is engaged in high-quality integrated module assembly and logistics tailored for the automotive sector. Emerging businesses Comprise Elastomers, Lighting &amp; Electronics, Precision Metals &amp; Modules, and others.</v>
    <v>91481</v>
    <v>National Stock Exchange of India</v>
    <v>XNSE</v>
    <v>XNSE</v>
    <v>C-14 A &amp; B, Sector 1,, Distt. Gautam Budh Nagar, NOIDA, UTTAR PRADESH, 201301 IN</v>
    <v>121.14</v>
    <v>Automobiles &amp; Auto Parts</v>
    <v>Stock</v>
    <v>46017.492893518516</v>
    <v>243</v>
    <v>118.4</v>
    <v>1261573000000</v>
    <v>SAMVARDHANA MOTHERSON INTERNATIONAL LIMITED</v>
    <v>SAMVARDHANA MOTHERSON INTERNATIONAL LIMITED</v>
    <v>119.53</v>
    <v>45.893099999999997</v>
    <v>119.53</v>
    <v>119.29</v>
    <v>10554440000</v>
    <v>MOTHERSON</v>
    <v>SAMVARDHANA MOTHERSON INTERNATIONAL LIMITED (XNSE:MOTHERSON)</v>
    <v>12938540</v>
    <v>13200750</v>
    <v>1986</v>
  </rv>
  <rv s="2">
    <v>244</v>
  </rv>
  <rv s="0">
    <v>https://www.bing.com/financeapi/forcetrigger?t=c111oc&amp;q=XNSE%3aMTARTECH&amp;form=skydnc</v>
    <v>Learn more on Bing</v>
  </rv>
  <rv s="1">
    <v>en-US</v>
    <v>c111oc</v>
    <v>268435456</v>
    <v>1</v>
    <v>Powered by Refinitiv</v>
    <v>0</v>
    <v>MTAR TECHNOLOGIES LIMITED (XNSE:MTARTECH)</v>
    <v>2</v>
    <v>3</v>
    <v>Finance</v>
    <v>4</v>
    <v>2719</v>
    <v>1155.5999999999999</v>
    <v>0.70389999999999997</v>
    <v>-56.6</v>
    <v>-2.3094999999999997E-2</v>
    <v>INR</v>
    <v>MTAR Technologies Limited is a precision engineering company. The Company is engaged in the manufacture of mission-critical precision engineered systems for clean energy, civil nuclear power, fuel cells, hydro wind, space and defense sectors. The Company provides manufacturing solutions such as advanced machining, specialized fabrication, assembly &amp; testing, heat treatment, and special processes such as painting and surface treatment. Its business segments include Civilian Nuclear Power, Space, Defence &amp; Aerospace, Clean Energy, Ball Screws &amp; Roller Screws, and Other Segments-Marine. Its Civilian Nuclear Power segment has a product portfolio, which includes complex assemblies, such as fuel machining heads, drive mechanisms, bridge and column and coolant channel assemblies, and others. Its Space segment provides a range of mission critical assemblies to the Indian Space Research Organisation (ISRO). Its Defence &amp; Aerospace segment offers high-precision machined and fabricated systems.</v>
    <v>1180</v>
    <v>National Stock Exchange of India</v>
    <v>XNSE</v>
    <v>XNSE</v>
    <v>18, Technocrats Industrial Estate, Balanagar, HYDERABAD, TELANGANA, 500037 IN</v>
    <v>2530.9</v>
    <v>Machinery, Equipment &amp; Components</v>
    <v>Stock</v>
    <v>46017.492893518516</v>
    <v>246</v>
    <v>2383.8000000000002</v>
    <v>75382530000</v>
    <v>MTAR TECHNOLOGIES LIMITED</v>
    <v>MTAR TECHNOLOGIES LIMITED</v>
    <v>2449.5</v>
    <v>168.43</v>
    <v>2450.6999999999998</v>
    <v>2394.1</v>
    <v>30759590</v>
    <v>MTARTECH</v>
    <v>MTAR TECHNOLOGIES LIMITED (XNSE:MTARTECH)</v>
    <v>295784</v>
    <v>191800</v>
    <v>1999</v>
  </rv>
  <rv s="2">
    <v>247</v>
  </rv>
  <rv s="0">
    <v>https://www.bing.com/financeapi/forcetrigger?t=ahj3bh&amp;q=XNSE%3aMUTHOOTFIN&amp;form=skydnc</v>
    <v>Learn more on Bing</v>
  </rv>
  <rv s="1">
    <v>en-US</v>
    <v>ahj3bh</v>
    <v>268435456</v>
    <v>1</v>
    <v>Powered by Refinitiv</v>
    <v>0</v>
    <v>MUTHOOT FINANCE LIMITED (XNSE:MUTHOOTFIN)</v>
    <v>2</v>
    <v>3</v>
    <v>Finance</v>
    <v>4</v>
    <v>3890</v>
    <v>1965</v>
    <v>1.0313000000000001</v>
    <v>-7.7</v>
    <v>-2.0239999999999998E-3</v>
    <v>INR</v>
    <v>Muthoot Finance Limited is an India-based Non-Banking Financial Company (NBFC), which is engaged in the business of financing. The Company provides business loans secured by gold jewelry or gold loans. It also provides collection services, loan against property, and money transfer services. Its gold loan schemes include Muthoot One Percent Loan, Muthoot Ultimate Loan, Muthoot Delight Loan, Muthoot Mudra Loan, Muthoot Advantage Loan, Muthoot High Value Plus Loan, Muthoot High Value Loan, Muthoot Big Business Loans, Best Value Loan, and High Value Retention. The Company’s services include gold loan, loan at home, housing finance, personal loan, small business loan, insurance, small and medium-sized enterprises (SME) loans, corporate business loan, vehicle loan, mutual funds, non-convertible debentures (NCD), custom offers, pan card, micro finance, digital and cashless, milligram rewards, and national pension system (NPS).</v>
    <v>29221</v>
    <v>National Stock Exchange of India</v>
    <v>XNSE</v>
    <v>XNSE</v>
    <v>2Nd Floor Muthoot Chambers Opp Saritha Theatre Complex, ERNAKULAM, KERALA, 682018 IN</v>
    <v>3845</v>
    <v>Banking Services</v>
    <v>Stock</v>
    <v>46017.492893518516</v>
    <v>249</v>
    <v>3785</v>
    <v>1527467000000</v>
    <v>MUTHOOT FINANCE LIMITED</v>
    <v>MUTHOOT FINANCE LIMITED</v>
    <v>3824</v>
    <v>20.83</v>
    <v>3804.7</v>
    <v>3797</v>
    <v>401468500</v>
    <v>MUTHOOTFIN</v>
    <v>MUTHOOT FINANCE LIMITED (XNSE:MUTHOOTFIN)</v>
    <v>218879</v>
    <v>337990</v>
    <v>1997</v>
  </rv>
  <rv s="2">
    <v>250</v>
  </rv>
  <rv s="0">
    <v>https://www.bing.com/financeapi/forcetrigger?t=ahj4rw&amp;q=XNSE%3aNAVINFLUOR&amp;form=skydnc</v>
    <v>Learn more on Bing</v>
  </rv>
  <rv s="1">
    <v>en-US</v>
    <v>ahj4rw</v>
    <v>268435456</v>
    <v>1</v>
    <v>Powered by Refinitiv</v>
    <v>0</v>
    <v>NAVIN FLUORINE INTERNATIONAL LIMITED (XNSE:NAVINFLUOR)</v>
    <v>2</v>
    <v>3</v>
    <v>Finance</v>
    <v>4</v>
    <v>6223</v>
    <v>3180</v>
    <v>0.93269999999999997</v>
    <v>-99.5</v>
    <v>-1.6938999999999999E-2</v>
    <v>INR</v>
    <v>Navin Fluorine International Limited is an India-based company that is primarily focused on fluorine chemistry, which produces refrigeration gases, inorganic fluorides, specialty organofluorines. The Company operates through the Chemical Business segment. It has two geographical segments based upon the location of its customers, which include within India and outside India. It is the manufacturer of specialty fluorochemicals, which comprises synthetic cryolite, fluorocarbon gases, and hydrofluoric acid and other fluorine chemicals. It offers contract research and manufacturing services. The Company has anhydrous hydrofluoric and diluted hydrofluoric acid manufacturing capacities in India with a multi-product portfolio. It serves industries, including stainless steel, glass, oil and gas, abrasives, electronic products, and life and crop science, among others. The Company’s manufacturing facilities are located at Surat in Gujarat and Dewas in Madhya Pradesh.</v>
    <v>988</v>
    <v>National Stock Exchange of India</v>
    <v>XNSE</v>
    <v>XNSE</v>
    <v>Office No. 602, Natraj by Rustomjee, Near Western Express Highway,, Sir Mathuradas Vasanji Road, MUMBAI, MAHARASHTRA, 400069 IN</v>
    <v>5916</v>
    <v>Chemicals</v>
    <v>Stock</v>
    <v>46017.492893518516</v>
    <v>252</v>
    <v>5750</v>
    <v>300995300000</v>
    <v>NAVIN FLUORINE INTERNATIONAL LIMITED</v>
    <v>NAVIN FLUORINE INTERNATIONAL LIMITED</v>
    <v>5899</v>
    <v>66.23</v>
    <v>5874</v>
    <v>5774.5</v>
    <v>51241970</v>
    <v>NAVINFLUOR</v>
    <v>NAVIN FLUORINE INTERNATIONAL LIMITED (XNSE:NAVINFLUOR)</v>
    <v>113505</v>
    <v>130210</v>
    <v>1998</v>
  </rv>
  <rv s="2">
    <v>253</v>
  </rv>
  <rv s="0">
    <v>https://www.bing.com/financeapi/forcetrigger?t=c1d7ec&amp;q=XNSE%3aNAZARA&amp;form=skydnc</v>
    <v>Learn more on Bing</v>
  </rv>
  <rv s="1">
    <v>en-US</v>
    <v>c1d7ec</v>
    <v>268435456</v>
    <v>1</v>
    <v>Powered by Refinitiv</v>
    <v>0</v>
    <v>NAZARA TECHNOLOGIES LIMITED (XNSE:NAZARA)</v>
    <v>2</v>
    <v>3</v>
    <v>Finance</v>
    <v>4</v>
    <v>363.25</v>
    <v>219.06</v>
    <v>0.57850000000000001</v>
    <v>-1.85</v>
    <v>-7.7320000000000002E-3</v>
    <v>INR</v>
    <v>Nazara Technologies Limited is an India-based gaming and electronic sports (esports) company, with majority ownership of several gaming and esports brands with presence in India, the United States, and other global markets. The Company's segments include Gaming, eSports and Ad tech. In esports, it has esports platform NODWIN Gaming and Sportskeeda/Pro Football Network in the sports media space. Its offerings in the interactive gaming business include gamified early learning ecosystems like Kiddopia and Animal Jam, an IP based gaming studio Fusebox, cricket simulation franchise, World Cricket Championship, and a portfolio of casual games distributed through telco partnerships in many emerging markets. It controls Datawrkz, a digital ad tech company supporting its portfolio companies and external clients with demand-side user acquisition and supply-side ad monetization services. Its subsidiary, Funky Monkeys Play Centers Private Limited, provides indoor soft play centers for children.</v>
    <v>63</v>
    <v>National Stock Exchange of India</v>
    <v>XNSE</v>
    <v>XNSE</v>
    <v>51-57, Maker Chambers 3, Nariman Point Mumbai, MUMBAI, MAHARASHTRA, 400021 IN</v>
    <v>244.2</v>
    <v>Software &amp; IT Services</v>
    <v>Stock</v>
    <v>46017.492893518516</v>
    <v>255</v>
    <v>236.05</v>
    <v>87948400000</v>
    <v>NAZARA TECHNOLOGIES LIMITED</v>
    <v>NAZARA TECHNOLOGIES LIMITED</v>
    <v>240.95</v>
    <v>152.96</v>
    <v>239.25</v>
    <v>237.4</v>
    <v>370465000</v>
    <v>NAZARA</v>
    <v>NAZARA TECHNOLOGIES LIMITED (XNSE:NAZARA)</v>
    <v>1345588</v>
    <v>3096040</v>
    <v>1999</v>
  </rv>
  <rv s="2">
    <v>256</v>
  </rv>
  <rv s="0">
    <v>https://www.bing.com/financeapi/forcetrigger?t=ahj63m&amp;q=XNSE%3aNESTLEIND&amp;form=skydnc</v>
    <v>Learn more on Bing</v>
  </rv>
  <rv s="1">
    <v>en-US</v>
    <v>ahj63m</v>
    <v>268435456</v>
    <v>1</v>
    <v>Powered by Refinitiv</v>
    <v>0</v>
    <v>NESTLE INDIA LIMITED (XNSE:NESTLEIND)</v>
    <v>2</v>
    <v>3</v>
    <v>Finance</v>
    <v>4</v>
    <v>1311.6</v>
    <v>1055</v>
    <v>0.95489999999999997</v>
    <v>12.9</v>
    <v>1.0241E-2</v>
    <v>INR</v>
    <v>Nestle India Limited is an India-based company that is engaged in the food business. The Company's product categories include milk products and nutrition, prepared dishes and cooking aids, powdered and liquid beverages, and confectionery. Its milk and nutrition products include dairy whitener, condensed milk, ultra heat treatment milk, yoghurt, maternal and infant formula, baby foods, and health care nutrition. Its dishes and cooking aid products include noodles, sauces, seasonings, pasta, cereals and pet food. Its powdered and liquid beverages include instant coffee, instant tea and ready to drink beverages. The Company's confectionery products include bar count lines, tablets and sugar confectionery. The Company's brands include NESCAFE, MAGGI, MILKYBAR, KIT KAT, MUNCH, MILKMAID, GERBER and LACTOGROW. Its coffee products include NESCAFE Classic, NESCAFE Sunrise and NESCAFE GOLD. Its pet food portfolio includes PURINA Friskies and PURINA Fancy Feast in the dry and wet cat food range.</v>
    <v>8419</v>
    <v>National Stock Exchange of India</v>
    <v>XNSE</v>
    <v>XNSE</v>
    <v>Nestle House, Jacaranda Marg M Block, DLF City Phase II, National Highway 8, GURGAON, HARYANA, 122002 IN</v>
    <v>1277</v>
    <v>Food &amp; Tobacco</v>
    <v>Stock</v>
    <v>46017.492893518516</v>
    <v>258</v>
    <v>1251.4000000000001</v>
    <v>2429098000000</v>
    <v>NESTLE INDIA LIMITED</v>
    <v>NESTLE INDIA LIMITED</v>
    <v>1264</v>
    <v>82.25</v>
    <v>1259.7</v>
    <v>1272.5999999999999</v>
    <v>1928314000</v>
    <v>NESTLEIND</v>
    <v>NESTLE INDIA LIMITED (XNSE:NESTLEIND)</v>
    <v>1433973</v>
    <v>725620</v>
    <v>1959</v>
  </rv>
  <rv s="2">
    <v>259</v>
  </rv>
  <rv s="0">
    <v>https://www.bing.com/financeapi/forcetrigger?t=ahj6nm&amp;q=XNSE%3aNHPC&amp;form=skydnc</v>
    <v>Learn more on Bing</v>
  </rv>
  <rv s="1">
    <v>en-US</v>
    <v>ahj6nm</v>
    <v>268435456</v>
    <v>1</v>
    <v>Powered by Refinitiv</v>
    <v>0</v>
    <v>NHPC Limited (XNSE:NHPC)</v>
    <v>2</v>
    <v>3</v>
    <v>Finance</v>
    <v>4</v>
    <v>92.34</v>
    <v>71</v>
    <v>0.91790000000000005</v>
    <v>0.55000000000000004</v>
    <v>7.0689999999999998E-3</v>
    <v>INR</v>
    <v>NHPC Limited is an India-based company, which is primarily engaged in the generation and sale of bulk power to various power utilities. The Company’s other business activities include project management / construction contracts/ consultancy assignment services and trading of power. It has an installed capacity of approximately 8247.18 megawatts (MW), including 1681.70 MW in joint venture, comprising over 7771.20 MW from 23 hydro power stations, 425.98 MW from five solar power projects and 50 MW from a wind power project. Its power stations include Salal, Dulhasti, Chutak, Baira Siul, Tanakpur, Dhauliganga, Rangit, Loktak, Indira Saga, Chamera-I, Uri-I, Omkareshwa, and others. Its consultancy services offer survey and investigation, planning, design and engineering, construction, operation and maintenance, renovation, modernization and updating of hydropower projects. Its subsidiaries include NHDC Limited, Bundelkhand Saur Urja Limited, Lanco Teesta Hydro Power Limited, and others.</v>
    <v>4577</v>
    <v>National Stock Exchange of India</v>
    <v>XNSE</v>
    <v>XNSE</v>
    <v>Sector-33, FARIDABAD, HARYANA, 121003 IN</v>
    <v>79.17</v>
    <v>Electrical Utilities &amp; IPPs</v>
    <v>Stock</v>
    <v>46017.492893518516</v>
    <v>261</v>
    <v>77.28</v>
    <v>781604200000</v>
    <v>NHPC Limited</v>
    <v>NHPC Limited</v>
    <v>77.42</v>
    <v>24.62</v>
    <v>77.81</v>
    <v>78.36</v>
    <v>10045040000</v>
    <v>NHPC</v>
    <v>NHPC Limited (XNSE:NHPC)</v>
    <v>9063484</v>
    <v>6354280</v>
    <v>1975</v>
  </rv>
  <rv s="2">
    <v>262</v>
  </rv>
  <rv s="0">
    <v>https://www.bing.com/financeapi/forcetrigger?t=axczqh&amp;q=XNSE%3aNIACL&amp;form=skydnc</v>
    <v>Learn more on Bing</v>
  </rv>
  <rv s="1">
    <v>en-US</v>
    <v>axczqh</v>
    <v>268435456</v>
    <v>1</v>
    <v>Powered by Refinitiv</v>
    <v>0</v>
    <v>THE NEW INDIA ASSURANCE COMPANY LIMITED (XNSE:NIACL)</v>
    <v>2</v>
    <v>3</v>
    <v>Finance</v>
    <v>4</v>
    <v>214.74</v>
    <v>135.6</v>
    <v>1.6480999999999999</v>
    <v>3.33</v>
    <v>2.2128000000000002E-2</v>
    <v>INR</v>
    <v>The New India Assurance Company Limited is an India-based multinational general insurance company. Its insurance products include Fire, Marine, Motor, Health, Liability, Aviation, Engineering, Crop, Other Miscellaneous, and others. Its Fire insurance products include Bharat Sookshma Udyam Suraksha, Business Interruption, Fire Floater, Fire Floater Declaration, Fire Large Risk, Industrial All Risk, New India Bharat Griha Raksha, New India Bharat Laghu Udyam Suraksha, and Petrochemical. Its Marine insurance products include Port Package Policy, Sellers Interest Insurance, Ship Breaking Insurance, Specific Voyage, Tea Crop Insurance, Voyage Insurance, and others. Its Indian operations span across all territories through about 2214 offices. It has a presence in approximately 25 countries, including a presence in two countries with Associates. Its subsidiaries include The New India Assurance Co. (T &amp; T) Ltd., The New India Assurance Co. (S.L.) Ltd., and Prestige Assurance Plc.</v>
    <v>10949</v>
    <v>National Stock Exchange of India</v>
    <v>XNSE</v>
    <v>XNSE</v>
    <v>#87, M.G.Road, Fort, MUMBAI, MAHARASHTRA, 400001 IN</v>
    <v>157.58000000000001</v>
    <v>Insurance</v>
    <v>Stock</v>
    <v>46017.492893518516</v>
    <v>264</v>
    <v>150.13999999999999</v>
    <v>248007500000</v>
    <v>THE NEW INDIA ASSURANCE COMPANY LIMITED</v>
    <v>THE NEW INDIA ASSURANCE COMPANY LIMITED</v>
    <v>151</v>
    <v>21.31</v>
    <v>150.49</v>
    <v>153.82</v>
    <v>1648000000</v>
    <v>NIACL</v>
    <v>THE NEW INDIA ASSURANCE COMPANY LIMITED (XNSE:NIACL)</v>
    <v>1978183</v>
    <v>1011060</v>
    <v>1919</v>
  </rv>
  <rv s="2">
    <v>265</v>
  </rv>
  <rv s="0">
    <v>https://www.bing.com/financeapi/forcetrigger?t=ahj9zr&amp;q=XNSE%3aONGC&amp;form=skydnc</v>
    <v>Learn more on Bing</v>
  </rv>
  <rv s="1">
    <v>en-US</v>
    <v>ahj9zr</v>
    <v>268435456</v>
    <v>1</v>
    <v>Powered by Refinitiv</v>
    <v>0</v>
    <v>OIL AND NATURAL GAS CORPORATION LIMITED (XNSE:ONGC)</v>
    <v>2</v>
    <v>3</v>
    <v>Finance</v>
    <v>4</v>
    <v>273.5</v>
    <v>205</v>
    <v>0.89749999999999996</v>
    <v>0.76</v>
    <v>3.251E-3</v>
    <v>INR</v>
    <v>Oil and Natural Gas Corporation Limited is an India-based integrated oil and gas company. The Company is engaged in exploration, development and production of crude oil, natural gas and value-added products in India and acquisition of oil and gas acreages outside India for exploration, development and production, downstream (Refining and marketing of petroleum products), Petrochemicals, Power Generation, liquefied natural gas (LNG) supply, Pipeline Transportation, special economic zone (SEZ) development, Helicopter services, Manufacturing of Ethanol and Sugar, Green and Renewable energy business. Its segments include Exploration and Production, Refining &amp; Marketing, and Petrochemicals. Its geographical segments consist of India, which includes offshore and onshore, and Outside India. Its subsidiaries include ONGC Videsh Limited, ONGC Green Limited, Mangalore Refinery and Petrochemicals Limited, Hindustan Petroleum Corporation Limited, HPCL Biofuels Limited, and among others.</v>
    <v>25319</v>
    <v>National Stock Exchange of India</v>
    <v>XNSE</v>
    <v>XNSE</v>
    <v>Deendayal Urja Bhawan, 5A, Nelson Mandela Marg, Vasant Kunj, NEW DELHI, DELHI, 110070 IN</v>
    <v>235.28</v>
    <v>Oil &amp; Gas</v>
    <v>Stock</v>
    <v>46017.492893518516</v>
    <v>267</v>
    <v>233.05</v>
    <v>2950453000000</v>
    <v>OIL AND NATURAL GAS CORPORATION LIMITED</v>
    <v>OIL AND NATURAL GAS CORPORATION LIMITED</v>
    <v>233.84</v>
    <v>8.0500000000000007</v>
    <v>233.77</v>
    <v>234.53</v>
    <v>12580280000</v>
    <v>ONGC</v>
    <v>OIL AND NATURAL GAS CORPORATION LIMITED (XNSE:ONGC)</v>
    <v>3710774</v>
    <v>6211670</v>
    <v>1993</v>
  </rv>
  <rv s="2">
    <v>268</v>
  </rv>
  <rv s="0">
    <v>https://www.bing.com/financeapi/forcetrigger?t=c3ltyc&amp;q=XNSE%3aPARAS&amp;form=skydnc</v>
    <v>Learn more on Bing</v>
  </rv>
  <rv s="1">
    <v>en-US</v>
    <v>c3ltyc</v>
    <v>268435456</v>
    <v>1</v>
    <v>Powered by Refinitiv</v>
    <v>0</v>
    <v>PARAS DEFENCE AND SPACE TECHNOLOGIES LIMITED (XNSE:PARAS)</v>
    <v>2</v>
    <v>3</v>
    <v>Finance</v>
    <v>4</v>
    <v>972.5</v>
    <v>404.7</v>
    <v>1.8101</v>
    <v>27.55</v>
    <v>4.1063999999999996E-2</v>
    <v>INR</v>
    <v>Paras Defence and Space Technologies Limited is an India-based defense engineering Company. The Company is engaged in offering a range of products and solutions for defense and space application. It operates through two segments: Optics &amp; Optronic Systems and Defense Engineering. Optics &amp; Optronic Systems segment include optical components and sub-systems, such as space optics/gratings/mirrors, infra-red lenses for night vision devices, opto-mechanical assemblies and precision diamond turned components and opto-electronic systems comprising of submarine periscope, hyperspectral camera. Defense Engineering segment include defense electronics compromising of defense automation and control systems, rugged command and control consoles, and avionic suite; heavy engineering comprising of flow formed rockets/ missile motor tubes, electromechanical assemblies, remote controlled border defense system and turnkey projects, and electromagnetic pulse protection solutions.</v>
    <v>537</v>
    <v>National Stock Exchange of India</v>
    <v>XNSE</v>
    <v>XNSE</v>
    <v>D-112, TTC Industrial Area, Nerul, NAVI MUMBAI, MAHARASHTRA, 400706 IN</v>
    <v>716.5</v>
    <v>Aerospace &amp; Defense</v>
    <v>Stock</v>
    <v>46017.492893518516</v>
    <v>270</v>
    <v>668.7</v>
    <v>54066040000</v>
    <v>PARAS DEFENCE AND SPACE TECHNOLOGIES LIMITED</v>
    <v>PARAS DEFENCE AND SPACE TECHNOLOGIES LIMITED</v>
    <v>671.1</v>
    <v>80.054299999999998</v>
    <v>670.9</v>
    <v>698.45</v>
    <v>80587330</v>
    <v>PARAS</v>
    <v>PARAS DEFENCE AND SPACE TECHNOLOGIES LIMITED (XNSE:PARAS)</v>
    <v>1466036</v>
    <v>416450</v>
    <v>2009</v>
  </rv>
  <rv s="2">
    <v>271</v>
  </rv>
  <rv s="0">
    <v>https://www.bing.com/financeapi/forcetrigger?t=c45mcw&amp;q=XNSE%3aPAYTM&amp;form=skydnc</v>
    <v>Learn more on Bing</v>
  </rv>
  <rv s="1">
    <v>en-US</v>
    <v>c45mcw</v>
    <v>268435456</v>
    <v>1</v>
    <v>Powered by Refinitiv</v>
    <v>0</v>
    <v>ONE 97 COMMUNICATIONS LIMITED (XNSE:PAYTM)</v>
    <v>2</v>
    <v>3</v>
    <v>Finance</v>
    <v>4</v>
    <v>1381.8</v>
    <v>651.5</v>
    <v>-0.46889999999999998</v>
    <v>-9.4</v>
    <v>-7.0959999999999999E-3</v>
    <v>INR</v>
    <v>One 97 Communications Limited is an India-based company, which owns the brand Paytm. The Company is engaged in the business of providing payment and financial services, which includes payment facilitator services, facilitation of consumer and merchant loan distribution to consumers and merchants, wealth management, and others. Its services include digital recharge, bill payments, such as utility bills, education and money transfers on the app, online payment gateways as well as offline payment modes to merchants either through Quick Response (QR) codes, Soundbox or Card Machines. It also offers digital distribution of credit, insurance, mutual funds distribution and equity broking. Its other services include deals and gift vouchers, advertising services and loyalty programs for merchants. Its offerings cater to a range of customer requirements, facilitating money transfers, merchant payments, bill payments, e-commerce transactions, and access to other financial services.</v>
    <v>14656</v>
    <v>National Stock Exchange of India</v>
    <v>XNSE</v>
    <v>XNSE</v>
    <v>One Skymark, Floor No. 6th to 22nd, Tower-D,, Plot No. H-10B, Sector-98,, NOIDA, UTTAR PRADESH, 201304 IN</v>
    <v>1335.5</v>
    <v>Professional &amp; Commercial Services</v>
    <v>Stock</v>
    <v>46017.492893518516</v>
    <v>273</v>
    <v>1310.4000000000001</v>
    <v>841186000000</v>
    <v>ONE 97 COMMUNICATIONS LIMITED</v>
    <v>ONE 97 COMMUNICATIONS LIMITED</v>
    <v>1321</v>
    <v>0</v>
    <v>1324.7</v>
    <v>1315.3</v>
    <v>639539200</v>
    <v>PAYTM</v>
    <v>ONE 97 COMMUNICATIONS LIMITED (XNSE:PAYTM)</v>
    <v>1094267</v>
    <v>2423510</v>
    <v>2000</v>
  </rv>
  <rv s="2">
    <v>274</v>
  </rv>
  <rv s="0">
    <v>https://www.bing.com/financeapi/forcetrigger?t=ahjfbh&amp;q=XNSE%3aPIDILITIND&amp;form=skydnc</v>
    <v>Learn more on Bing</v>
  </rv>
  <rv s="1">
    <v>en-US</v>
    <v>ahjfbh</v>
    <v>268435456</v>
    <v>1</v>
    <v>Powered by Refinitiv</v>
    <v>0</v>
    <v>PIDILITE INDUSTRIES LIMITED (XNSE:PIDILITIND)</v>
    <v>2</v>
    <v>3</v>
    <v>Finance</v>
    <v>4</v>
    <v>1574.95</v>
    <v>1306.8699999999999</v>
    <v>1.0558000000000001</v>
    <v>12</v>
    <v>8.2950000000000003E-3</v>
    <v>INR</v>
    <v>Pidilite Industries Limited is an India-based manufacturer of consumer and industrial specialty chemicals. The Company's segments include Consumer and Bazaar (C&amp;B), Business to Business (B2B), and Others. The C&amp;B segment covers the sale of products mainly to end consumers, which are retail users such as carpenters, painters, plumbers, mechanics, households, students and offices, among others. The Company's products include adhesives, sealants, art &amp; craft materials and others, construction, and paint chemicals. The B2B segment includes industrial products such as adhesives, synthetic resins, organic pigments, pigment preparations, construction chemicals (projects) and surfactants, among others. It caters to various industries, such as packaging, textiles, joineries, printing inks, paper and leather, among others.</v>
    <v>8153</v>
    <v>National Stock Exchange of India</v>
    <v>XNSE</v>
    <v>XNSE</v>
    <v>Ramkrishna Mandir Road, Andheri - E, Mumbai, MUMBAI, MAHARASHTRA, 400059 IN</v>
    <v>1464</v>
    <v>Chemicals</v>
    <v>Stock</v>
    <v>46017.492893518516</v>
    <v>276</v>
    <v>1445</v>
    <v>1472225000000</v>
    <v>PIDILITE INDUSTRIES LIMITED</v>
    <v>PIDILITE INDUSTRIES LIMITED</v>
    <v>1446.6</v>
    <v>66.691699999999997</v>
    <v>1446.6</v>
    <v>1458.6</v>
    <v>1017714000</v>
    <v>PIDILITIND</v>
    <v>PIDILITE INDUSTRIES LIMITED (XNSE:PIDILITIND)</v>
    <v>240983</v>
    <v>308800</v>
    <v>1969</v>
  </rv>
  <rv s="2">
    <v>277</v>
  </rv>
  <rv s="0">
    <v>https://www.bing.com/financeapi/forcetrigger?t=ahjfec&amp;q=XNSE%3aPIIND&amp;form=skydnc</v>
    <v>Learn more on Bing</v>
  </rv>
  <rv s="1">
    <v>en-US</v>
    <v>ahjfec</v>
    <v>268435456</v>
    <v>1</v>
    <v>Powered by Refinitiv</v>
    <v>0</v>
    <v>PI INDUSTRIES LIMITED (XNSE:PIIND)</v>
    <v>2</v>
    <v>3</v>
    <v>Finance</v>
    <v>4</v>
    <v>4330</v>
    <v>2951.1</v>
    <v>1.4830000000000001</v>
    <v>16.899999999999999</v>
    <v>5.2510000000000005E-3</v>
    <v>INR</v>
    <v>PI Industries Limited is a holding company, which is engaged in the manufacturing and distribution of agrochemicals. It operates through two segments: Agrochemicals and Pharma. The Company's agrochemical product portfolio includes insecticides, such as KEEFUN, COLT, OSHEEN, COLFOS, FOSMITE, FLUTON, JUMBO, and SNAILKILL, among others; fungicides, including KITAZIN, SANIPEB, CLUTCH, HEADER, VISMA, SHIELD, and WAGON; herbicide lineup products like SOLARO, WICKET, NOMINEE GOLD, PIMIX, LEGACEE, MELSA, and ELITE. Furthermore, the Company's specialty products include BIOVITA GRANULES, BIOVITA LIQUID, SUPER SPREADER, and HUMESOL. It provides services such as Research and Development (R&amp;D), Custom Synthesis and Manufacturing Solutions (CSM), and Distribution Services. Its subsidiaries are Jivagro Limited, PI Health Sciences Limited, PI Life Science Research Limited, PI Japan Co. Limited, PILL Finance and Investments Limited, PI Bioferma Private Limited, and PI Fermachem Private Limited.</v>
    <v>3587</v>
    <v>National Stock Exchange of India</v>
    <v>XNSE</v>
    <v>XNSE</v>
    <v>5Th Floor,, Vipul Square,B Block,Sushant Lok,, Phase - 1, GURGAON, HARYANA, 122009 IN</v>
    <v>3267.5</v>
    <v>Chemicals</v>
    <v>Stock</v>
    <v>46017.492893518516</v>
    <v>279</v>
    <v>3203.6</v>
    <v>488211300000</v>
    <v>PI INDUSTRIES LIMITED</v>
    <v>PI INDUSTRIES LIMITED</v>
    <v>3215</v>
    <v>32.28</v>
    <v>3218.2</v>
    <v>3235.1</v>
    <v>151703200</v>
    <v>PIIND</v>
    <v>PI INDUSTRIES LIMITED (XNSE:PIIND)</v>
    <v>153416</v>
    <v>206430</v>
    <v>1946</v>
  </rv>
  <rv s="2">
    <v>280</v>
  </rv>
  <rv s="0">
    <v>https://www.bing.com/financeapi/forcetrigger?t=btddc7&amp;q=XNSE%3aPRINCEPIPE&amp;form=skydnc</v>
    <v>Learn more on Bing</v>
  </rv>
  <rv s="1">
    <v>en-US</v>
    <v>btddc7</v>
    <v>268435456</v>
    <v>1</v>
    <v>Powered by Refinitiv</v>
    <v>0</v>
    <v>PRINCE PIPES AND FITTINGS LIMITED (XNSE:PRINCEPIPE)</v>
    <v>2</v>
    <v>3</v>
    <v>Finance</v>
    <v>4</v>
    <v>435</v>
    <v>229.05</v>
    <v>1.0973999999999999</v>
    <v>2.1</v>
    <v>8.4099999999999991E-3</v>
    <v>INR</v>
    <v>Prince Pipes and Fittings Limited is an India-based company. The Company's operation comprises manufacturing and selling of plastic pipes and fittings. The Company’s polymers processing products include Chlorinated Polyvinyl Chloride (CPVC), Unplasticized Polyvinyl Chloride (UPVC), Poly Propylene Random Copolymer (PPR), High Density Polyethylene (HDPE), Pipes, Fittings, Valves and Linear Low-Density Polyethylene (LLDPE), and water storage tanks. It also includes products such as water tanks, cable ducting, double-walled corrugated (DWC) pipes. Its product range includes plumbing, industrial, sewerage drainage pipes and fittings, underground, agricultural and borewell, cable protection, and surface drainage systems. Its underground product range includes foam fit, drain fit, drain fit inspection chambers, corfit, corfit inspection chambers, and durafit. The Company's products are used in potable water supply, agriculture, bore wells, drainage, water storage.</v>
    <v>2150</v>
    <v>National Stock Exchange of India</v>
    <v>XNSE</v>
    <v>XNSE</v>
    <v>The Ruby, 8Th Floor, Senapati Bapat Marg (Tulsi Pipe Road), Dadar (West), MUMBAI, MAHARASHTRA, 400028 IN</v>
    <v>253</v>
    <v>Homebuilding &amp; Construction Supplies</v>
    <v>Stock</v>
    <v>46017.492893518516</v>
    <v>282</v>
    <v>248.8</v>
    <v>27607100000</v>
    <v>PRINCE PIPES AND FITTINGS LIMITED</v>
    <v>PRINCE PIPES AND FITTINGS LIMITED</v>
    <v>251.5</v>
    <v>119.26300000000001</v>
    <v>249.7</v>
    <v>251.8</v>
    <v>110561100</v>
    <v>PRINCEPIPE</v>
    <v>PRINCE PIPES AND FITTINGS LIMITED (XNSE:PRINCEPIPE)</v>
    <v>99014</v>
    <v>121960</v>
    <v>1987</v>
  </rv>
  <rv s="2">
    <v>283</v>
  </rv>
  <rv s="0">
    <v>https://www.bing.com/financeapi/forcetrigger?t=ahjmtc&amp;q=XNSE%3aRAYMOND&amp;form=skydnc</v>
    <v>Learn more on Bing</v>
  </rv>
  <rv s="1">
    <v>en-US</v>
    <v>ahjmtc</v>
    <v>268435456</v>
    <v>1</v>
    <v>Powered by Refinitiv</v>
    <v>0</v>
    <v>RAYMOND LIMITED (XNSE:RAYMOND)</v>
    <v>2</v>
    <v>3</v>
    <v>Finance</v>
    <v>4</v>
    <v>783.9</v>
    <v>408.14</v>
    <v>1.0391999999999999</v>
    <v>-8.0500000000000007</v>
    <v>-1.8731999999999999E-2</v>
    <v>INR</v>
    <v>Raymond Limited is an India-based company, which is engaged in the engineering business. The Company's segments include Tools and hardware, Auto components, Precision, and Others: Job processing and non-scheduled airline operations. Its engineering business is engaged in the manufacturing and distribution of precision engineered components. The Company provides engineering, automotive, electric vehicle (EV), aerospace and defense components. Its product range includes steel files, drills, hand tools, power tool accessories and auto parts such as ring gears, flex plates and water pump bearings. The Company has a presence across international as well as domestic markets.</v>
    <v>272</v>
    <v>National Stock Exchange of India</v>
    <v>XNSE</v>
    <v>XNSE</v>
    <v>New Hind House, Narottam Morarjee Marg, Ballard Estate, MUMBAI, MAHARASHTRA, 400001 IN</v>
    <v>435.7</v>
    <v>Textiles &amp; Apparel</v>
    <v>Stock</v>
    <v>46017.492893518516</v>
    <v>285</v>
    <v>420.2</v>
    <v>28600480000</v>
    <v>RAYMOND LIMITED</v>
    <v>RAYMOND LIMITED</v>
    <v>430.3</v>
    <v>23.46</v>
    <v>429.75</v>
    <v>421.7</v>
    <v>66551430</v>
    <v>RAYMOND</v>
    <v>RAYMOND LIMITED (XNSE:RAYMOND)</v>
    <v>486699</v>
    <v>254010</v>
    <v>1925</v>
  </rv>
  <rv s="2">
    <v>286</v>
  </rv>
  <rv s="0">
    <v>https://www.bing.com/financeapi/forcetrigger?t=ahjn8m&amp;q=XNSE%3aRECLTD&amp;form=skydnc</v>
    <v>Learn more on Bing</v>
  </rv>
  <rv s="1">
    <v>en-US</v>
    <v>ahjn8m</v>
    <v>268435456</v>
    <v>1</v>
    <v>Powered by Refinitiv</v>
    <v>0</v>
    <v>REC LIMITED (XNSE:RECLTD)</v>
    <v>2</v>
    <v>3</v>
    <v>Finance</v>
    <v>4</v>
    <v>544.70000000000005</v>
    <v>330.95</v>
    <v>1.2706999999999999</v>
    <v>2.35</v>
    <v>6.6239999999999997E-3</v>
    <v>INR</v>
    <v>REC Limited is a non-banking financial company (NBFC). The Company's products are interest-bearing loans to state electricity boards, state power utilities/state power departments and the private sector for all segments of power infrastructure. It operates in one business segment which is lending to power, logistics and infrastructure sectors. Its financial products include long-term loan, medium term loan, short-term loan, debt refinancing, equity financing, financing of equipment manufacturing for power sector, financing of coal mines, policy for funding against regulatory assets (excluding return on equity component) of power utilities and a revolving bill payment facility. Its debt refinancing policy is applicable for extending term loans for refinancing existing project term loan of all types of commissioned project in power sector, including renewable energy projects, by government and private sector borrowers. It acts as a nodal agency for the Government of India's schemes.</v>
    <v>573</v>
    <v>National Stock Exchange of India</v>
    <v>XNSE</v>
    <v>XNSE</v>
    <v>Plot No. I-4, Sector 29, Near Iffco Chowk Metro Station, GURGAON, HARYANA, 122001 IN</v>
    <v>360.45</v>
    <v>Banking Services</v>
    <v>Stock</v>
    <v>46017.492893518516</v>
    <v>288</v>
    <v>353.55</v>
    <v>934136200000</v>
    <v>REC LIMITED</v>
    <v>REC LIMITED</v>
    <v>354.85</v>
    <v>5.41</v>
    <v>354.75</v>
    <v>357.1</v>
    <v>2633224000</v>
    <v>RECLTD</v>
    <v>REC LIMITED (XNSE:RECLTD)</v>
    <v>5271033</v>
    <v>5005570</v>
    <v>1969</v>
  </rv>
  <rv s="2">
    <v>289</v>
  </rv>
  <rv s="0">
    <v>https://www.bing.com/financeapi/forcetrigger?t=ahjo52&amp;q=XNSE%3aRELIANCE&amp;form=skydnc</v>
    <v>Learn more on Bing</v>
  </rv>
  <rv s="1">
    <v>en-US</v>
    <v>ahjo52</v>
    <v>268435456</v>
    <v>1</v>
    <v>Powered by Refinitiv</v>
    <v>0</v>
    <v>RELIANCE INDUSTRIES LIMITED (XNSE:RELIANCE)</v>
    <v>2</v>
    <v>3</v>
    <v>Finance</v>
    <v>4</v>
    <v>1581.3</v>
    <v>1114.8499999999999</v>
    <v>1.2049000000000001</v>
    <v>1</v>
    <v>6.4179999999999999E-4</v>
    <v>INR</v>
    <v>Reliance Industries Limited is engaged in the activities of hydrocarbon exploration and production, petroleum refining and marketing, petrochemicals, advanced materials and composites, renewables, retail and digital services. The Company’s segments include Oil to Chemicals (O2C), Oil and Gas, Retail, and Digital Services. The O2C segment covers refining, petrochemicals, fuel retailing, aviation fuel, and bulk wholesale marketing, with a portfolio that includes transportation fuels, polymers, polyesters, and elastomers. The Oil and Gas segment focuses on the exploration, development, and production of crude oil and natural gas. The Retail segment involves consumer retail and related services. The Digital Services segment provides a range of digital services. It also operates an oncology-focused healthcare platform, which focuses on technology-driven cancer care. Its subsidiaries include 7-India Convenience Retail Limited, Amante India Limited, Cover Story Clothing Limited, and others.</v>
    <v>403303</v>
    <v>National Stock Exchange of India</v>
    <v>XNSE</v>
    <v>XNSE</v>
    <v>Maker Chambers IV, Nariman Point, MUMBAI, MAHARASHTRA, 400021 IN</v>
    <v>1561</v>
    <v>Oil &amp; Gas</v>
    <v>Stock</v>
    <v>46017.492893518516</v>
    <v>291</v>
    <v>1554.3</v>
    <v>21099830000000</v>
    <v>RELIANCE INDUSTRIES LIMITED</v>
    <v>RELIANCE INDUSTRIES LIMITED</v>
    <v>1554.7</v>
    <v>25.37</v>
    <v>1558.2</v>
    <v>1559.2</v>
    <v>13532740000</v>
    <v>RELIANCE</v>
    <v>RELIANCE INDUSTRIES LIMITED (XNSE:RELIANCE)</v>
    <v>2311495</v>
    <v>8146120</v>
    <v>1973</v>
  </rv>
  <rv s="2">
    <v>292</v>
  </rv>
  <rv s="0">
    <v>https://www.bing.com/financeapi/forcetrigger?t=bppmsm&amp;q=XNSE%3aRVNL&amp;form=skydnc</v>
    <v>Learn more on Bing</v>
  </rv>
  <rv s="1">
    <v>en-US</v>
    <v>bppmsm</v>
    <v>268435456</v>
    <v>1</v>
    <v>Powered by Refinitiv</v>
    <v>0</v>
    <v>RAIL VIKAS NIGAM LIMITED (XNSE:RVNL)</v>
    <v>2</v>
    <v>3</v>
    <v>Finance</v>
    <v>4</v>
    <v>501.8</v>
    <v>301.2</v>
    <v>1.4125000000000001</v>
    <v>42.25</v>
    <v>0.12221600000000001</v>
    <v>INR</v>
    <v>Rail Vikas Nigam Limited (RVNL) is an India-based company, which is engaged in development of rail infrastructure. RVNL is engaged in the business of implementing various types of Rail infrastructure projects assigned by Ministry of Railway (MoR) including doubling (including 3rd/4th lines), gauge conversion, new lines, railway electrification, bridges, metro projects, workshops, and production units. It undertakes and executes the project development, financing and implementation of projects related to rail infrastructure. It works on a turnkey basis and undertakes the full cycle of project development from conceptualization to commissioning, including stages of design, preparation of estimates, calling contracts, project and contract management, among others. Its projects include Manamadurai-Rameswaram, Jakhapura- Haridaspur 3rd Line, Cuttack - Barang Doubling, Vallarpadam-Idapally, and Villipuram-Dindigul Doubling.</v>
    <v>213</v>
    <v>National Stock Exchange of India</v>
    <v>XNSE</v>
    <v>XNSE</v>
    <v>August Kranti Bhawan, Bhikaji Cama Place, R. K. Puram, Plot No. 25, First Floor, NEW DELHI, DELHI, 110066 IN</v>
    <v>392.8</v>
    <v>Construction &amp; Engineering</v>
    <v>Stock</v>
    <v>46017.492905092593</v>
    <v>294</v>
    <v>345.85</v>
    <v>720791400000</v>
    <v>RAIL VIKAS NIGAM LIMITED</v>
    <v>RAIL VIKAS NIGAM LIMITED</v>
    <v>346.7</v>
    <v>63.45</v>
    <v>345.7</v>
    <v>387.95</v>
    <v>2085020000</v>
    <v>RVNL</v>
    <v>RAIL VIKAS NIGAM LIMITED (XNSE:RVNL)</v>
    <v>102998642</v>
    <v>6403450</v>
    <v>2003</v>
  </rv>
  <rv s="2">
    <v>295</v>
  </rv>
  <rv s="0">
    <v>https://www.bing.com/financeapi/forcetrigger?t=ahjs7w&amp;q=XNSE%3aSAKUMA&amp;form=skydnc</v>
    <v>Learn more on Bing</v>
  </rv>
  <rv s="1">
    <v>en-US</v>
    <v>ahjs7w</v>
    <v>268435456</v>
    <v>1</v>
    <v>Powered by Refinitiv</v>
    <v>0</v>
    <v>SAKUMA EXPORTS LIMITED (XNSE:SAKUMA)</v>
    <v>2</v>
    <v>3</v>
    <v>Finance</v>
    <v>4</v>
    <v>4.04</v>
    <v>2.11</v>
    <v>0.77880000000000005</v>
    <v>-0.03</v>
    <v>-1.3698999999999999E-2</v>
    <v>INR</v>
    <v>Sakuma Exports Limited is an India-based company engaged in the trading of agro commodities and caters to both domestic and international markets. The Company acts as a buyer, processor, marketer, exporter and importer of bulk agricultural commodities, namely sugar, edible oils, oil seeds, pulses, cotton and a number of specialty crops. It also offers financial structured products which are linked to physical commodities. The Company operates in India, the Middle East, South and Southeast Asia, the Far East, Australia, Europe, and Africa. Its business verticals include International Trade of Agro Commodities; Petrochemicals, Petroleum and Minerals; Renewable Energy; and Distribution and Supply Chain Management. Its International Trade of Agro Commodities business is engaged in supplying sugar and by-products, oil and oilseeds, grains, grains, spices, animal feed, and cotton to the international market.</v>
    <v>62</v>
    <v>National Stock Exchange of India</v>
    <v>XNSE</v>
    <v>XNSE</v>
    <v>A-301, Aurus Chambers, S.S. Amrutwar Lane,, Worli,, MUMBAI, MAHARASHTRA, 400013 IN</v>
    <v>2.19</v>
    <v>Food &amp; Drug Retailing</v>
    <v>Stock</v>
    <v>46017.492905092593</v>
    <v>297</v>
    <v>2.13</v>
    <v>3433304000</v>
    <v>SAKUMA EXPORTS LIMITED</v>
    <v>SAKUMA EXPORTS LIMITED</v>
    <v>2.1800000000000002</v>
    <v>34.11</v>
    <v>2.19</v>
    <v>2.16</v>
    <v>1567719000</v>
    <v>SAKUMA</v>
    <v>SAKUMA EXPORTS LIMITED (XNSE:SAKUMA)</v>
    <v>1717681</v>
    <v>1205030</v>
    <v>2005</v>
  </rv>
  <rv s="2">
    <v>298</v>
  </rv>
  <rv s="0">
    <v>https://www.bing.com/financeapi/forcetrigger?t=bu1xmw&amp;q=XNSE%3aSBICARD&amp;form=skydnc</v>
    <v>Learn more on Bing</v>
  </rv>
  <rv s="1">
    <v>en-US</v>
    <v>bu1xmw</v>
    <v>268435456</v>
    <v>1</v>
    <v>Powered by Refinitiv</v>
    <v>0</v>
    <v>SBI CARDS AND PAYMENT SERVICES LIMITED (XNSE:SBICARD)</v>
    <v>2</v>
    <v>3</v>
    <v>Finance</v>
    <v>4</v>
    <v>1027.25</v>
    <v>663.05</v>
    <v>0.8175</v>
    <v>-3</v>
    <v>-3.4580000000000001E-3</v>
    <v>INR</v>
    <v>SBI Cards and Payment Services Limited is an India-based company. The Company provides credit card services. The Company operates through a single segment, namely, Credit cards. It offers a wide range of credit cards to individual cardholders and corporate clients. Its individual cards include travel &amp; fuel cards, lifestyle cards, shopping cards, and banking partnership cards. Its corporate cards include central travel card, utility card, corporate purchase card, and corporate virtual card. The Company also offers value-added payment products and services. It serves a wide spectrum of cardholders, spanning from the super-premium and premium categories to the affluent, mass affluent, mass, and new to credit segments. It has issued approximately 20 million credit cards.</v>
    <v>4098</v>
    <v>National Stock Exchange of India</v>
    <v>XNSE</v>
    <v>XNSE</v>
    <v>Unit 401 &amp; 402, 04th Floor,, Aggarwal Millennium Tower,, E-1,2,3 Netaji Subhash Place,Wazirpur, NEW DELHI, DELHI, 110034 IN</v>
    <v>875</v>
    <v>Banking Services</v>
    <v>Stock</v>
    <v>46017.492905092593</v>
    <v>300</v>
    <v>862.8</v>
    <v>822733800000</v>
    <v>SBI CARDS AND PAYMENT SERVICES LIMITED</v>
    <v>SBI CARDS AND PAYMENT SERVICES LIMITED</v>
    <v>874.9</v>
    <v>43.04</v>
    <v>867.6</v>
    <v>864.6</v>
    <v>951577400</v>
    <v>SBICARD</v>
    <v>SBI CARDS AND PAYMENT SERVICES LIMITED (XNSE:SBICARD)</v>
    <v>1945212</v>
    <v>799740</v>
    <v>1998</v>
  </rv>
  <rv s="2">
    <v>301</v>
  </rv>
  <rv s="0">
    <v>https://www.bing.com/financeapi/forcetrigger?t=bwjru2&amp;q=XNSE%3aSBIETFIT&amp;form=skydnc</v>
    <v>Learn more on Bing</v>
  </rv>
  <rv s="8">
    <v>en-US</v>
    <v>bwjru2</v>
    <v>268435456</v>
    <v>1</v>
    <v>Powered by Refinitiv</v>
    <v>15</v>
    <v>SBI Nifty IT ETF (XNSE:SBIETFIT)</v>
    <v>16</v>
    <v>17</v>
    <v>Finance</v>
    <v>4</v>
    <v>510</v>
    <v>335</v>
    <v>1.0355000000000001</v>
    <v>-3.71</v>
    <v>-8.6789999999999992E-3</v>
    <v>INR</v>
    <v>National Stock Exchange of India</v>
    <v>XNSE</v>
    <v>2.2000000000000001E-3</v>
    <v>427.47</v>
    <v>ETF</v>
    <v>46017.492905092593</v>
    <v>303</v>
    <v>422.73</v>
    <v>743359000</v>
    <v>SBI Nifty IT ETF</v>
    <v>424.9</v>
    <v>427.47</v>
    <v>423.76</v>
    <v>SBIETFIT</v>
    <v>SBI Nifty IT ETF (XNSE:SBIETFIT)</v>
    <v>4298</v>
  </rv>
  <rv s="2">
    <v>304</v>
  </rv>
  <rv s="0">
    <v>https://www.bing.com/financeapi/forcetrigger?t=ahju3m&amp;q=XNSE%3aSBILIFE&amp;form=skydnc</v>
    <v>Learn more on Bing</v>
  </rv>
  <rv s="1">
    <v>en-US</v>
    <v>ahju3m</v>
    <v>268435456</v>
    <v>1</v>
    <v>Powered by Refinitiv</v>
    <v>0</v>
    <v>SBI LIFE INSURANCE COMPANY LIMITED (XNSE:SBILIFE)</v>
    <v>2</v>
    <v>3</v>
    <v>Finance</v>
    <v>4</v>
    <v>2086.6</v>
    <v>1372.55</v>
    <v>1.0397000000000001</v>
    <v>-6.3</v>
    <v>-3.1099999999999999E-3</v>
    <v>INR</v>
    <v>SBI Life Insurance Company Limited is an India-based company, which offers life insurance. The Company operates through three segments: Participating, Non-Participating, and Linked segments. Its Participating segment includes Individual Life, Individual Pension, Group Pension, and Variable Insurance. Its Non-Participating segment includes Individual Life, Individual Pension, Group Savings, OYRGTA, Group Others, Annuity, Health, and Variable Insurance. Its Linked segment includes Individual, Group, and Pension. Its online plans include SBI Life-eShield Next, SBI Life-Retire Smart, SBI Life-eWealth Insurance, SBI Life-Smart Elite Plus, SBI Life-Smart Platina Plus and SBI Life-Smart Platina Supreme. Its savings plan includes SBI Life-Smart Platina Plus, and others. Its protection plans include SBI Life-eShield Next, SBI Life-eShield Insta, SBI Life-Saral Jeevan Bima, and others. Its retirement plans include SBI Life-Retire Smart Plus, SBI Life-Smart Annuity Income, and others.</v>
    <v>25672</v>
    <v>National Stock Exchange of India</v>
    <v>XNSE</v>
    <v>XNSE</v>
    <v>Natraj, M.V. Road &amp; Western Express Highway Junction, Andheri (East), MUMBAI, MAHARASHTRA, 400069 IN</v>
    <v>2034.9</v>
    <v>Insurance</v>
    <v>Stock</v>
    <v>46017.492905092593</v>
    <v>306</v>
    <v>2004.1</v>
    <v>2031132000000</v>
    <v>SBI LIFE INSURANCE COMPANY LIMITED</v>
    <v>SBI LIFE INSURANCE COMPANY LIMITED</v>
    <v>2025.4</v>
    <v>82.74</v>
    <v>2025.4</v>
    <v>2019.1</v>
    <v>1002830000</v>
    <v>SBILIFE</v>
    <v>SBI LIFE INSURANCE COMPANY LIMITED (XNSE:SBILIFE)</v>
    <v>180039</v>
    <v>569470</v>
    <v>2000</v>
  </rv>
  <rv s="2">
    <v>307</v>
  </rv>
  <rv s="0">
    <v>https://www.bing.com/financeapi/forcetrigger?t=ahju6h&amp;q=XNSE%3aSBIN&amp;form=skydnc</v>
    <v>Learn more on Bing</v>
  </rv>
  <rv s="11">
    <v>en-US</v>
    <v>ahju6h</v>
    <v>268435456</v>
    <v>1</v>
    <v>Powered by Refinitiv</v>
    <v>19</v>
    <v>State Bank of India (XNSE:SBIN)</v>
    <v>2</v>
    <v>20</v>
    <v>Finance</v>
    <v>4</v>
    <v>999</v>
    <v>680</v>
    <v>1.2644</v>
    <v>-2.65</v>
    <v>-2.735E-3</v>
    <v>INR</v>
    <v>State Bank of India is an India-based banking and financial services provider. The Company is engaged in providing a wide range of products and services to individuals, commercial enterprises, corporates, public bodies and institutional customers. The Company has a digital platform, YONO 2.0, which is designed to reduce customer acquisition costs by a factor of ten compared to traditional banking methods. Its segments include Treasury, Corporate/Wholesale Banking, Retail Banking, Insurance Business and Other Banking Business. The Treasury segment includes investment portfolios and trading in foreign exchange contracts and derivative contracts. The Corporate/Wholesale Banking segment comprises the lending activities of the corporate accounts group, the commercial client’s group and the stressed assets resolution group. The Retail Banking Segment is engaged in personal banking activities including lending activities to corporate customers having banking relations with its branches.</v>
    <v>236226</v>
    <v>National Stock Exchange of India</v>
    <v>XNSE</v>
    <v>XNSE</v>
    <v>Corporate Centre,14th Floor, State Bank Bhavan, Madame Cama Marg, MUMBAI, MAHARASHTRA, 400021 IN</v>
    <v>971</v>
    <v>Banking Services</v>
    <v>Stock</v>
    <v>46017.492905092593</v>
    <v>309</v>
    <v>964.75</v>
    <v>8919546000000</v>
    <v>State Bank of India</v>
    <v>State Bank of India</v>
    <v>968.95</v>
    <v>10.81</v>
    <v>968.95</v>
    <v>966.3</v>
    <v>9230617000</v>
    <v>SBIN</v>
    <v>State Bank of India (XNSE:SBIN)</v>
    <v>3286321</v>
    <v>5434750</v>
  </rv>
  <rv s="2">
    <v>310</v>
  </rv>
  <rv s="0">
    <v>https://www.bing.com/financeapi/forcetrigger?t=bgo8ww&amp;q=XNSE%3aSETFNN50&amp;form=skydnc</v>
    <v>Learn more on Bing</v>
  </rv>
  <rv s="8">
    <v>en-US</v>
    <v>bgo8ww</v>
    <v>268435456</v>
    <v>1</v>
    <v>Powered by Refinitiv</v>
    <v>15</v>
    <v>SBI Nifty Next 50 ETF (XNSE:SETFNN50)</v>
    <v>16</v>
    <v>17</v>
    <v>Finance</v>
    <v>4</v>
    <v>766.9</v>
    <v>585.51</v>
    <v>1.3423</v>
    <v>-0.87</v>
    <v>-1.183E-3</v>
    <v>INR</v>
    <v>National Stock Exchange of India</v>
    <v>XNSE</v>
    <v>1.5E-3</v>
    <v>757.76</v>
    <v>ETF</v>
    <v>46017.492905092593</v>
    <v>312</v>
    <v>733</v>
    <v>27013152000</v>
    <v>SBI Nifty Next 50 ETF</v>
    <v>757.76</v>
    <v>735.69</v>
    <v>734.82</v>
    <v>SETFNN50</v>
    <v>SBI Nifty Next 50 ETF (XNSE:SETFNN50)</v>
    <v>20604</v>
  </rv>
  <rv s="2">
    <v>313</v>
  </rv>
  <rv s="0">
    <v>https://www.bing.com/financeapi/forcetrigger?t=ahjw52&amp;q=XNSE%3aSHAKTIPUMP&amp;form=skydnc</v>
    <v>Learn more on Bing</v>
  </rv>
  <rv s="1">
    <v>en-US</v>
    <v>ahjw52</v>
    <v>268435456</v>
    <v>1</v>
    <v>Powered by Refinitiv</v>
    <v>0</v>
    <v>SHAKTI PUMPS (INDIA) LIMITED (XNSE:SHAKTIPUMP)</v>
    <v>2</v>
    <v>3</v>
    <v>Finance</v>
    <v>4</v>
    <v>1387</v>
    <v>548.45000000000005</v>
    <v>0.52559999999999996</v>
    <v>-6.7</v>
    <v>-9.0329999999999994E-3</v>
    <v>INR</v>
    <v>Shakti Pumps (India) Limited is an India-based company. The Company is engaged in the manufacturing of pumps, motors and their spare parts. Its products include Submersible pumps, Solar Pumps, Vertical Multistage Centrifugal Pumps, Monoblock End Suction Pumps, Pressure Booster Pumps, Wastewater Pumps, Open well Pumps, Shallow Well &amp; Slow Speed Pumps, Immersible Pump, Single shaft vertical multistage Pump-RO Series, Shakti Solar Open well-DCSOP Series and others. It offers water pumping solutions for a range of applications, such as irrigation-flood and micro irrigation, horticulture, domestic water supply, commercial and industrial applications and others. The Company’s product portfolio caters for applications, such as agriculture, irrigation, industrial applications and processes, pressure boosting in high rise buildings, rural/urban community water supply schemes, waste and sewage water treatments, firefighting. It exports a range of pumping products to over 100 countries globally.</v>
    <v>678</v>
    <v>National Stock Exchange of India</v>
    <v>XNSE</v>
    <v>XNSE</v>
    <v>Plot No. 401, 402 &amp; 413, Sector III,Industrial Area,Pithampur, DHAR, MADHYA PRADESH, 454774 IN</v>
    <v>749</v>
    <v>Machinery, Equipment &amp; Components</v>
    <v>Stock</v>
    <v>46017.492905092593</v>
    <v>315</v>
    <v>730.05</v>
    <v>91530440000</v>
    <v>SHAKTI PUMPS (INDIA) LIMITED</v>
    <v>SHAKTI PUMPS (INDIA) LIMITED</v>
    <v>745</v>
    <v>22.1191</v>
    <v>741.75</v>
    <v>735.05</v>
    <v>123398000</v>
    <v>SHAKTIPUMP</v>
    <v>SHAKTI PUMPS (INDIA) LIMITED (XNSE:SHAKTIPUMP)</v>
    <v>1165571</v>
    <v>14976580</v>
    <v>1995</v>
  </rv>
  <rv s="2">
    <v>316</v>
  </rv>
  <rv s="0">
    <v>https://www.bing.com/financeapi/forcetrigger?t=ahjwjc&amp;q=XNSE%3aSHARDAMOTR&amp;form=skydnc</v>
    <v>Learn more on Bing</v>
  </rv>
  <rv s="1">
    <v>en-US</v>
    <v>ahjwjc</v>
    <v>268435456</v>
    <v>1</v>
    <v>Powered by Refinitiv</v>
    <v>0</v>
    <v>SHARDA MOTOR INDUSTRIES LIMITED (XNSE:SHARDAMOTR)</v>
    <v>2</v>
    <v>3</v>
    <v>Finance</v>
    <v>4</v>
    <v>1248</v>
    <v>625</v>
    <v>1.0298</v>
    <v>-11.7</v>
    <v>-1.2296E-2</v>
    <v>INR</v>
    <v>Sharda Motor Industries Limited is an India-based company primarily engaged in the manufacturing and assembly of auto components. The Company's production range includes exhaust systems, catalytic convertors, suspension systems, and sheet metal components for the automotive industry. The Company's principal products/services include exhaust systems, suspension systems, and SCM and procurement. Its products under exhaust systems include Passenger Vehicle-BS IV System, Commercial Vehicle-BS IV System, Commercial Vehicle-BS VI System, Tractors-Tier IV System, Passenger Vehicle-Cold End System, Passenger Vehicle-Resonator, Commercial Vehicle-Muffler, and others. Its products under suspension systems include Arm Lower Control Comp RH 2WD, Front Axle Assy 4WD, Assy Lower Link Complete RH, Rear Suspension, Front Suspension, Upper Arm Assay, and others. The Company serves as a vendor for automobiles and electronics original equipment manufacturers (OEMs).</v>
    <v>768</v>
    <v>National Stock Exchange of India</v>
    <v>XNSE</v>
    <v>XNSE</v>
    <v>D-188, Okhla Industrial Area, Phase-I, NEW DELHI, DELHI, 110020 IN</v>
    <v>954.85</v>
    <v>Automobiles &amp; Auto Parts</v>
    <v>Stock</v>
    <v>46017.492905092593</v>
    <v>318</v>
    <v>938.1</v>
    <v>54626300000</v>
    <v>SHARDA MOTOR INDUSTRIES LIMITED</v>
    <v>SHARDA MOTOR INDUSTRIES LIMITED</v>
    <v>946</v>
    <v>16.137499999999999</v>
    <v>951.55</v>
    <v>939.85</v>
    <v>57407710</v>
    <v>SHARDAMOTR</v>
    <v>SHARDA MOTOR INDUSTRIES LIMITED (XNSE:SHARDAMOTR)</v>
    <v>12142</v>
    <v>23700</v>
    <v>1986</v>
  </rv>
  <rv s="2">
    <v>319</v>
  </rv>
  <rv s="0">
    <v>https://www.bing.com/financeapi/forcetrigger?t=c2jx7w&amp;q=XNSE%3aSHYAMMETL&amp;form=skydnc</v>
    <v>Learn more on Bing</v>
  </rv>
  <rv s="1">
    <v>en-US</v>
    <v>c2jx7w</v>
    <v>268435456</v>
    <v>1</v>
    <v>Powered by Refinitiv</v>
    <v>0</v>
    <v>SHYAM METALICS AND ENERGY LIMITED (XNSE:SHYAMMETL)</v>
    <v>2</v>
    <v>3</v>
    <v>Finance</v>
    <v>4</v>
    <v>1001</v>
    <v>628.25</v>
    <v>1.1895</v>
    <v>-5.55</v>
    <v>-6.7369999999999999E-3</v>
    <v>INR</v>
    <v>Shyam Metalics and Energy Ltd. is an integrated metal producing company. The Company is primarily engaged in the business of manufacture and sale of ferro alloys, iron and steel products and power generation. The Company is primarily engaged in the production of long steel products such as iron pellets, sponge iron, steel billets, thermo-mechanically treated (TMT), structural products, wire rods, ferro alloys, aluminum and stainless steel. The Company’s TMT and structural products are sold under the brand S-E-L Tiger. It also undertakes the conversion of hot rolled coils to pipes, chrome ore to ferro chrome and manganese ore to silico manganese. The Company is also in the process of further diversifying our product portfolio by entering into the segments of pig iron, ductile iron pipes and aluminum foil. The Company operates seven manufacturing plants across India: three in West Bengal, and one each in Odisha, Indore, Kharagpur, and Jharkhand.</v>
    <v>4593</v>
    <v>National Stock Exchange of India</v>
    <v>XNSE</v>
    <v>XNSE</v>
    <v>Trinity Tower, 7th Floor, 83, Topsia Road, Kolkata, WEST BENGAL, 700046 IN</v>
    <v>829.35</v>
    <v>Metals &amp; Mining</v>
    <v>Stock</v>
    <v>46017.492905092593</v>
    <v>321</v>
    <v>816.05</v>
    <v>229190700000</v>
    <v>SHYAM METALICS AND ENERGY LIMITED</v>
    <v>SHYAM METALICS AND ENERGY LIMITED</v>
    <v>824</v>
    <v>23.524699999999999</v>
    <v>823.75</v>
    <v>818.2</v>
    <v>278228400</v>
    <v>SHYAMMETL</v>
    <v>SHYAM METALICS AND ENERGY LIMITED (XNSE:SHYAMMETL)</v>
    <v>44637</v>
    <v>190190</v>
    <v>2002</v>
  </rv>
  <rv s="2">
    <v>322</v>
  </rv>
  <rv s="0">
    <v>https://www.bing.com/financeapi/forcetrigger?t=ahjyhw&amp;q=XNSE%3aSIEMENS&amp;form=skydnc</v>
    <v>Learn more on Bing</v>
  </rv>
  <rv s="1">
    <v>en-US</v>
    <v>ahjyhw</v>
    <v>268435456</v>
    <v>1</v>
    <v>Powered by Refinitiv</v>
    <v>0</v>
    <v>SIEMENS LIMITED (XNSE:SIEMENS)</v>
    <v>2</v>
    <v>3</v>
    <v>Finance</v>
    <v>4</v>
    <v>3596.32</v>
    <v>2376.4499999999998</v>
    <v>1.2549999999999999</v>
    <v>2.9</v>
    <v>9.3610000000000004E-4</v>
    <v>INR</v>
    <v>Siemens Limited is a technology company focused on industry, infrastructure and mobility. Its segments include Smart Infrastructure, Mobility, Digital Industries, Low Voltage Motors and Others. The Smart Infrastructure segment is a supplier of products, systems, solutions and services for the transmission and distribution of electrical energy for power utilities, industrial companies and infrastructure segments. The Mobility segment is a supplier of solutions for passenger and freight transportation, including rail vehicles, rail automation systems, rail electrification systems, turnkey systems and related services. The Digital Industries provide products for the automation and digitalization of discrete, hybrid and process industries, supporting their digital transformation to become more sustainable. Its portfolio consists of industrial software and automation and drive technology products. The Low Voltage Motors segment is a supplier of products and services of low-voltage motors.</v>
    <v>9848</v>
    <v>National Stock Exchange of India</v>
    <v>XNSE</v>
    <v>XNSE</v>
    <v>Birla Aurora, Level 21, Plot No. 1080, Dr. Annie Besant Road, Worli, Kharghar Node, MUMBAI, MAHARASHTRA, 400030 IN</v>
    <v>3123</v>
    <v>Machinery, Equipment &amp; Components</v>
    <v>Stock</v>
    <v>46017.492905092593</v>
    <v>324</v>
    <v>3088.4</v>
    <v>1103261000000</v>
    <v>SIEMENS LIMITED</v>
    <v>SIEMENS LIMITED</v>
    <v>3098</v>
    <v>65.33</v>
    <v>3098</v>
    <v>3100.9</v>
    <v>356120500</v>
    <v>SIEMENS</v>
    <v>SIEMENS LIMITED (XNSE:SIEMENS)</v>
    <v>229163</v>
    <v>477090</v>
    <v>1957</v>
  </rv>
  <rv s="2">
    <v>325</v>
  </rv>
  <rv s="0">
    <v>https://www.bing.com/financeapi/forcetrigger?t=ahk1p2&amp;q=XNSE%3aSOLARINDS&amp;form=skydnc</v>
    <v>Learn more on Bing</v>
  </rv>
  <rv s="1">
    <v>en-US</v>
    <v>ahk1p2</v>
    <v>268435456</v>
    <v>1</v>
    <v>Powered by Refinitiv</v>
    <v>0</v>
    <v>Solar Industries India Limited (XNSE:SOLARINDS)</v>
    <v>2</v>
    <v>3</v>
    <v>Finance</v>
    <v>4</v>
    <v>17820</v>
    <v>8482.5</v>
    <v>0.92759999999999998</v>
    <v>-48</v>
    <v>-3.8449999999999999E-3</v>
    <v>INR</v>
    <v>Solar Industries India Limited is an India-based integrated global explosives company. The Company is primarily involved in the manufacturing of complete range of industrial explosives and explosive initiating devices. Its segment is Explosives and its accessories. The Company's products include industrial explosives and defense. Its industrial explosives products include packaged emulsion explosives, bulk explosives and explosive initiating systems. Its industrial explosives include superpower 90, solargel, solar prime, solar prime gold, Eco Power, and others. The Company's defense products include high energy materials, such as HMX, RDX, TNT and their compounds; composite propellants for Pinaka, Akash, Brahmos, PSOMXL and Skyroot, among others; 30 mm ammunition, multi-mode hand grenade, mines, warheads, bund blasting device; artillery fuses, ASW fuses, Pyros and igniters; chaff payloads; loitering munition; rocket integration, and explosives filling of ammunition.</v>
    <v>2403</v>
    <v>National Stock Exchange of India</v>
    <v>XNSE</v>
    <v>XNSE</v>
    <v>Solar House 14, Kachimet, Amravati Road Nagpur, NAGPUR, MAHARASHTRA, 440023 IN</v>
    <v>12736</v>
    <v>Chemicals</v>
    <v>Stock</v>
    <v>46017.492905092593</v>
    <v>327</v>
    <v>12410</v>
    <v>1129768000000</v>
    <v>Solar Industries India Limited</v>
    <v>Solar Industries India Limited</v>
    <v>12529</v>
    <v>85.211799999999997</v>
    <v>12485</v>
    <v>12437</v>
    <v>90490050</v>
    <v>SOLARINDS</v>
    <v>Solar Industries India Limited (XNSE:SOLARINDS)</v>
    <v>129532</v>
    <v>101470</v>
    <v>1995</v>
  </rv>
  <rv s="2">
    <v>328</v>
  </rv>
  <rv s="3">
    <v>en-US</v>
    <v>cesmar</v>
    <v>268435456</v>
    <v>1</v>
    <v>Powered by Refinitiv</v>
    <v>5</v>
    <v>SHANKAR LAL RAMPAL DYE-CHEM LIMITED (XNSE:SRD)</v>
    <v>6</v>
    <v>7</v>
    <v>Finance</v>
    <v>4</v>
    <v>94.86</v>
    <v>52</v>
    <v>-2.48</v>
    <v>-3.5092999999999999E-2</v>
    <v>INR</v>
    <v>Shankar Lal Rampal Dye-Chem Limited is an India-based company, which is engaged in the trading of dyes, chemicals and allied products. The Company is a trader, exporter, importer, and supplier of sulfur dyes, fully refined paraffin wax, semi-refined paraffin wax, phosphoric acid, sodium sulfide flakes, sodium hydrosulphite, hydrogen peroxide, citric acid monohydrate, phosphate chemicals, refined glycerin and other chemical products. It offers sulfur dyes in various colors, such as Yellow GR, Yellow SY, Calf Brown 105, Dusky Saffron, Roast Brown, Gold Standard, Dark Brown, Cozy Cabin, Golf Green, Parrot Green, Ocean Green, Mango Mood, Passion Flower and Royal Brown. The Company's semi-refined paraffin wax products are offered in bulk quantities. Its phosphoric acid products have applications in pre-metal treatment chemicals, sugar refining, anodizing, stabilizing agent (hydrogen peroxide), wastewater treatment chemicals and activated carbon.</v>
    <v>9</v>
    <v>National Stock Exchange of India</v>
    <v>XNSE</v>
    <v>XNSE</v>
    <v>SG-2730, Suwana,, Bhilwara, RAJASTHAN, 311001 IN</v>
    <v>71</v>
    <v>Chemicals</v>
    <v>Stock</v>
    <v>46017.492905092593</v>
    <v>67.400000000000006</v>
    <v>4520532000</v>
    <v>SHANKAR LAL RAMPAL DYE-CHEM LIMITED</v>
    <v>SHANKAR LAL RAMPAL DYE-CHEM LIMITED</v>
    <v>71</v>
    <v>36.439900000000002</v>
    <v>70.67</v>
    <v>68.19</v>
    <v>63966780</v>
    <v>SRD</v>
    <v>SHANKAR LAL RAMPAL DYE-CHEM LIMITED (XNSE:SRD)</v>
    <v>39115</v>
    <v>55340</v>
    <v>2005</v>
  </rv>
  <rv s="2">
    <v>330</v>
  </rv>
  <rv s="0">
    <v>https://www.bing.com/financeapi/forcetrigger?t=ahk3nm&amp;q=XNSE%3aSRF&amp;form=skydnc</v>
    <v>Learn more on Bing</v>
  </rv>
  <rv s="1">
    <v>en-US</v>
    <v>ahk3nm</v>
    <v>268435456</v>
    <v>1</v>
    <v>Powered by Refinitiv</v>
    <v>0</v>
    <v>SRF LIMITED (XNSE:SRF)</v>
    <v>2</v>
    <v>3</v>
    <v>Finance</v>
    <v>4</v>
    <v>3325</v>
    <v>2196.85</v>
    <v>0.87990000000000002</v>
    <v>3.4</v>
    <v>1.0970000000000001E-3</v>
    <v>INR</v>
    <v>SRF Limited is a chemical-based multi-business company engaged in the manufacturing of industrial and specialty intermediates. Its segments include Technical Textiles Business (TTB), Chemicals Business (CB), Performance Films and Foil Business (PFB) and Others. The TTB segment's business includes nylon tire cord fabric, belting fabric, polyester tire cord fabric and industrial yarns and its research and development. The CB segment's business includes refrigerant gases, industrial chemicals, specialty chemicals, fluorochemicals and allied products and its research and development. The PFB segment's business includes polyester films and polypropylene films. The others segment includes coated fabric, laminated fabric and other ancillary activities. The Company has eleven manufacturing plants in India and one each in Thailand, South Africa and Hungary. The Company exports to over 90 countries. It serves various industries, such as automotive, pharmaceuticals, manufacturing and chemicals.</v>
    <v>8425</v>
    <v>National Stock Exchange of India</v>
    <v>XNSE</v>
    <v>XNSE</v>
    <v>Block-C, Sector - 45, GURGAON, HARYANA, 122003 IN</v>
    <v>3143</v>
    <v>Chemicals</v>
    <v>Stock</v>
    <v>46017.492905092593</v>
    <v>332</v>
    <v>3093.9</v>
    <v>918383400000</v>
    <v>SRF LIMITED</v>
    <v>SRF LIMITED</v>
    <v>3105</v>
    <v>56.831400000000002</v>
    <v>3098.2</v>
    <v>3101.6</v>
    <v>296424800</v>
    <v>SRF</v>
    <v>SRF LIMITED (XNSE:SRF)</v>
    <v>472293</v>
    <v>420760</v>
    <v>1970</v>
  </rv>
  <rv s="2">
    <v>333</v>
  </rv>
  <rv s="0">
    <v>https://www.bing.com/financeapi/forcetrigger?t=ahk6ww&amp;q=XNSE%3aSUPREMEIND&amp;form=skydnc</v>
    <v>Learn more on Bing</v>
  </rv>
  <rv s="1">
    <v>en-US</v>
    <v>ahk6ww</v>
    <v>268435456</v>
    <v>1</v>
    <v>Powered by Refinitiv</v>
    <v>0</v>
    <v>THE SUPREME INDUSTRIES LIMITED (XNSE:SUPREMEIND)</v>
    <v>2</v>
    <v>3</v>
    <v>Finance</v>
    <v>4</v>
    <v>4861.45</v>
    <v>3095</v>
    <v>0.79949999999999999</v>
    <v>-47.2</v>
    <v>-1.4215999999999999E-2</v>
    <v>INR</v>
    <v>The Supreme Industries Ltd. is an India-based plastic products manufacturer, specializing in pipes, fittings and water storage solutions. The Company's segments include Plastics piping products, Industrial products, Packaging products, and Consumer products. The Company operates in various product categories, including plastic piping systems, cross-laminated films and products, protective packaging products, industrial molded components, molded furniture, storage and material handling products, performance packaging films and composite liquefied petroleum gas (LPG) cylinders. Its products include Safegard Plastic Septic Tanks, Aquatic Premium Bath Fittings, Safegard Packaged Sewage Treatment Plants, WeatherShield Premium Overhead Water Storage Tanks, Casing Pipes, and Ecosil Overhead Water Tanks. Its applications include plumbing, fire protection, drainage, borewells, agriculture, cable protection, and waste treatment and sanitation.</v>
    <v>5993</v>
    <v>National Stock Exchange of India</v>
    <v>XNSE</v>
    <v>XNSE</v>
    <v>1161, Solitaire Corporate Park, Andheri- Ghatkopar Link Road, Chakala, Andheri (East), MUMBAI, MAHARASHTRA, 400093 IN</v>
    <v>3331.6</v>
    <v>Chemicals</v>
    <v>Stock</v>
    <v>46017.492905092593</v>
    <v>335</v>
    <v>3265</v>
    <v>421767300000</v>
    <v>THE SUPREME INDUSTRIES LIMITED</v>
    <v>THE SUPREME INDUSTRIES LIMITED</v>
    <v>3323</v>
    <v>49.73</v>
    <v>3320.3</v>
    <v>3273.1</v>
    <v>127026900</v>
    <v>SUPREMEIND</v>
    <v>THE SUPREME INDUSTRIES LIMITED (XNSE:SUPREMEIND)</v>
    <v>85228</v>
    <v>293150</v>
    <v>1942</v>
  </rv>
  <rv s="2">
    <v>336</v>
  </rv>
  <rv s="0">
    <v>https://www.bing.com/financeapi/forcetrigger?t=c4oac7&amp;q=XNSE%3aSUPRIYA&amp;form=skydnc</v>
    <v>Learn more on Bing</v>
  </rv>
  <rv s="1">
    <v>en-US</v>
    <v>c4oac7</v>
    <v>268435456</v>
    <v>1</v>
    <v>Powered by Refinitiv</v>
    <v>0</v>
    <v>SUPRIYA LIFESCIENCE LIMITED (XNSE:SUPRIYA)</v>
    <v>2</v>
    <v>3</v>
    <v>Finance</v>
    <v>4</v>
    <v>842</v>
    <v>556.15</v>
    <v>1.2828999999999999</v>
    <v>-17.899999999999999</v>
    <v>-2.3668000000000002E-2</v>
    <v>INR</v>
    <v>Supriya Lifescience Limited is an India-based manufacturer of active pharmaceutical ingredients (APIs). The Company is primarily engaged in the manufacturing of bulk drugs and pharmaceutical chemicals. The Company exports its products in the antihistamine, anesthetics and anti-asthma therapy categories to approximately 86 countries. The Company's product portfolio consists of approximately 38 API products that offer remedies in therapeutic segments, such as antihistamines, analgesics, vitamins, anesthetics and anti-asthmatics, among others. Its products include Chlorphenamine Maleate, Pheniramine Maleate, Brompheniramine Maleate, Dexchlorpheniramine Maleate, Mepyramine / Pyrilamine Maleate, Dexbrompheniramine Maleate, Cetirizine DiHCL, Diphenhydramine HCL, Bisoprolol Fumarate, Nicorandil, Mecobalamin, Hydroxocobalamin Sulfate, Hydroxocobalamin Acetate, and Hydroxocobalamin Hydrochloride, among others. The Company has manufacturing facilities located in Maharashtra.</v>
    <v>515</v>
    <v>National Stock Exchange of India</v>
    <v>XNSE</v>
    <v>XNSE</v>
    <v>Sonawala Road Goregoan, 207/208, Udyog Bhavan, MUMBAI, MAHARASHTRA, 400 063 IN</v>
    <v>760.85</v>
    <v>Pharmaceuticals</v>
    <v>Stock</v>
    <v>46017.492905092593</v>
    <v>338</v>
    <v>735.4</v>
    <v>60869140000</v>
    <v>SUPRIYA LIFESCIENCE LIMITED</v>
    <v>SUPRIYA LIFESCIENCE LIMITED</v>
    <v>753.2</v>
    <v>32.533900000000003</v>
    <v>756.3</v>
    <v>738.4</v>
    <v>80482800</v>
    <v>SUPRIYA</v>
    <v>SUPRIYA LIFESCIENCE LIMITED (XNSE:SUPRIYA)</v>
    <v>83405</v>
    <v>107530</v>
    <v>2008</v>
  </rv>
  <rv s="2">
    <v>339</v>
  </rv>
  <rv s="0">
    <v>https://www.bing.com/financeapi/forcetrigger?t=ahk9dm&amp;q=XNSE%3aTATACHEM&amp;form=skydnc</v>
    <v>Learn more on Bing</v>
  </rv>
  <rv s="1">
    <v>en-US</v>
    <v>ahk9dm</v>
    <v>268435456</v>
    <v>1</v>
    <v>Powered by Refinitiv</v>
    <v>0</v>
    <v>TATA CHEMICALS LIMITED (XNSE:TATACHEM)</v>
    <v>2</v>
    <v>3</v>
    <v>Finance</v>
    <v>4</v>
    <v>1107</v>
    <v>745.1</v>
    <v>1.4717</v>
    <v>-2.4500000000000002</v>
    <v>-3.2009999999999999E-3</v>
    <v>INR</v>
    <v>Tata Chemicals Limited is an India-based sustainable chemistry solutions company. The Company's segments include Basic Chemistry Products and Specialty Products. Basic Chemistry Products segment comprises inorganic chemicals, such as soda ash, salt and sodium bicarbonate. These inorganic chemicals service industries, such as glass (automotive, architectural and container), detergent, food, pharma, animal feed and industrial chemicals. It has manufacturing operations across four continents: North America (United States of America), Europe (United Kingdom), Africa (Kenya) and Asia (India). The Specialty Products segment includes three products: specialty silica, prebiotics and Agri inputs. Its specialty silica range serves the food, rubber and tire industry. Its prebiotics and formulations are targeted at food, animal feed and pharmaceutical applications. Its subsidiary, Rallis India Limited, produces and markets a range of Agri inputs including seeds for Indian and overseas farmers.</v>
    <v>4789</v>
    <v>National Stock Exchange of India</v>
    <v>XNSE</v>
    <v>XNSE</v>
    <v>Bombay House, 24 Homi Mody Street Fort, MUMBAI, MAHARASHTRA, 400001 IN</v>
    <v>772.7</v>
    <v>Chemicals</v>
    <v>Stock</v>
    <v>46017.492905092593</v>
    <v>341</v>
    <v>758</v>
    <v>195003200000</v>
    <v>TATA CHEMICALS LIMITED</v>
    <v>TATA CHEMICALS LIMITED</v>
    <v>768.9</v>
    <v>92.08</v>
    <v>765.45</v>
    <v>763</v>
    <v>254756300</v>
    <v>TATACHEM</v>
    <v>TATA CHEMICALS LIMITED (XNSE:TATACHEM)</v>
    <v>344460</v>
    <v>273030</v>
    <v>1939</v>
  </rv>
  <rv s="2">
    <v>342</v>
  </rv>
  <rv s="0">
    <v>https://www.bing.com/financeapi/forcetrigger?t=ahk9p2&amp;q=XNSE%3aTATACONSUM&amp;form=skydnc</v>
    <v>Learn more on Bing</v>
  </rv>
  <rv s="1">
    <v>en-US</v>
    <v>ahk9p2</v>
    <v>268435456</v>
    <v>1</v>
    <v>Powered by Refinitiv</v>
    <v>0</v>
    <v>TATA CONSUMER PRODUCTS LIMITED (XNSE:TATACONSUM)</v>
    <v>2</v>
    <v>3</v>
    <v>Finance</v>
    <v>4</v>
    <v>1202.8</v>
    <v>890</v>
    <v>1.1417999999999999</v>
    <v>-3.5</v>
    <v>-2.9680000000000002E-3</v>
    <v>INR</v>
    <v>Tata Consumer Products Limited is an India-based company engaged in trading, production and distribution of consumer products. The Company operates through two segments: Branded and Non-Branded. Branded segment is sub-categorized as India Business and International Business. Its India Business is engaged in the sale of branded tea, coffee and water, and sale of food products in various value-added forms. Its International Business is engaged in the sale of branded tea, coffee and water, and the sale of food products in various value-added forms. Its portfolio spans tea, coffee, water, ready-to-drink, salt, pulses, spices, ready-to-cook and ready-to-eat offerings, breakfast cereals, snacks and mini-meals. Its key beverage brands include Tata Tea, Tetley, Organic India, Eight O’Clock Coffee, Tata Coffee Grand, Himalayan Natural Mineral Water, Tata Copper+ and Tata Gluco+. Its food portfolio includes brands, such as Tata Salt, Tata Sampann, Tata Soulfull, Ching’s Secret and Smith &amp; Jones.</v>
    <v>4079</v>
    <v>National Stock Exchange of India</v>
    <v>XNSE</v>
    <v>XNSE</v>
    <v>11/13, Botawala Building, 1st floor, Office #2-6 Horniman Circle Fort, MUMBAI, MAHARASHTRA, 400001 IN</v>
    <v>1179.8</v>
    <v>Food &amp; Tobacco</v>
    <v>Stock</v>
    <v>46017.492905092593</v>
    <v>344</v>
    <v>1172</v>
    <v>1166873000000</v>
    <v>TATA CONSUMER PRODUCTS LIMITED</v>
    <v>TATA CONSUMER PRODUCTS LIMITED</v>
    <v>1173.5999999999999</v>
    <v>85.007199999999997</v>
    <v>1179.2</v>
    <v>1175.7</v>
    <v>989546000</v>
    <v>TATACONSUM</v>
    <v>TATA CONSUMER PRODUCTS LIMITED (XNSE:TATACONSUM)</v>
    <v>322741</v>
    <v>826160</v>
    <v>1962</v>
  </rv>
  <rv s="2">
    <v>345</v>
  </rv>
  <rv s="0">
    <v>https://www.bing.com/financeapi/forcetrigger?t=ahk9m7&amp;q=XNSE%3aTATAELXSI&amp;form=skydnc</v>
    <v>Learn more on Bing</v>
  </rv>
  <rv s="1">
    <v>en-US</v>
    <v>ahk9m7</v>
    <v>268435456</v>
    <v>1</v>
    <v>Powered by Refinitiv</v>
    <v>0</v>
    <v>TATA ELXSI LIMITED (XNSE:TATAELXSI)</v>
    <v>2</v>
    <v>3</v>
    <v>Finance</v>
    <v>4</v>
    <v>7037.7</v>
    <v>4700</v>
    <v>0.6079</v>
    <v>-39.5</v>
    <v>-7.332E-3</v>
    <v>INR</v>
    <v>Tata Elxsi Limited is an India-based company, which is engaged in providing design and technology services across industries including automotive, broadcast, communications, healthcare, and transportation. Its segments include Software Development &amp; Services (SDS) and System Integration and Support (SIS). SDS offers comprehensive services from concept to market launch across transportation, healthcare and life sciences, and media and communications. It specializes in engineering solutions spanning the automotive, aerospace, off-highway, and rail sectors, with specialization in software-defined platforms and electrification. It offers device development, digital therapeutics, product engineering, regulatory guidance, and digital transformation services. SIS segments integrate complete systems for specialized applications. This includes experience centers, training and safety modules, and design visualization. Its services also encompass DevOps security and cloud management.</v>
    <v>11973</v>
    <v>National Stock Exchange of India</v>
    <v>XNSE</v>
    <v>XNSE</v>
    <v>ITPL Road,, Whitefield,, BANGALORE, KARNATAKA, 560048 IN</v>
    <v>5425</v>
    <v>Software &amp; IT Services</v>
    <v>Stock</v>
    <v>46017.492905092593</v>
    <v>347</v>
    <v>5335</v>
    <v>335615500000</v>
    <v>TATA ELXSI LIMITED</v>
    <v>TATA ELXSI LIMITED</v>
    <v>5370</v>
    <v>50.14</v>
    <v>5387.5</v>
    <v>5348</v>
    <v>62295230</v>
    <v>TATAELXSI</v>
    <v>TATA ELXSI LIMITED (XNSE:TATAELXSI)</v>
    <v>84561</v>
    <v>306430</v>
    <v>1989</v>
  </rv>
  <rv s="2">
    <v>348</v>
  </rv>
  <rv s="0">
    <v>https://www.bing.com/financeapi/forcetrigger?t=ahka4c&amp;q=XNSE%3aTATAPOWER&amp;form=skydnc</v>
    <v>Learn more on Bing</v>
  </rv>
  <rv s="1">
    <v>en-US</v>
    <v>ahka4c</v>
    <v>268435456</v>
    <v>1</v>
    <v>Powered by Refinitiv</v>
    <v>0</v>
    <v>THE TATA POWER COMPANY LIMITED (XNSE:TATAPOWER)</v>
    <v>2</v>
    <v>3</v>
    <v>Finance</v>
    <v>4</v>
    <v>416.8</v>
    <v>326.35000000000002</v>
    <v>1.4303999999999999</v>
    <v>-0.15</v>
    <v>-3.9500000000000001E-4</v>
    <v>INR</v>
    <v>The Tata Power Company Limited is an India-based integrated power company. The principal business of the Company is generation, transmission and distribution of electricity. Its segments include Thermal &amp; Hydro, Renewables, Transmission and Distribution, and Others. Its Thermal &amp; Hydro segment comprises of generation of power from hydroelectric sources and thermal sources (coal, gas and oil) from plants owned and operated under lease arrangement and related ancillary services. Its Renewables segment comprises of generation of power from renewable energy sources, such as wind and solar. Its Transmission and Distribution comprises of transmission and distribution network, sale of power to retail customers through distribution network and related ancillary services. Its Others segment comprises of project management contracts/infrastructure management services, property under development and satellite communication.</v>
    <v>22572</v>
    <v>National Stock Exchange of India</v>
    <v>XNSE</v>
    <v>XNSE</v>
    <v>Bombay House, 24,, Homi Mody Street, MUMBAI, MAHARASHTRA, 400001 IN</v>
    <v>381.9</v>
    <v>Electrical Utilities &amp; IPPs</v>
    <v>Stock</v>
    <v>46017.492905092593</v>
    <v>350</v>
    <v>378.1</v>
    <v>1213270000000</v>
    <v>THE TATA POWER COMPANY LIMITED</v>
    <v>THE TATA POWER COMPANY LIMITED</v>
    <v>378.9</v>
    <v>29.97</v>
    <v>379.7</v>
    <v>379.55</v>
    <v>3195340000</v>
    <v>TATAPOWER</v>
    <v>THE TATA POWER COMPANY LIMITED (XNSE:TATAPOWER)</v>
    <v>2459099</v>
    <v>3700820</v>
    <v>1919</v>
  </rv>
  <rv s="2">
    <v>351</v>
  </rv>
  <rv s="0">
    <v>https://www.bing.com/financeapi/forcetrigger?t=ahkaa2&amp;q=XNSE%3aTATASTEEL&amp;form=skydnc</v>
    <v>Learn more on Bing</v>
  </rv>
  <rv s="1">
    <v>en-US</v>
    <v>ahkaa2</v>
    <v>268435456</v>
    <v>1</v>
    <v>Powered by Refinitiv</v>
    <v>0</v>
    <v>TATA STEEL LIMITED (XNSE:TATASTEEL)</v>
    <v>2</v>
    <v>3</v>
    <v>Finance</v>
    <v>4</v>
    <v>186.94</v>
    <v>122.62</v>
    <v>1.2087000000000001</v>
    <v>-0.95</v>
    <v>-5.5859999999999998E-3</v>
    <v>INR</v>
    <v>Tata Steel Limited is an India-based global steel company with an annual crude steel capacity of approximately 35 million tons per annum. The Company is primarily engaged in the business of manufacturing and distribution of steel products across the globe. The Company and its subsidiaries have a presence across the value chain of steel manufacturing, from mining and processing iron ore and coal to producing and distributing finished products. Its products include cold rolled (Non-branded), BP sheets, Galvano, HR commercial, hot rolled pickled and oiled and hot rolled skin passed pickled and oiled, high tensile steel strapping, pre-engineered buildings, projects/ tenders, construction and projects, and full hard cold rolled. The Company's brands include MagiZinc, Ymagine, Ympress, Contiflo, Strongbox, SAB Profil, Fischer Profil, Montana, Advantica, Fischertherm, Fischerfireproof, Montanatherm, Montapanel, Swiss Panel, Holorib, Serica, MagiZinc Auto, HyperForm, HILUMIN and Colorcoat.</v>
    <v>115788</v>
    <v>National Stock Exchange of India</v>
    <v>XNSE</v>
    <v>XNSE</v>
    <v>Bombay House, 24, Homi Modi Street, MUMBAI, MAHARASHTRA, 400001 IN</v>
    <v>169.9</v>
    <v>Metals &amp; Mining</v>
    <v>Stock</v>
    <v>46017.492905092593</v>
    <v>353</v>
    <v>167.82</v>
    <v>2123074000000</v>
    <v>TATA STEEL LIMITED</v>
    <v>TATA STEEL LIMITED</v>
    <v>169.89</v>
    <v>30.9619</v>
    <v>170.07</v>
    <v>169.12</v>
    <v>12485450000</v>
    <v>TATASTEEL</v>
    <v>TATA STEEL LIMITED (XNSE:TATASTEEL)</v>
    <v>16904834</v>
    <v>23170420</v>
    <v>1907</v>
  </rv>
  <rv s="2">
    <v>354</v>
  </rv>
  <rv s="10">
    <v>en-US</v>
    <v>cbpa27</v>
    <v>268435456</v>
    <v>1</v>
    <v>Powered by Refinitiv</v>
    <v>18</v>
    <v>TATA TECHNOLOGIES LIMITED (XNSE:TATATECH)</v>
    <v>6</v>
    <v>3</v>
    <v>Finance</v>
    <v>4</v>
    <v>918.8</v>
    <v>594.35</v>
    <v>1.3169999999999999</v>
    <v>-3.05</v>
    <v>-4.6379999999999998E-3</v>
    <v>INR</v>
    <v>Tata Technologies Limited is an India-based global engineering services company. The Company offers product development and digital solutions, including turnkey solutions, to global original equipment manufacturers (OEMs) and their tier one suppliers. The Company operates through two segments: Services and Technology. Services segment includes outsourced engineering services for manufacturing clients and leveraging digital technology to optimize the way in which a manufacturing company conceives, develops, manufactures and services new products. The Technology Solutions include contains academia upskilling and reskilling solutions and value-added reselling of software applications and solutions. Through its products business, the Company resell third-party software applications, primarily product lifecycle management (PLM) software and solutions and provide value-added services such as consulting, implementation, systems integration and support.</v>
    <v>11921</v>
    <v>National Stock Exchange of India</v>
    <v>XNSE</v>
    <v>XNSE</v>
    <v>Plot No 25, Rajiv Gandhi Infotech Park, Hinjawadi, PUNE, MAHARASHTRA, 411 057 IN</v>
    <v>662.05</v>
    <v>Integrated Hardware &amp; Software</v>
    <v>Stock</v>
    <v>46017.492905092593</v>
    <v>652.45000000000005</v>
    <v>266817000000</v>
    <v>TATA TECHNOLOGIES LIMITED</v>
    <v>TATA TECHNOLOGIES LIMITED</v>
    <v>656</v>
    <v>38.479999999999997</v>
    <v>657.6</v>
    <v>654.54999999999995</v>
    <v>405743600</v>
    <v>TATATECH</v>
    <v>TATA TECHNOLOGIES LIMITED (XNSE:TATATECH)</v>
    <v>343359</v>
    <v>458100</v>
    <v>1994</v>
  </rv>
  <rv s="2">
    <v>356</v>
  </rv>
  <rv s="0">
    <v>https://www.bing.com/financeapi/forcetrigger?t=ahkau2&amp;q=XNSE%3aTCS&amp;form=skydnc</v>
    <v>Learn more on Bing</v>
  </rv>
  <rv s="1">
    <v>en-US</v>
    <v>ahkau2</v>
    <v>268435456</v>
    <v>1</v>
    <v>Powered by Refinitiv</v>
    <v>0</v>
    <v>TATA CONSULTANCY SERVICES LIMITED (XNSE:TCS)</v>
    <v>2</v>
    <v>3</v>
    <v>Finance</v>
    <v>4</v>
    <v>4255.12</v>
    <v>2866.6</v>
    <v>0.93469999999999998</v>
    <v>-39</v>
    <v>-1.1751000000000001E-2</v>
    <v>INR</v>
    <v>Tata Consultancy Services Ltd is an India-based company engaged in providing information technology (IT) services, consulting, and business solutions. Its business segments include Banking, Financial Services and Insurance; Manufacturing; Consumer Business; Communication, Media and Technology; Life Sciences and Healthcare and others, such as Energy, Resources and Utilities, s-Governance, and Products. The Company's products include TCS ADD, TCS BaNCS, TCS BFSI Platforms, TCS CHROMA, TCS Customer Intelligence &amp; Insights, TCS ERP on Cloud, TCS Intelligent Urban Exchange, Quartz-The Smart Ledgers, Jile, TCS Optumera, TCS TwinX, TCS TAP and TCS OmniStore. Its services portfolio consists of Artificial Intelligence, Cloud, Cognitive Business Operations, Consulting, Cybersecurity, Data and Analytics, Enterprise Solutions, Internet of Things (IoT), and Digital Engineering, TCS Interactive, TCS and AWS Cloud, TCS Enterprise Cloud, TCS and Google Cloud, TCS and Microsoft Cloud and others.</v>
    <v>613069</v>
    <v>National Stock Exchange of India</v>
    <v>XNSE</v>
    <v>XNSE</v>
    <v>9th Floor Nirmal Building Nariman Point, MUMBAI, MAHARASHTRA, 400021 IN</v>
    <v>3320</v>
    <v>Software &amp; IT Services</v>
    <v>Stock</v>
    <v>46017.492905092593</v>
    <v>358</v>
    <v>3271.8</v>
    <v>11867330000000</v>
    <v>TATA CONSULTANCY SERVICES LIMITED</v>
    <v>TATA CONSULTANCY SERVICES LIMITED</v>
    <v>3313.1</v>
    <v>24.29</v>
    <v>3319</v>
    <v>3280</v>
    <v>3618087000</v>
    <v>TCS</v>
    <v>TATA CONSULTANCY SERVICES LIMITED (XNSE:TCS)</v>
    <v>1176664</v>
    <v>2031000</v>
    <v>1995</v>
  </rv>
  <rv s="2">
    <v>359</v>
  </rv>
  <rv s="0">
    <v>https://www.bing.com/financeapi/forcetrigger?t=ahkb6h&amp;q=XNSE%3aTECHM&amp;form=skydnc</v>
    <v>Learn more on Bing</v>
  </rv>
  <rv s="1">
    <v>en-US</v>
    <v>ahkb6h</v>
    <v>268435456</v>
    <v>1</v>
    <v>Powered by Refinitiv</v>
    <v>0</v>
    <v>TECH MAHINDRA LIMITED (XNSE:TECHM)</v>
    <v>2</v>
    <v>3</v>
    <v>Finance</v>
    <v>4</v>
    <v>1773.6</v>
    <v>1209.4000000000001</v>
    <v>1.0773999999999999</v>
    <v>-19.2</v>
    <v>-1.1768000000000001E-2</v>
    <v>INR</v>
    <v>Tech Mahindra Limited is a global consulting service and systems integrator. The Company specializes in digital transformation, consulting, and business re-engineering, with digital competencies encompassing next-generation technologies. It operates through two segments: Information Technology (IT) and Business Process Services (BPS). Its BPS offers conversational Artificial intelligence, analytics, and cloud-based solutions. Its geographical segments include the Americas, the Europe region, India, and the Rest of the world. Its capabilities include TechM Consulting, Application Services, Cloud &amp; Infrastructure Services, Engineering Services, Network Services, Data Analytics, Digital Enterprise Applications, Business Process Services, Next Gen Services, and Sustainability Services. It serves industries, including communications, energy and utilities, healthcare and life sciences, insurance, manufacturing, media and entertainment, oil and gas, private equity, and professional services.</v>
    <v>152714</v>
    <v>National Stock Exchange of India</v>
    <v>XNSE</v>
    <v>XNSE</v>
    <v>Sharda Centre, Off Karve Road, PUNE, MAHARASHTRA, 411004 IN</v>
    <v>1633.7</v>
    <v>Software &amp; IT Services</v>
    <v>Stock</v>
    <v>46017.492905092593</v>
    <v>361</v>
    <v>1608</v>
    <v>1598415000000</v>
    <v>TECH MAHINDRA LIMITED</v>
    <v>TECH MAHINDRA LIMITED</v>
    <v>1630.5</v>
    <v>32.229999999999997</v>
    <v>1631.5</v>
    <v>1612.3</v>
    <v>979721300</v>
    <v>TECHM</v>
    <v>TECH MAHINDRA LIMITED (XNSE:TECHM)</v>
    <v>461192</v>
    <v>1150340</v>
    <v>1986</v>
  </rv>
  <rv s="2">
    <v>362</v>
  </rv>
  <rv s="0">
    <v>https://www.bing.com/financeapi/forcetrigger?t=ahkgbh&amp;q=XNSE%3aTWL&amp;form=skydnc</v>
    <v>Learn more on Bing</v>
  </rv>
  <rv s="1">
    <v>en-US</v>
    <v>ahkgbh</v>
    <v>268435456</v>
    <v>1</v>
    <v>Powered by Refinitiv</v>
    <v>0</v>
    <v>TITAGARH RAIL SYSTEMS LIMITED (XNSE:TITAGARH)</v>
    <v>2</v>
    <v>3</v>
    <v>Finance</v>
    <v>4</v>
    <v>1330</v>
    <v>654.54999999999995</v>
    <v>1.8291999999999999</v>
    <v>43.15</v>
    <v>5.0491000000000001E-2</v>
    <v>INR</v>
    <v>Titagarh Rail Systems Limited is an India-based company that offers mobility solutions through its presence in both passenger and freight rail systems, including railway wagons, components, passenger coaches (EMU/MEMU), and metro coaches. Its segments include Freight Rail Systems and Passenger Rail Systems. The Freight Rail Systems segment includes the manufacturing of wagons, loco shells, bogies, couplers and their components, designing and construction of warships, passenger vessels, tug and specialized equipment's for defense, bridge girders and others. The Passenger Rail Systems segment consists of designing and manufacturing of metro, passenger coaches, EMUs, train sets, monorail, propulsion equipment, traction motors and their components. The Company produces integral components for both Indian Railways and the global market, particularly for rail crossings. Its product range also includes electric propulsion equipment, such as traction motors and vehicle control systems.</v>
    <v>1222</v>
    <v>National Stock Exchange of India</v>
    <v>XNSE</v>
    <v>XNSE</v>
    <v>Titagarh Towers 756,, Anandapur, E.M. Bypass, KOLKATA, WEST BENGAL, 700107 IN</v>
    <v>906</v>
    <v>Machinery, Equipment &amp; Components</v>
    <v>Stock</v>
    <v>46017.492905092593</v>
    <v>364</v>
    <v>845.95</v>
    <v>115092200000</v>
    <v>TITAGARH RAIL SYSTEMS LIMITED</v>
    <v>TITAGARH RAIL SYSTEMS LIMITED</v>
    <v>852.95</v>
    <v>58.26</v>
    <v>854.6</v>
    <v>897.75</v>
    <v>134673800</v>
    <v>TITAGARH</v>
    <v>TITAGARH RAIL SYSTEMS LIMITED (XNSE:TITAGARH)</v>
    <v>5868339</v>
    <v>1282970</v>
    <v>1997</v>
  </rv>
  <rv s="2">
    <v>365</v>
  </rv>
  <rv s="0">
    <v>https://www.bing.com/financeapi/forcetrigger?t=ahkdxm&amp;q=XNSE%3aTITAN&amp;form=skydnc</v>
    <v>Learn more on Bing</v>
  </rv>
  <rv s="1">
    <v>en-US</v>
    <v>ahkdxm</v>
    <v>268435456</v>
    <v>1</v>
    <v>Powered by Refinitiv</v>
    <v>0</v>
    <v>TITAN COMPANY LIMITED (XNSE:TITAN)</v>
    <v>2</v>
    <v>3</v>
    <v>Finance</v>
    <v>4</v>
    <v>4006.9</v>
    <v>2925</v>
    <v>1.2647999999999999</v>
    <v>82.7</v>
    <v>2.1155E-2</v>
    <v>INR</v>
    <v>Titan Company Limited is an India-based lifestyle company. The Company is primarily involved in the manufacturing and sale of Watches, Jewelry, Eyewear and other accessories and products. The Company's segments include Watches and Wearables, Jewelry, Eyewear and Others. The Watches and Wearables segment includes brands, such as Titan, Titan Clock, Fastrack, Sonata, Zoop, Octane, Xylys, Helios, Titan Raga, Fastrack Smart, Nebula and SF. The Jewelry segment includes brands, such as Tanishq, Mia, Zoya and CaratLane. The Eyewear segment includes the Titan EyePlus and Fastrack Eyecare. The Others segment includes Aerospace &amp; Defence, Automation Solutions, Fragrances, Accessories and Indian dress wear. Its new business includes brands, such as Skinn and Taneira. The Company's subsidiaries include Titan Engineering &amp; Automation Limited, Titan Commodity Trading Limited, TCL North America Inc., TEAL USA Inc., and Titan Watch Company Limited Hongkong, among others.</v>
    <v>9191</v>
    <v>National Stock Exchange of India</v>
    <v>XNSE</v>
    <v>XNSE</v>
    <v>Integrity, #193, Veerasandra, Electronic City P.O.,, Off Hosur Main Road, BANGALORE, KARNATAKA, 560100 IN</v>
    <v>4006.9</v>
    <v>Textiles &amp; Apparel</v>
    <v>Stock</v>
    <v>46017.492905092593</v>
    <v>367</v>
    <v>3900</v>
    <v>3467726000000</v>
    <v>TITAN COMPANY LIMITED</v>
    <v>TITAN COMPANY LIMITED</v>
    <v>3908.9</v>
    <v>85.759100000000004</v>
    <v>3909.3</v>
    <v>3992</v>
    <v>887045300</v>
    <v>TITAN</v>
    <v>TITAN COMPANY LIMITED (XNSE:TITAN)</v>
    <v>1113050</v>
    <v>637300</v>
    <v>1984</v>
  </rv>
  <rv s="2">
    <v>368</v>
  </rv>
  <rv s="7">
    <v>en-US</v>
    <v>cinvhw</v>
    <v>268435456</v>
    <v>1</v>
    <v>Powered by Refinitiv</v>
    <v>13</v>
    <v>TATA MOTORS LIMITED (XNSE:TMCV)</v>
    <v>6</v>
    <v>14</v>
    <v>Finance</v>
    <v>4</v>
    <v>432.3</v>
    <v>306.3</v>
    <v>14.173999999999999</v>
    <v>-0.1</v>
    <v>-2.4459999999999998E-4</v>
    <v>INR</v>
    <v>Tata Motors Limited is an India-based commercial mobility company. The Company is a manufacturer of trucks and buses. The Company’s portfolio offers applications from last-mile delivery to long-haul freight and public transportation. The Company’s vehicular business includes small trucks, trucks, buses and vans. Its non-vehicular businesses include services, spares, aggregates, fleet edge, TATA OK and REWIRE. Its small trucks portfolio includes Tata ACE, Tata Intra and Tata Yodha. Its trucks include Haulage, ILMCV Trucks, Tipper and Tractor. Its vans include school vans, tourist vans and ambulance vans. Its aggregates include Gensets, Trailer Axles and Components and Industrial Engines. Its service offerings include Fleetcare, Tata Alert, Tata Zippy, Tata Kavach, Tata Delight, Tata Motors Genuine Oil and Sampoorna Seva 2.0.</v>
    <v>National Stock Exchange of India</v>
    <v>XNSE</v>
    <v>XNSE</v>
    <v>Bombay House, 24 Homi Mody Street, MUMBAI, MAHARASHTRA, 400001 IN</v>
    <v>416.5</v>
    <v>Automobiles &amp; Auto Parts</v>
    <v>Stock</v>
    <v>46017.492905092593</v>
    <v>403.4</v>
    <v>1505153000000</v>
    <v>TATA MOTORS LIMITED</v>
    <v>TATA MOTORS LIMITED</v>
    <v>410</v>
    <v>70.75</v>
    <v>408.75</v>
    <v>408.65</v>
    <v>3682331000</v>
    <v>TMCV</v>
    <v>TATA MOTORS LIMITED (XNSE:TMCV)</v>
    <v>9030231</v>
    <v>13573860</v>
    <v>2024</v>
  </rv>
  <rv s="2">
    <v>370</v>
  </rv>
  <rv s="0">
    <v>https://www.bing.com/financeapi/forcetrigger?t=ahk9xm&amp;q=XNSE%3aTATAMOTORS&amp;form=skydnc</v>
    <v>Learn more on Bing</v>
  </rv>
  <rv s="1">
    <v>en-US</v>
    <v>ahk9xm</v>
    <v>268435456</v>
    <v>1</v>
    <v>Powered by Refinitiv</v>
    <v>0</v>
    <v>TATA MOTORS PASSENGER VEHICLES LIMITED (XNSE:TMPV)</v>
    <v>2</v>
    <v>3</v>
    <v>Finance</v>
    <v>4</v>
    <v>490.35</v>
    <v>324.33</v>
    <v>1.0752999999999999</v>
    <v>-0.4</v>
    <v>-1.114E-3</v>
    <v>INR</v>
    <v>Tata Motors Passenger Vehicles Limited, formerly Tata Motors Limited, is an India-based company. The Company is engaged in the passenger vehicles business, including its investments in the electric vehicle business and Jaguar Land Rover (JLR) operations. Its portfolio, spanning multiple body styles and fuel types, caters to diverse mobility needs. Its passenger vehicles include Curvv, Nexon iCNG, Tiago &amp; Tigor 2025, Harrier &amp; Safari Stealth, Altroz, Punch, and others. The Company’s electric vehicles include Curvv.ev, Nexon.ev, Tiago.ev, Punch.ev, and Xpres-T.</v>
    <v>86259</v>
    <v>National Stock Exchange of India</v>
    <v>XNSE</v>
    <v>XNSE</v>
    <v>A Block, Shivasagar Estate, Dr. Annie Besant Road, Worli, MUMBAI, MAHARASHTRA, 400018 IN</v>
    <v>360.4</v>
    <v>Automobiles &amp; Auto Parts</v>
    <v>Stock</v>
    <v>46017.492905092593</v>
    <v>372</v>
    <v>354.7</v>
    <v>1322693000000</v>
    <v>TATA MOTORS PASSENGER VEHICLES LIMITED</v>
    <v>TATA MOTORS PASSENGER VEHICLES LIMITED</v>
    <v>359.2</v>
    <v>16.25</v>
    <v>359.2</v>
    <v>358.8</v>
    <v>3682331000</v>
    <v>TMPV</v>
    <v>TATA MOTORS PASSENGER VEHICLES LIMITED (XNSE:TMPV)</v>
    <v>8589856</v>
    <v>15897100</v>
    <v>1945</v>
  </rv>
  <rv s="2">
    <v>373</v>
  </rv>
  <rv s="0">
    <v>https://www.bing.com/financeapi/forcetrigger?t=ahkeu2&amp;q=XNSE%3aTRENT&amp;form=skydnc</v>
    <v>Learn more on Bing</v>
  </rv>
  <rv s="1">
    <v>en-US</v>
    <v>ahkeu2</v>
    <v>268435456</v>
    <v>1</v>
    <v>Powered by Refinitiv</v>
    <v>0</v>
    <v>TRENT LIMITED (XNSE:TRENT)</v>
    <v>2</v>
    <v>3</v>
    <v>Finance</v>
    <v>4</v>
    <v>7493.05</v>
    <v>3930.1</v>
    <v>1.6172</v>
    <v>-4.3</v>
    <v>-1.0020000000000001E-3</v>
    <v>INR</v>
    <v>Trent Limited is part of the Tata Group and operates a portfolio of retail concepts. Its brands are divided into two groups, namely Fashion and Lifestyle and Food and Grocery. The Company’s primary customer propositions include Westside, which operates a chain of fashion retail stores that offers a broad range of products ranging from apparel, footwear, accessories to cosmetics and perfumes to home accessories and gift offers, among others; Zudio, which offers several product categories, including apparel for men, women and kids, footwear and others; and Trent Hypermarket, which operates in the food, grocery and daily needs segment under the Star banner. It operates cash and carry stores under the Booker Wholesale banner that focuses on categories and assortments relevant to small businesses, which include products in categories including staples, processed foods, confectionery, personal care, home care, among others. Its other brands include Utsa and SAMOH.</v>
    <v>27887</v>
    <v>National Stock Exchange of India</v>
    <v>XNSE</v>
    <v>XNSE</v>
    <v>Trent House, G-Block, Plot No C-60, Besides Citi Bank,, Bandra Kurla Complex, Bandra (East), MUMBAI, MAHARASHTRA, 400051 IN</v>
    <v>4338.3999999999996</v>
    <v>Diversified Retail</v>
    <v>Stock</v>
    <v>46017.492905092593</v>
    <v>375</v>
    <v>4263</v>
    <v>1524899000000</v>
    <v>TRENT LIMITED</v>
    <v>TRENT LIMITED</v>
    <v>4290</v>
    <v>93.914500000000004</v>
    <v>4289.6000000000004</v>
    <v>4285.3</v>
    <v>355487500</v>
    <v>TRENT</v>
    <v>TRENT LIMITED (XNSE:TRENT)</v>
    <v>1029780</v>
    <v>788800</v>
    <v>1952</v>
  </rv>
  <rv s="2">
    <v>376</v>
  </rv>
  <rv s="0">
    <v>https://www.bing.com/financeapi/forcetrigger?t=ahkezr&amp;q=XNSE%3aTRIDENT&amp;form=skydnc</v>
    <v>Learn more on Bing</v>
  </rv>
  <rv s="1">
    <v>en-US</v>
    <v>ahkezr</v>
    <v>268435456</v>
    <v>1</v>
    <v>Powered by Refinitiv</v>
    <v>0</v>
    <v>TRIDENT LIMITED (XNSE:TRIDENT)</v>
    <v>2</v>
    <v>3</v>
    <v>Finance</v>
    <v>4</v>
    <v>34.869999999999997</v>
    <v>23.11</v>
    <v>0.26219999999999999</v>
    <v>-0.14000000000000001</v>
    <v>-5.1809999999999998E-3</v>
    <v>INR</v>
    <v>Trident Limited is an India-based vertically integrated textile and paper company. The Company is engaged in manufacturing, trading and selling of Textiles (Yarn, Terry Towels &amp; Bedsheets) and Paper &amp; Chemicals. Its segments include Yarn, Towel, Bedsheet, and Paper and Chemicals. It manufactures cotton yarn for domestic textile industry. Its yarn product portfolio includes 100% cotton combed yarn, open-end yarn, air jet yarn, carded yarn, organic cotton yarn, compact yarn, air-rich yarn, certified cotton yarn, melange yarn and others. Its home textiles include bath and bed linen. Its bath and bed linen product portfolio include organic, spa and hotel, beach, sheared, jacquard, dobby texture, bathmats, checkered, bath rugs and others. The Company is a manufacturer of paper based on wheat straw, which offers multi-color publishing paper, branded copier paper and quick-turnaround printing grades. The Company produces supreme quality LR/AR grade sulphuric acid.</v>
    <v>13804</v>
    <v>National Stock Exchange of India</v>
    <v>XNSE</v>
    <v>XNSE</v>
    <v>Trident Complex, Raikot Road, Barnala, SANGRUR, PUNJAB, 148101 IN</v>
    <v>27.13</v>
    <v>Textiles &amp; Apparel</v>
    <v>Stock</v>
    <v>46017.492905092593</v>
    <v>378</v>
    <v>26.85</v>
    <v>137677200000</v>
    <v>TRIDENT LIMITED</v>
    <v>TRIDENT LIMITED</v>
    <v>27.02</v>
    <v>31.26</v>
    <v>27.02</v>
    <v>26.88</v>
    <v>5095381000</v>
    <v>TRIDENT</v>
    <v>TRIDENT LIMITED (XNSE:TRIDENT)</v>
    <v>1953785</v>
    <v>2746270</v>
    <v>1990</v>
  </rv>
  <rv s="2">
    <v>379</v>
  </rv>
  <rv s="0">
    <v>https://www.bing.com/financeapi/forcetrigger?t=ahkh52&amp;q=XNSE%3aULTRACEMCO&amp;form=skydnc</v>
    <v>Learn more on Bing</v>
  </rv>
  <rv s="1">
    <v>en-US</v>
    <v>ahkh52</v>
    <v>268435456</v>
    <v>1</v>
    <v>Powered by Refinitiv</v>
    <v>0</v>
    <v>ULTRATECH CEMENT LIMITED (XNSE:ULTRACEMCO)</v>
    <v>2</v>
    <v>3</v>
    <v>Finance</v>
    <v>4</v>
    <v>13097</v>
    <v>10047.85</v>
    <v>1.2041999999999999</v>
    <v>30</v>
    <v>2.5500000000000002E-3</v>
    <v>INR</v>
    <v>UltraTech Cement Limited is an India-based company, which is engaged in the business of manufacturing and sale of cement and cement related products. The Company’s products include UltraTech Cement, Ready Mix Concrete, Building Solutions, and Building Products. Its UltraTech Cement products include Ordinary Portland Cement (OPC), Portland Pozzolana Cement (PPC), and Portland Slag Cement. Its Building Solutions products include cement, steels, painting system, waterproofing and chemicals, electricals, plywood, shuttering ply, power and hand tools, flooring, pipes, sanitary ware, mortars, roofing, and water storage tanks. Its Building Products include Tiles Adhesives (TILEFIXO-CT, TILEFIXO-VT, TILEFIXO-NT, and TILEFIXO-YT), Repair Products (MICROKRETE and BASEKRETE), Waterproofing Products (SEAL &amp; DRY, FLEX, HIFLEX, and MYKROFILL), Industrial and Precision Grout (POWERGROUT NS1, NS2, and NS3), Masonry Products (FIXOBLOCK), and Light Weight Autoclaved Aerated Concrete Block (XTRALITE).</v>
    <v>25684</v>
    <v>National Stock Exchange of India</v>
    <v>XNSE</v>
    <v>XNSE</v>
    <v>B Wing, 2nd floor, Ahura Centre, Mahakali Caves Road, Andheri (East), MUMBAI, MAHARASHTRA, 400093 IN</v>
    <v>11855</v>
    <v>Construction Materials</v>
    <v>Stock</v>
    <v>46017.492905092593</v>
    <v>381</v>
    <v>11743</v>
    <v>3468483000000</v>
    <v>ULTRATECH CEMENT LIMITED</v>
    <v>ULTRATECH CEMENT LIMITED</v>
    <v>11766</v>
    <v>50.21</v>
    <v>11764</v>
    <v>11794</v>
    <v>294088700</v>
    <v>ULTRACEMCO</v>
    <v>ULTRATECH CEMENT LIMITED (XNSE:ULTRACEMCO)</v>
    <v>193121</v>
    <v>192020</v>
    <v>2000</v>
  </rv>
  <rv s="2">
    <v>382</v>
  </rv>
  <rv s="0">
    <v>https://www.bing.com/financeapi/forcetrigger?t=ahiyvh&amp;q=XNSE%3aMINDAIND&amp;form=skydnc</v>
    <v>Learn more on Bing</v>
  </rv>
  <rv s="1">
    <v>en-US</v>
    <v>ahiyvh</v>
    <v>268435456</v>
    <v>1</v>
    <v>Powered by Refinitiv</v>
    <v>0</v>
    <v>UNO MINDA LIMITED (XNSE:UNOMINDA)</v>
    <v>2</v>
    <v>3</v>
    <v>Finance</v>
    <v>4</v>
    <v>1382</v>
    <v>767.6</v>
    <v>0.98929999999999996</v>
    <v>-20.9</v>
    <v>-1.6173E-2</v>
    <v>INR</v>
    <v>Uno Minda Limited specializes in automotive components and systems. It designs and produces over 28 categories of components for vehicles across all segments, including passenger cars, commercial vehicles, and two- and three-wheelers serving both internal combustion engine (ICE) and electric/hybrid vehicles. Its diversified product portfolio spans Lighting and Alternate fuel Systems, Electronic and Control Systems, Safety and Comfort Systems, ADAS, Controller, Light Metal, and Powertrain. It offers a range of solutions, including horns, lamps, infotainment systems, sensors, controllers, switches, seatbelts, alloy wheels, airbags, blow molding, alternate fuel systems, sunroof, speakers, castings and various electronic vehicle-specific components. It operates through two key business channels, including Original Equipment Manufacturers (OEM) and the Aftermarket. Its electric vehicle portfolio includes chargers, DC-DC converters, battery management systems, and electric drive units.</v>
    <v>13445</v>
    <v>National Stock Exchange of India</v>
    <v>XNSE</v>
    <v>XNSE</v>
    <v>Nawada, Fatehpur,, SikanderPur Badda IMT Manesar, GURGAON, HARYANA, 122004 IN</v>
    <v>1296</v>
    <v>Automobiles &amp; Auto Parts</v>
    <v>Stock</v>
    <v>46017.492905092593</v>
    <v>384</v>
    <v>1263.7</v>
    <v>745723800000</v>
    <v>UNO MINDA LIMITED</v>
    <v>UNO MINDA LIMITED</v>
    <v>1296</v>
    <v>67.97</v>
    <v>1292.3</v>
    <v>1271.4000000000001</v>
    <v>577051600</v>
    <v>UNOMINDA</v>
    <v>UNO MINDA LIMITED (XNSE:UNOMINDA)</v>
    <v>237899</v>
    <v>437050</v>
    <v>1992</v>
  </rv>
  <rv s="2">
    <v>385</v>
  </rv>
  <rv s="0">
    <v>https://www.bing.com/financeapi/forcetrigger?t=ahkjqh&amp;q=XNSE%3aVBL&amp;form=skydnc</v>
    <v>Learn more on Bing</v>
  </rv>
  <rv s="1">
    <v>en-US</v>
    <v>ahkjqh</v>
    <v>268435456</v>
    <v>1</v>
    <v>Powered by Refinitiv</v>
    <v>0</v>
    <v>VARUN BEVERAGES LIMITED (XNSE:VBL)</v>
    <v>2</v>
    <v>3</v>
    <v>Finance</v>
    <v>4</v>
    <v>663.6</v>
    <v>419.55</v>
    <v>0.96930000000000005</v>
    <v>5.2</v>
    <v>1.0887000000000001E-2</v>
    <v>INR</v>
    <v>Varun Beverages Limited is an India-based company, which is a franchisee of PepsiCo. It produces and distributes a range of carbonated soft drinks (CSDs), as well as non-carbonated beverages (NCBs), including packaged drinking water sold under trademarks owned by PepsiCo. PepsiCo CSD brands produced and sold by the Company include Pepsi, Pepsi Black, Mountain Dew, Sting, Seven-Up, Mirinda Orange, Seven-Up Nimbooz Masala Soda and Evervess. PepsiCo NCB brands produced and sold by it include Tropicana Slice, Tropicana Juices (100% and Delight), Seven-Up Nimbooz, Gatorade as well as packaged drinking water under the brand Aquafina. It is also engaged in co-manufacturing of Kurkure puffcorn in India. It has approximately 36 manufacturing plants in India and over 12 manufacturing plants in international geographies. Its subsidiaries include Varun Beverages (Nepal) Private Limited, The Beverage Company Proprietary Limited, and Varun Beverages Lanka (Private) Limited, and others.</v>
    <v>11041</v>
    <v>National Stock Exchange of India</v>
    <v>XNSE</v>
    <v>XNSE</v>
    <v>Plot No. 31, Institutional Area, Sector - 44, GURGAON, HARYANA, 122002 IN</v>
    <v>483.5</v>
    <v>Beverages</v>
    <v>Stock</v>
    <v>46017.492905092593</v>
    <v>387</v>
    <v>475.1</v>
    <v>1615407000000</v>
    <v>VARUN BEVERAGES LIMITED</v>
    <v>VARUN BEVERAGES LIMITED</v>
    <v>476</v>
    <v>54.9405</v>
    <v>477.65</v>
    <v>482.85</v>
    <v>3381989000</v>
    <v>VBL</v>
    <v>VARUN BEVERAGES LIMITED (XNSE:VBL)</v>
    <v>5793445</v>
    <v>4373680</v>
    <v>1995</v>
  </rv>
  <rv s="2">
    <v>388</v>
  </rv>
  <rv s="0">
    <v>https://www.bing.com/financeapi/forcetrigger?t=ahkmim&amp;q=XNSE%3aVOLTAS&amp;form=skydnc</v>
    <v>Learn more on Bing</v>
  </rv>
  <rv s="1">
    <v>en-US</v>
    <v>ahkmim</v>
    <v>268435456</v>
    <v>1</v>
    <v>Powered by Refinitiv</v>
    <v>0</v>
    <v>VOLTAS LIMITED (XNSE:VOLTAS)</v>
    <v>2</v>
    <v>3</v>
    <v>Finance</v>
    <v>4</v>
    <v>1859.4</v>
    <v>1135</v>
    <v>0.48130000000000001</v>
    <v>-13.6</v>
    <v>-9.7509999999999993E-3</v>
    <v>INR</v>
    <v>Voltas Limited is an air conditioning and engineering solutions provider and a projects specialist. Its segments include Unitary Cooling Products, Electro-Mechanical Projects and Services, and Engineering Products and Services. Unitary Cooling Products segment includes room air conditioners, air coolers, commercial refrigeration products, water heaters and commercial air conditioning. Electro-Mechanical Projects and Services includes electro-mechanical projects, such as electricals, heating, ventilation and air conditioning, plumbing, firefighting, extra low voltage and specialized services, water solutions comprise water treatment solutions for industrial, domestic sewage segments, and electrical and solar includes engineering, procurement and construction relating to projects of rural electrification and distribution, power augmentation and separation, and others. Engineering Products and Services segment includes textile machinery and mining and construction equipment.</v>
    <v>1912</v>
    <v>National Stock Exchange of India</v>
    <v>XNSE</v>
    <v>XNSE</v>
    <v>Voltas House, A' Block, Dr. Babasaheb Ambedkar Road, MUMBAI, MAHARASHTRA, 400033 IN</v>
    <v>1412.4</v>
    <v>Machinery, Equipment &amp; Components</v>
    <v>Stock</v>
    <v>46017.492905092593</v>
    <v>390</v>
    <v>1377</v>
    <v>461484900000</v>
    <v>VOLTAS LIMITED</v>
    <v>VOLTAS LIMITED</v>
    <v>1390</v>
    <v>84.23</v>
    <v>1394.7</v>
    <v>1381.1</v>
    <v>330884700</v>
    <v>VOLTAS</v>
    <v>VOLTAS LIMITED (XNSE:VOLTAS)</v>
    <v>281489</v>
    <v>530710</v>
    <v>1954</v>
  </rv>
  <rv s="2">
    <v>391</v>
  </rv>
  <rv s="0">
    <v>https://www.bing.com/financeapi/forcetrigger?t=ahkok2&amp;q=XNSE%3aWIPRO&amp;form=skydnc</v>
    <v>Learn more on Bing</v>
  </rv>
  <rv s="1">
    <v>en-US</v>
    <v>ahkok2</v>
    <v>268435456</v>
    <v>1</v>
    <v>Powered by Refinitiv</v>
    <v>0</v>
    <v>WIPRO LIMITED (XNSE:WIPRO)</v>
    <v>2</v>
    <v>3</v>
    <v>Finance</v>
    <v>4</v>
    <v>324.60000000000002</v>
    <v>228</v>
    <v>0.82389999999999997</v>
    <v>-1.76</v>
    <v>-6.5659999999999998E-3</v>
    <v>INR</v>
    <v>Wipro Limited is a technology services and consulting company. The Company operates through two segments: Information Technology (IT) Services, and IT Products. IT Services segment provides a range of IT and IT enabled services which include digital strategy advisory, customer centric design, technology consulting, IT consulting, custom application design, re-engineering and maintenance, systems integration, package implementation, cloud and infrastructure services, business process services, cloud, mobility and analytics services, research and development and hardware and software design. The IT Products segment provides a range of third-party IT products, which allows it to offer IT system integration services. These products include computing, platforms and storage, networking solutions, and software products. Its services include Applications, Artificial Intelligence, Business Process, Cloud, Consulting, Data &amp; Analytics, Digital Experiences, Engineering, and Sustainability.</v>
    <v>235492</v>
    <v>National Stock Exchange of India</v>
    <v>XNSE</v>
    <v>XNSE</v>
    <v>Survey #76P &amp; #80P Doddakanahalli Villag, Varthur Hobli Sarjapur Rd, BANGALORE, KARNATAKA, 560035 IN</v>
    <v>268.88</v>
    <v>Software &amp; IT Services</v>
    <v>Stock</v>
    <v>46017.492905092593</v>
    <v>393</v>
    <v>265.74</v>
    <v>2807904000000</v>
    <v>WIPRO LIMITED</v>
    <v>WIPRO LIMITED</v>
    <v>267.2</v>
    <v>20.78</v>
    <v>268.06</v>
    <v>266.3</v>
    <v>10474910000</v>
    <v>WIPRO</v>
    <v>WIPRO LIMITED (XNSE:WIPRO)</v>
    <v>2899112</v>
    <v>7108860</v>
    <v>1945</v>
  </rv>
  <rv s="2">
    <v>394</v>
  </rv>
  <rv s="0">
    <v>https://www.bing.com/financeapi/forcetrigger?t=ahkpxm&amp;q=XNSE%3aZENTEC&amp;form=skydnc</v>
    <v>Learn more on Bing</v>
  </rv>
  <rv s="1">
    <v>en-US</v>
    <v>ahkpxm</v>
    <v>268435456</v>
    <v>1</v>
    <v>Powered by Refinitiv</v>
    <v>0</v>
    <v>ZEN TECHNOLOGIES LIMITED (XNSE:ZENTEC)</v>
    <v>2</v>
    <v>3</v>
    <v>Finance</v>
    <v>4</v>
    <v>2627</v>
    <v>945.35</v>
    <v>1.4426000000000001</v>
    <v>-16.8</v>
    <v>-1.2072000000000001E-2</v>
    <v>INR</v>
    <v>Zen Technologies Limited is focused on providing defense training and anti-drone solutions and builds training systems for imparting defense training and measuring combat readiness of security forces. It designs, develops and manufactures training simulators, anti-drone systems and operations for para-military forces, armed forces, security forces, police and government departments. Its segment is Defence and Homeland. Its solutions include anti-drone systems, combat training center, live ranges, live simulation and virtual simulation. Its anti-drone system works on drone detection, classification and tracking on passive surveillance, camera sensors and neutralization of the threat through jamming the drone communications. Its live ranges include Air-To-Ground Firing Range Scoring System, Tank Zeroing System, Multi-Functional Target System, and others. The laser instrumented tactical engagement simulator, or Zen TacSim, offers realistic force-on-force mission rehearsal training.</v>
    <v>395</v>
    <v>National Stock Exchange of India</v>
    <v>XNSE</v>
    <v>XNSE</v>
    <v>B-42, INDUSTRIAL ESTATE, SANATHNAGAR, HYDERABAD, TELANGANA, 500018 IN</v>
    <v>1407.8</v>
    <v>Aerospace &amp; Defense</v>
    <v>Stock</v>
    <v>46017.492905092593</v>
    <v>396</v>
    <v>1367.2</v>
    <v>123609900000</v>
    <v>ZEN TECHNOLOGIES LIMITED</v>
    <v>ZEN TECHNOLOGIES LIMITED</v>
    <v>1391.6</v>
    <v>50.45</v>
    <v>1391.6</v>
    <v>1374.8</v>
    <v>89911210</v>
    <v>ZENTEC</v>
    <v>ZEN TECHNOLOGIES LIMITED (XNSE:ZENTEC)</v>
    <v>307201</v>
    <v>248590</v>
    <v>1993</v>
  </rv>
  <rv s="2">
    <v>397</v>
  </rv>
  <rv s="12">
    <v>12</v>
    <v>1</v>
  </rv>
  <rv s="9">
    <v>12</v>
    <v>Previous close</v>
    <v>0</v>
  </rv>
  <rv s="9">
    <v>12</v>
    <v>Price</v>
    <v>0</v>
  </rv>
  <rv s="9">
    <v>12</v>
    <v>Low</v>
    <v>0</v>
  </rv>
  <rv s="9">
    <v>12</v>
    <v>High</v>
    <v>0</v>
  </rv>
  <rv s="9">
    <v>12</v>
    <v>52 week low</v>
    <v>0</v>
  </rv>
  <rv s="9">
    <v>12</v>
    <v>52 week high</v>
    <v>0</v>
  </rv>
  <rv s="9">
    <v>12</v>
    <v>Change (%)</v>
    <v>0</v>
  </rv>
  <rv s="9">
    <v>12</v>
    <v>Market cap</v>
    <v>0</v>
  </rv>
  <rv s="0">
    <v>https://www.bing.com/financeapi/forcetrigger?t=ahj75r&amp;q=XNSE%3aCOFORGE&amp;form=skydnc</v>
    <v>Learn more on Bing</v>
  </rv>
  <rv s="1">
    <v>en-US</v>
    <v>ahj75r</v>
    <v>268435456</v>
    <v>1</v>
    <v>Powered by Refinitiv</v>
    <v>0</v>
    <v>COFORGE LIMITED (XNSE:COFORGE)</v>
    <v>2</v>
    <v>3</v>
    <v>Finance</v>
    <v>4</v>
    <v>2005.36</v>
    <v>1194.01</v>
    <v>1.1414</v>
    <v>-64.400000000000006</v>
    <v>-3.7060000000000003E-2</v>
    <v>INR</v>
    <v>Coforge Limited is an India-based information technology (IT) solution company. It is engaged in the in-application development and maintenance, managed services, cloud computing and business process outsourcing. The Company provides computer programming consultancy and related activities. Its geographical segments include Americas, Europe, Middle East, and Africa (EMEA), Asia Pacific (APAC), and India. It offers various services, such as Artificial Intelligence, Digital, Data and Analytics, Digital Process Automation, Salesforce Ecosystem, Cloud and Infrastructure Management Services, Cybersecurity Services, Business Process Solutions, Quality Engineering Services, Systems, Applications &amp; Products in Data Processing (SAP) Services, and Metaverse. Its salesforce ecosystem includes Salesforce, and Mulesoft. Its digital process automation includes Appian, Pega, Mendix, and OutSystems. Its cloud and infrastructure management services include Cloud Services, Anyplace Workplace, and others.</v>
    <v>17334</v>
    <v>National Stock Exchange of India</v>
    <v>XNSE</v>
    <v>XNSE</v>
    <v>8, Balaji Estate, First Floor, Guru Ravi Das Marg, Kalkaji, NEW DELHI, DELHI, 110019 IN</v>
    <v>1744.7</v>
    <v>Software &amp; IT Services</v>
    <v>Stock</v>
    <v>46017.492881944447</v>
    <v>408</v>
    <v>1658.9</v>
    <v>582202100000</v>
    <v>COFORGE LIMITED</v>
    <v>COFORGE LIMITED</v>
    <v>1730</v>
    <v>51.021000000000001</v>
    <v>1737.7</v>
    <v>1673.3</v>
    <v>335041800</v>
    <v>COFORGE</v>
    <v>COFORGE LIMITED (XNSE:COFORGE)</v>
    <v>4261704</v>
    <v>1531720</v>
    <v>1992</v>
  </rv>
  <rv s="2">
    <v>409</v>
  </rv>
  <rv s="0">
    <v>https://www.bing.com/financeapi/forcetrigger?t=ahj23m&amp;q=XNSE%3aMPHASIS&amp;form=skydnc</v>
    <v>Learn more on Bing</v>
  </rv>
  <rv s="1">
    <v>en-US</v>
    <v>ahj23m</v>
    <v>268435456</v>
    <v>1</v>
    <v>Powered by Refinitiv</v>
    <v>0</v>
    <v>MphasiS Limited (XNSE:MPHASIS)</v>
    <v>2</v>
    <v>3</v>
    <v>Finance</v>
    <v>4</v>
    <v>3078.4</v>
    <v>2044.55</v>
    <v>1.3605</v>
    <v>-41.3</v>
    <v>-1.4280999999999999E-2</v>
    <v>INR</v>
    <v>Mphasis Limited is an India-based company, which applies design, architecture, and engineering services, to deliver scalable and sustainable software and technology solutions. The Company's segments include Banking and Financial Services, Logistics and Transportation, Technology Media and Telecom, Insurance, and Others. It uses its Front2Back transformation approach, which uses cloud and cognitive to provide personalized digital experiences to clients and their end customers. It provides a range of services, which include Application Services, Blockchain, Cognitive, Cyber Security, DevOps Automation Services, AI, Digital, Enterprise Automation, Experience Design, Modernization, Next-Gen Data, Agile IT Operations, Microsoft COE, Salesforce Consulting and Services COE, and others. It serves various industries, which include banking-capital market, insurance, healthcare and life science, payments, hospitality, travel and transportation, energy and utilities, oil and gas and others.</v>
    <v>30157</v>
    <v>National Stock Exchange of India</v>
    <v>XNSE</v>
    <v>XNSE</v>
    <v>Bagmane Laurel, Bagmane Technology Park, Byrasandra Village, C V Raman Nagar, BANGALORE, KARNATAKA, 560093 IN</v>
    <v>2913</v>
    <v>Software &amp; IT Services</v>
    <v>Stock</v>
    <v>46017.492893518516</v>
    <v>411</v>
    <v>2843.8</v>
    <v>543197100000</v>
    <v>MphasiS Limited</v>
    <v>MphasiS Limited</v>
    <v>2900</v>
    <v>30.78</v>
    <v>2891.9</v>
    <v>2850.6</v>
    <v>190555300</v>
    <v>MPHASIS</v>
    <v>MphasiS Limited (XNSE:MPHASIS)</v>
    <v>151986</v>
    <v>367100</v>
    <v>1992</v>
  </rv>
  <rv s="2">
    <v>412</v>
  </rv>
  <rv s="0">
    <v>https://www.bing.com/financeapi/forcetrigger?t=ahj9a2&amp;q=XNSE%3aOFSS&amp;form=skydnc</v>
    <v>Learn more on Bing</v>
  </rv>
  <rv s="1">
    <v>en-US</v>
    <v>ahj9a2</v>
    <v>268435456</v>
    <v>1</v>
    <v>Powered by Refinitiv</v>
    <v>0</v>
    <v>ORACLE FINANCIAL SERVICES SOFTWARE LIMITED (XNSE:OFSS)</v>
    <v>2</v>
    <v>3</v>
    <v>Finance</v>
    <v>4</v>
    <v>13220</v>
    <v>7038</v>
    <v>0.85729999999999995</v>
    <v>-5</v>
    <v>-6.4250000000000006E-4</v>
    <v>INR</v>
    <v>Oracle Financial Services Software Limited is an India-based company, which is engaged in the business of providing products and services to the financial services industry. The Company's segments include Product licenses and related activities and IT solutions and consulting services. Its Product licenses and related activities segment deals with various banking software products. The related activities include enhancements, implementation and maintenance activities. The IT solutions and consulting services segment offers services spanning the entire lifecycle of applications used by financial service institutions. Its banking product portfolio includes Oracle FLEXCUBE Universal Banking; Oracle Banking Accounts; Oracle Banking Origination; Oracle FLEXCUBE for Islamic Banking; Oracle Banking Treasury Management; Oracle Financial Services Lending and Leasing; Oracle FLEXCUBE Investor Servicing; Oracle Banking Corporate Lending; Oracle Banking Payments, and others.</v>
    <v>8887</v>
    <v>National Stock Exchange of India</v>
    <v>XNSE</v>
    <v>XNSE</v>
    <v>Oracle Park, Off. Western Express Highway, Goregaon (East), MUMBAI, MAHARASHTRA, 400063 IN</v>
    <v>7800.5</v>
    <v>Software &amp; IT Services</v>
    <v>Stock</v>
    <v>46017.492893518516</v>
    <v>414</v>
    <v>7726.5</v>
    <v>677165500000</v>
    <v>ORACLE FINANCIAL SERVICES SOFTWARE LIMITED</v>
    <v>ORACLE FINANCIAL SERVICES SOFTWARE LIMITED</v>
    <v>7750</v>
    <v>28.461600000000001</v>
    <v>7782</v>
    <v>7777</v>
    <v>87016900</v>
    <v>OFSS</v>
    <v>ORACLE FINANCIAL SERVICES SOFTWARE LIMITED (XNSE:OFSS)</v>
    <v>89564</v>
    <v>105580</v>
    <v>1989</v>
  </rv>
  <rv s="2">
    <v>415</v>
  </rv>
  <rv s="0">
    <v>https://www.bing.com/financeapi/forcetrigger?t=ahje9c&amp;q=XNSE%3aPERSISTENT&amp;form=skydnc</v>
    <v>Learn more on Bing</v>
  </rv>
  <rv s="1">
    <v>en-US</v>
    <v>ahje9c</v>
    <v>268435456</v>
    <v>1</v>
    <v>Powered by Refinitiv</v>
    <v>0</v>
    <v>PERSISTENT SYSTEMS LIMITED (XNSE:PERSISTENT)</v>
    <v>2</v>
    <v>3</v>
    <v>Finance</v>
    <v>4</v>
    <v>6768.8</v>
    <v>4148.95</v>
    <v>1.4164000000000001</v>
    <v>-52</v>
    <v>-8.1860000000000006E-3</v>
    <v>INR</v>
    <v>Persistent Systems Limited is a holding company, which is engaged in the business of providing software products, services and technology innovation. Its segments include Banking, Financial Services, and Insurance (BFSI), Healthcare &amp; Life Sciences, and Software, Hi-Tech, and Emerging Industries. It provides services, including Application Development &amp; Management, Cloud &amp; Infrastructure, Consulting, Client Experience (CX) Transformation, CX Contact Center Intelligence, Data &amp; Analytics, Enterprise Integration, Enterprise Information Technology (IT) Security, Experience Transformation, Global Capability Centers, Intelligent Automation, Persistent Artificial Intelligence (AI), Open Source Hub, and Software Product Engineering. Its subsidiaries include Persistent Systems Inc., Persistent Systems Pte. Ltd., Persistent Systems France S.A.S., Persistent Systems Malaysia Sdn. Bhd., Persistent Systems Germany GmbH, Capiot Software Private Limited, and MediaAgility India Private Limited.</v>
    <v>21133</v>
    <v>National Stock Exchange of India</v>
    <v>XNSE</v>
    <v>XNSE</v>
    <v>Bhageerath,, 402 Senapati Bapat Road, PUNE, MAHARASHTRA, 411016 IN</v>
    <v>6399.5</v>
    <v>Software &amp; IT Services</v>
    <v>Stock</v>
    <v>46017.492893518516</v>
    <v>417</v>
    <v>6275</v>
    <v>989084200000</v>
    <v>PERSISTENT SYSTEMS LIMITED</v>
    <v>PERSISTENT SYSTEMS LIMITED</v>
    <v>6353</v>
    <v>58.508800000000001</v>
    <v>6352.5</v>
    <v>6300.5</v>
    <v>155700000</v>
    <v>PERSISTENT</v>
    <v>PERSISTENT SYSTEMS LIMITED (XNSE:PERSISTENT)</v>
    <v>287268</v>
    <v>271020</v>
    <v>1990</v>
  </rv>
  <rv s="2">
    <v>418</v>
  </rv>
  <rv s="0">
    <v>https://www.bing.com/financeapi/forcetrigger?t=ahkqww&amp;q=NIFTY+50&amp;form=skydnc</v>
    <v>Learn more on Bing</v>
  </rv>
  <rv s="13">
    <v>en-US</v>
    <v>ahkqww</v>
    <v>268435456</v>
    <v>1</v>
    <v>Powered by Refinitiv</v>
    <v>21</v>
    <v>NIFTY 50</v>
    <v>16</v>
    <v>22</v>
    <v>Finance</v>
    <v>23</v>
    <v>26325.8</v>
    <v>21743.65</v>
    <v>-99.8</v>
    <v>-3.8179999999999998E-3</v>
    <v>IN</v>
    <v>26144.2</v>
    <v>Index</v>
    <v>420</v>
    <v>26008.6</v>
    <v>NIFTY 50</v>
    <v>26121.25</v>
    <v>26142.1</v>
    <v>26042.3</v>
    <v>NIFTY</v>
    <v>NIFTY 50</v>
  </rv>
  <rv s="2">
    <v>421</v>
  </rv>
  <rv s="0">
    <v>https://www.bing.com/financeapi/forcetrigger?t=ahk3z2&amp;q=XNSE%3aSRTRANSFIN&amp;form=skydnc</v>
    <v>Learn more on Bing</v>
  </rv>
  <rv s="1">
    <v>en-US</v>
    <v>ahk3z2</v>
    <v>268435456</v>
    <v>1</v>
    <v>Powered by Refinitiv</v>
    <v>0</v>
    <v>SHRIRAM FINANCE LIMITED (XNSE:SHRIRAMFIN)</v>
    <v>2</v>
    <v>3</v>
    <v>Finance</v>
    <v>4</v>
    <v>983.7</v>
    <v>493.35</v>
    <v>0.6663</v>
    <v>-13.45</v>
    <v>-1.3812999999999999E-2</v>
    <v>INR</v>
    <v>Shriram Finance Limited is an India-based retail asset financing non-banking finance company (NBFC). The Company is a finance provider catering to the needs of small road transport operators and small business owners and is engaged in organized financing of pre-owned commercial vehicles and two- wheelers. It has a vertically integrated business model and offers various financing products, which include passenger commercial vehicles, loans to micro and small and medium enterprises (MSMEs), tractors and farm equipment, gold, personal loans and working capital loans. It operates in the areas of loan origination, valuation of pre-owned commercial vehicles and other assets, and collections. It has a presence in consumer finance, life insurance, general insurance, stockbroking, and distribution businesses.</v>
    <v>79872</v>
    <v>National Stock Exchange of India</v>
    <v>XNSE</v>
    <v>XNSE</v>
    <v>Wockhardt Towers, 3rd Floor, West Wing, G Block, Bandra-Kurla Complex, Bandra (East),, MUMBAI, MAHARASHTRA, 400051 IN</v>
    <v>978.75</v>
    <v>Banking Services</v>
    <v>Stock</v>
    <v>46017.492905092593</v>
    <v>423</v>
    <v>956.7</v>
    <v>1831882000000</v>
    <v>SHRIRAM FINANCE LIMITED</v>
    <v>SHRIRAM FINANCE LIMITED</v>
    <v>976.55</v>
    <v>18.59</v>
    <v>973.7</v>
    <v>960.25</v>
    <v>1881362000</v>
    <v>SHRIRAMFIN</v>
    <v>SHRIRAM FINANCE LIMITED (XNSE:SHRIRAMFIN)</v>
    <v>4739099</v>
    <v>13911790</v>
    <v>1979</v>
  </rv>
  <rv s="2">
    <v>424</v>
  </rv>
  <rv s="0">
    <v>https://www.bing.com/financeapi/forcetrigger?t=ahh3a2&amp;q=XNSE%3aBAJAJFINSV&amp;form=skydnc</v>
    <v>Learn more on Bing</v>
  </rv>
  <rv s="1">
    <v>en-US</v>
    <v>ahh3a2</v>
    <v>268435456</v>
    <v>1</v>
    <v>Powered by Refinitiv</v>
    <v>0</v>
    <v>BAJAJ FINSERV LIMITED (XNSE:BAJAJFINSV)</v>
    <v>2</v>
    <v>3</v>
    <v>Finance</v>
    <v>4</v>
    <v>2195</v>
    <v>1551.65</v>
    <v>1.4347000000000001</v>
    <v>-18.100000000000001</v>
    <v>-8.8909999999999996E-3</v>
    <v>INR</v>
    <v>Bajaj Finserv Limited is a holding company for various financial services businesses. It is engaged in the business of promoting financial services such as finance, insurance, broking, investments, and others, including distribution using digital platforms through its investments in subsidiaries and joint ventures. It is also engaged in the business of generating power through wind turbines, a renewable source of energy. Its segments include Life Insurance, General Insurance, Retail Financing, and Windmill, Platforms &amp; other Investments. It focuses on commercial lending; personal loans; small and medium enterprise lending; rural lending; loan against securities, and partnerships and services. It serves various customers through its subsidiaries by providing financial products and services for asset acquisition through financing, asset protection through general insurance, family and income protection in the form of life and health insurance, and retirement and savings solutions.</v>
    <v>126</v>
    <v>National Stock Exchange of India</v>
    <v>XNSE</v>
    <v>XNSE</v>
    <v>6th Floor, Bajaj Finserv Corporate Office, Off Pune-Ahmednagar Road, Viman Nagar, PUNE, MAHARASHTRA, 411014 IN</v>
    <v>2035.7</v>
    <v>Banking Services</v>
    <v>Stock</v>
    <v>46017.49287037037</v>
    <v>426</v>
    <v>2005.4</v>
    <v>3250333000000</v>
    <v>BAJAJ FINSERV LIMITED</v>
    <v>BAJAJ FINSERV LIMITED</v>
    <v>2035.7</v>
    <v>33.53</v>
    <v>2035.7</v>
    <v>2017.6</v>
    <v>1596666000</v>
    <v>BAJAJFINSV</v>
    <v>BAJAJ FINSERV LIMITED (XNSE:BAJAJFINSV)</v>
    <v>1755050</v>
    <v>717120</v>
    <v>2007</v>
  </rv>
  <rv s="2">
    <v>427</v>
  </rv>
  <rv s="0">
    <v>https://www.bing.com/financeapi/forcetrigger?t=axd4c7&amp;q=XNSE%3aHDFCLIFE&amp;form=skydnc</v>
    <v>Learn more on Bing</v>
  </rv>
  <rv s="1">
    <v>en-US</v>
    <v>axd4c7</v>
    <v>268435456</v>
    <v>1</v>
    <v>Powered by Refinitiv</v>
    <v>0</v>
    <v>HDFC LIFE INSURANCE COMPANY LIMITED (XNSE:HDFCLIFE)</v>
    <v>2</v>
    <v>3</v>
    <v>Finance</v>
    <v>4</v>
    <v>820.75</v>
    <v>584.29999999999995</v>
    <v>0.89239999999999997</v>
    <v>-6.9</v>
    <v>-9.134999999999999E-3</v>
    <v>INR</v>
    <v>HDFC Life Insurance Company Ltd is an India-based life insurance company. The Company provides a range of individual and group insurance solutions across India. The portfolio comprises of various insurance and investment products such as protection, pension, savings, investment, annuity, and health. The Company offers long term savings, protection and retirement or pension products. The Company operates in three segments: participating (Par) segment products includes endowment, savings cum protection and pension plans; non-participating (Non Par) segment products includes term protection, savings cum protection, immediate and deferred annuity and health plans under Individual business and credit life, term life, fund based pension, group variable plans under Group business; and unit-linked (UL) product includes Unit Linked Life and fund-based Pension plans under Individual and Group businesses. Exide Life Insurance Company Ltd is the subsidiary of the Company.</v>
    <v>37526</v>
    <v>National Stock Exchange of India</v>
    <v>XNSE</v>
    <v>XNSE</v>
    <v>12th Floor, Lodha Excelus, Apollo Mills Compound, N.M. Joshi Road, Mahalaxmi, MUMBAI, MAHARASHTRA, 400011 IN</v>
    <v>755</v>
    <v>Insurance</v>
    <v>Stock</v>
    <v>46017.492881944447</v>
    <v>429</v>
    <v>745.65</v>
    <v>1629347000000</v>
    <v>HDFC LIFE INSURANCE COMPANY LIMITED</v>
    <v>HDFC LIFE INSURANCE COMPANY LIMITED</v>
    <v>753</v>
    <v>85.89</v>
    <v>755.35</v>
    <v>748.45</v>
    <v>2157076000</v>
    <v>HDFCLIFE</v>
    <v>HDFC LIFE INSURANCE COMPANY LIMITED (XNSE:HDFCLIFE)</v>
    <v>1655497</v>
    <v>1584650</v>
    <v>2000</v>
  </rv>
  <rv s="2">
    <v>430</v>
  </rv>
  <rv s="0">
    <v>https://www.bing.com/financeapi/forcetrigger?t=ahh5pr&amp;q=XNSE%3aBEL&amp;form=skydnc</v>
    <v>Learn more on Bing</v>
  </rv>
  <rv s="1">
    <v>en-US</v>
    <v>ahh5pr</v>
    <v>268435456</v>
    <v>1</v>
    <v>Powered by Refinitiv</v>
    <v>0</v>
    <v>BHARAT ELECTRONICS LIMITED (XNSE:BEL)</v>
    <v>2</v>
    <v>3</v>
    <v>Finance</v>
    <v>4</v>
    <v>436</v>
    <v>240.25</v>
    <v>1.1222000000000001</v>
    <v>-1.55</v>
    <v>-3.875E-3</v>
    <v>INR</v>
    <v>Bharat Electronics Limited is an India-based company, which manufactures and supplies electronic equipment and systems for the defense sector as well as for non-defense markets. It manufactures electronic products and systems for the army, navy, and the air force. Its defense products include radar and fire control systems, weapon systems, communication, network centric systems (c4i), electronic warfare systems, avionics, anti-submarine warfare systems &amp; sonars, electro-optics, tank electronics, gun upgrades, strategic components, and others. Its non-defense products include electronic voting machines, software solutions / services, healthcare solutions, civil aviation and solar cells/power plants, railway / metro / airport solutions, space electronics and systems, alternate energy solutions, secure communication solutions. It also offers software, electronic manufacturing services and cybersecurity. Its subsidiaries include BEL Optronic Devices Ltd. and BEL-THALES Systems Ltd.</v>
    <v>8844</v>
    <v>National Stock Exchange of India</v>
    <v>XNSE</v>
    <v>XNSE</v>
    <v>Outer Ring Road, Nagavara, BANGALORE, KARNATAKA, 560045 IN</v>
    <v>407.55</v>
    <v>Aerospace &amp; Defense</v>
    <v>Stock</v>
    <v>46017.49287037037</v>
    <v>432</v>
    <v>397.15</v>
    <v>2923912000000</v>
    <v>BHARAT ELECTRONICS LIMITED</v>
    <v>BHARAT ELECTRONICS LIMITED</v>
    <v>403</v>
    <v>51.1496</v>
    <v>400</v>
    <v>398.45</v>
    <v>7309779000</v>
    <v>BEL</v>
    <v>BHARAT ELECTRONICS LIMITED (XNSE:BEL)</v>
    <v>13284184</v>
    <v>8898880</v>
    <v>1954</v>
  </rv>
  <rv s="2">
    <v>433</v>
  </rv>
  <rv s="0">
    <v>https://www.bing.com/financeapi/forcetrigger?t=ahhn1h&amp;q=XNSE%3aEICHERMOT&amp;form=skydnc</v>
    <v>Learn more on Bing</v>
  </rv>
  <rv s="1">
    <v>en-US</v>
    <v>ahhn1h</v>
    <v>268435456</v>
    <v>1</v>
    <v>Powered by Refinitiv</v>
    <v>0</v>
    <v>EICHER MOTORS LIMITED (XNSE:EICHERMOT)</v>
    <v>2</v>
    <v>3</v>
    <v>Finance</v>
    <v>4</v>
    <v>7360</v>
    <v>4646</v>
    <v>0.57340000000000002</v>
    <v>11.5</v>
    <v>1.573E-3</v>
    <v>INR</v>
    <v>Eicher Motors Limited is an India-based multinational automobile company. The Company is engaged in the manufacturing and selling of motorcycles, spare parts and related services. The Company primarily operates in the automotive segment. The automotive segment includes all activities related to development, design, manufacture, assembly and sale of two-wheelers as well as sale of related parts and accessories. Its flagship brand Royal Enfield, which is engaged in motorcycle business. Royal Enfield's motorcycle products include Interceptor 650, Continental GT 650, Classic, Bullet and Himalayan. Royal Enfield's portfolio also includes apparels and motorcycle accessories, including protective riding apparel, riding accessories, protective seats, bodywork, controls, wheels, luggage and engine. Its commercial vehicle business is led by VE Commercial Vehicles. Its joint venture with AB Volvo, VE Commercial Vehicles Limited (VECV), includes a range of Eicher branded trucks and buses.</v>
    <v>3390</v>
    <v>National Stock Exchange of India</v>
    <v>XNSE</v>
    <v>XNSE</v>
    <v>Royal Enfield Global Headquarters, #296, Rajiv Gandhi Salai,, Sholinganallur, CHENNAI, TAMIL NADU, 600119 IN</v>
    <v>7360</v>
    <v>Automobiles &amp; Auto Parts</v>
    <v>Stock</v>
    <v>46017.492881944447</v>
    <v>435</v>
    <v>7274</v>
    <v>2005813000000</v>
    <v>EICHER MOTORS LIMITED</v>
    <v>EICHER MOTORS LIMITED</v>
    <v>7300</v>
    <v>39.320399999999999</v>
    <v>7312.5</v>
    <v>7324</v>
    <v>274299200</v>
    <v>EICHERMOT</v>
    <v>EICHER MOTORS LIMITED (XNSE:EICHERMOT)</v>
    <v>157706</v>
    <v>375840</v>
    <v>1982</v>
  </rv>
  <rv s="2">
    <v>436</v>
  </rv>
  <rv s="0">
    <v>https://www.bing.com/financeapi/forcetrigger?t=bvirr7&amp;q=XNSE%3aMAXHEALTH&amp;form=skydnc</v>
    <v>Learn more on Bing</v>
  </rv>
  <rv s="1">
    <v>en-US</v>
    <v>bvirr7</v>
    <v>268435456</v>
    <v>1</v>
    <v>Powered by Refinitiv</v>
    <v>0</v>
    <v>MAX HEALTHCARE INSTITUTE LIMITED (XNSE:MAXHEALTH)</v>
    <v>2</v>
    <v>3</v>
    <v>Finance</v>
    <v>4</v>
    <v>1314.3</v>
    <v>940.05</v>
    <v>0.81920000000000004</v>
    <v>-7.1</v>
    <v>-6.5659999999999998E-3</v>
    <v>INR</v>
    <v>Max Healthcare Institute Limited is an India-based integrated healthcare provider. The Company operates through a single segment, namely Medical and Healthcare Services. It provides a wide array of services, including advanced cardiac care, lung transplants, prostate laser surgery, orthopedics, oncology, neurosciences, transplants, minimal access metabolic and bariatric surgery, and other services, including obstetrics and gynecology, pediatrics and nephrology. The Company also provides outpatient services, including consultations for a range of ailments, preventive health screenings, and laboratory services, as well as radiology, imaging, and emergency services. The Company has two strategic business units (SBUs): Max Lab and Max@Home. The Company owns and operates approximately 22 healthcare facilities across the Delhi NCR, Haryana, Punjab, Uttarakhand, Maharashtra, and Uttar Pradesh. It also offers diagnostic services to patients outside its network.</v>
    <v>15114</v>
    <v>National Stock Exchange of India</v>
    <v>XNSE</v>
    <v>XNSE</v>
    <v>2nd Floor, Capital Cyberscape,, Sector-59,, GURGAON, HARYANA, 122011 IN</v>
    <v>1083.3</v>
    <v>Healthcare Providers &amp; Services</v>
    <v>Stock</v>
    <v>46017.492893518516</v>
    <v>438</v>
    <v>1068.4000000000001</v>
    <v>1051953000000</v>
    <v>MAX HEALTHCARE INSTITUTE LIMITED</v>
    <v>MAX HEALTHCARE INSTITUTE LIMITED</v>
    <v>1081.5</v>
    <v>77.650000000000006</v>
    <v>1081.4000000000001</v>
    <v>1074.3</v>
    <v>972769300</v>
    <v>MAXHEALTH</v>
    <v>MAX HEALTHCARE INSTITUTE LIMITED (XNSE:MAXHEALTH)</v>
    <v>1266460</v>
    <v>2366970</v>
    <v>2001</v>
  </rv>
  <rv s="2">
    <v>439</v>
  </rv>
  <rv s="0">
    <v>https://www.bing.com/financeapi/forcetrigger?t=ahhyrw&amp;q=XNSE%3aGRASIM&amp;form=skydnc</v>
    <v>Learn more on Bing</v>
  </rv>
  <rv s="1">
    <v>en-US</v>
    <v>ahhyrw</v>
    <v>268435456</v>
    <v>1</v>
    <v>Powered by Refinitiv</v>
    <v>0</v>
    <v>GRASIM INDUSTRIES LTD (XNSE:GRASIM)</v>
    <v>2</v>
    <v>3</v>
    <v>Finance</v>
    <v>4</v>
    <v>2977.8</v>
    <v>2276.9499999999998</v>
    <v>1.1064000000000001</v>
    <v>-9.1999999999999993</v>
    <v>-3.2540000000000004E-3</v>
    <v>INR</v>
    <v>Grasim Industries Limited is an India-based producer of cellulosic fibers, diversified chemicals, fashion yarn and fabrics producer. Its segments include Cellulosic Fibres, Chemicals, Building Material, Financial Service and Others. Its Cellulosic Fibres segment includes cellulosic staple fiber (CSF) and cellulosic fashion yarn (CFY). The Chemical segment includes chlor alkali, specialty chemicals and chlorine derivatives. The Building Material segment includes cement, paints and business to business (B2B) e-commerce businesses. The Others segment includes textiles, insulators and renewable power business. Its chlor-alkali business is engaged in the production of caustic soda, wide array of chlorine derivatives and specialty chemicals like epoxy polymers and curing agents. Its cement products include grey cement, white cement, ready mix concrete and wall putty products. Birla Pivot, the Company's the B2B e-commerce business unit, offers integrated procurement solutions.</v>
    <v>27327</v>
    <v>National Stock Exchange of India</v>
    <v>XNSE</v>
    <v>XNSE</v>
    <v>Aditya Birla Centre, A Wing, 2nd Floor, S. K. Ahire Marg, MUMBAI, MAHARASHTRA, 400030 IN</v>
    <v>2840.4</v>
    <v>Construction Materials</v>
    <v>Stock</v>
    <v>46017.492881944447</v>
    <v>441</v>
    <v>2809.3</v>
    <v>1911656000000</v>
    <v>GRASIM INDUSTRIES LTD</v>
    <v>GRASIM INDUSTRIES LTD</v>
    <v>2828</v>
    <v>46.55</v>
    <v>2826.9</v>
    <v>2817.7</v>
    <v>678469800</v>
    <v>GRASIM</v>
    <v>GRASIM INDUSTRIES LTD (XNSE:GRASIM)</v>
    <v>506240</v>
    <v>552240</v>
    <v>1947</v>
  </rv>
  <rv s="2">
    <v>442</v>
  </rv>
  <rv s="0">
    <v>https://www.bing.com/financeapi/forcetrigger?t=ahgr6h&amp;q=XNSE%3aADANIPORTS&amp;form=skydnc</v>
    <v>Learn more on Bing</v>
  </rv>
  <rv s="1">
    <v>en-US</v>
    <v>ahgr6h</v>
    <v>268435456</v>
    <v>1</v>
    <v>Powered by Refinitiv</v>
    <v>0</v>
    <v>ADANI PORTS AND SPECIAL ECONOMIC ZONE LIMITED (XNSE:ADANIPORTS)</v>
    <v>2</v>
    <v>3</v>
    <v>Finance</v>
    <v>4</v>
    <v>1549</v>
    <v>1010.75</v>
    <v>1.4205000000000001</v>
    <v>-7.2</v>
    <v>-4.8180000000000002E-3</v>
    <v>INR</v>
    <v>Adani Ports and Special Economic Zone Limited is an India-based integrated ports and logistics company. The Company's segments include port and special economic zone (SEZ) activities, and other. The port and SEZ activities segment, which includes developing, operating and maintaining the port services, port related infrastructure development activities and development of infrastructure in a contiguous special economic zone. The Other Segment mainly includes Aircraft Operating Income, Warehousing and transportation of food grains. Its presence across 13 domestic ports in seven maritime states of Gujarat, Maharashtra, Goa, Kerala, Andhra Pradesh, Tamil Nadu and Odisha. The ports are equipped to handle diverse cargos, from dry cargo, liquid cargo, and crude to containers. Its ports &amp; terminals include Gangavaram Port, Karaikal Port, Krishnapatnam Port, Mundra Port, Gopalpur Port, and others. It also owns NQXT, a natural deep-water, multi-user export terminal.</v>
    <v>3118</v>
    <v>National Stock Exchange of India</v>
    <v>XNSE</v>
    <v>XNSE</v>
    <v>Adani Corporate House, Shantigram, Near Vaishno Devi Circle, S. G. Highway, Khodiyar, AHMEDABAD, GUJARAT, 382421 IN</v>
    <v>1501.4</v>
    <v>Transport Infrastructure</v>
    <v>Stock</v>
    <v>46017.49287037037</v>
    <v>444</v>
    <v>1485</v>
    <v>3442806000000</v>
    <v>ADANI PORTS AND SPECIAL ECONOMIC ZONE LIMITED</v>
    <v>ADANI PORTS AND SPECIAL ECONOMIC ZONE LIMITED</v>
    <v>1499.6</v>
    <v>26.8675</v>
    <v>1494.3</v>
    <v>1487.1</v>
    <v>2303959000</v>
    <v>ADANIPORTS</v>
    <v>ADANI PORTS AND SPECIAL ECONOMIC ZONE LIMITED (XNSE:ADANIPORTS)</v>
    <v>876540</v>
    <v>1086440</v>
    <v>1998</v>
  </rv>
  <rv s="2">
    <v>445</v>
  </rv>
  <rv s="0">
    <v>https://www.bing.com/financeapi/forcetrigger?t=ahj8rw&amp;q=XNSE%3aNTPC&amp;form=skydnc</v>
    <v>Learn more on Bing</v>
  </rv>
  <rv s="1">
    <v>en-US</v>
    <v>ahj8rw</v>
    <v>268435456</v>
    <v>1</v>
    <v>Powered by Refinitiv</v>
    <v>0</v>
    <v>NTPC LIMITED (XNSE:NTPC)</v>
    <v>2</v>
    <v>3</v>
    <v>Finance</v>
    <v>4</v>
    <v>371.45</v>
    <v>292.8</v>
    <v>1.1355</v>
    <v>1.55</v>
    <v>4.8050000000000002E-3</v>
    <v>INR</v>
    <v>NTPC Limited is an India-based power generating company. The Company is involved in the generation and sale of bulk power to State Power Utilities. Its segments include Generation of energy and Others. Its generation of energy segment is engaged in generation and sale of bulk power to state power utilities. Its other segment is focused on providing consultancy, project management and supervision, energy trading, oil and gas exploration, and coal mining. The Company operates power stations across various Indian states, either independently or through its joint ventures (JVs) and subsidiaries. Its subsidiaries include NTPC Vidyut Vyapar Nigam Limited, NTPC Electric Supply Company Limited, Bhartiya Rail Bijlee Company Limited, Patratu Vidyut Utpadan Nigam Limited, NTPC Mining Limited, North Eastern Electric Power Corporation Limited, THDC India Limited, NTPC EDMC Waste Solutions Private Limited, NTPC Green Energy Limited, and Ratnagiri Gas and Power Private Limited.</v>
    <v>16646</v>
    <v>National Stock Exchange of India</v>
    <v>XNSE</v>
    <v>XNSE</v>
    <v>NTPC Bhawan, SCOPE Complex, Institutional Area, Lodhi Road, NEW DELHI, DELHI, 110003 IN</v>
    <v>325.75</v>
    <v>Electrical Utilities &amp; IPPs</v>
    <v>Stock</v>
    <v>46017.492893518516</v>
    <v>447</v>
    <v>322.3</v>
    <v>3142690000000</v>
    <v>NTPC LIMITED</v>
    <v>NTPC LIMITED</v>
    <v>322.55</v>
    <v>13.17</v>
    <v>322.55</v>
    <v>324.10000000000002</v>
    <v>9696666000</v>
    <v>NTPC</v>
    <v>NTPC LIMITED (XNSE:NTPC)</v>
    <v>4174183</v>
    <v>6809950</v>
    <v>1975</v>
  </rv>
  <rv s="2">
    <v>448</v>
  </rv>
  <rv s="0">
    <v>https://www.bing.com/financeapi/forcetrigger?t=ahjha2&amp;q=XNSE%3aPOWERGRID&amp;form=skydnc</v>
    <v>Learn more on Bing</v>
  </rv>
  <rv s="1">
    <v>en-US</v>
    <v>ahjha2</v>
    <v>268435456</v>
    <v>1</v>
    <v>Powered by Refinitiv</v>
    <v>0</v>
    <v>POWER GRID CORPORATION OF INDIA LIMITED (XNSE:POWERGRID)</v>
    <v>2</v>
    <v>3</v>
    <v>Finance</v>
    <v>4</v>
    <v>322</v>
    <v>247.3</v>
    <v>1.0143</v>
    <v>-2.6</v>
    <v>-9.7000000000000003E-3</v>
    <v>INR</v>
    <v>Power Grid Corporation of India Limited is an electric power transmission utility company. The Company is primarily engaged in the implementation, operation and maintenance of Inter-State Transmission System (ISTS), telecom and consultancy services as its business segments. The transmission business involves operating and maintaining its transmission assets to power supply for customers. It operates the telecom business through its wholly owned subsidiary, namely, POWERGRID Teleservices Limited under the brand name PowerTel. It provides consultancy solutions in the transmission, distribution and telecom sectors, including system studies, design, engineering, load dispatch, optical ground wire (OPGW) on intra-state transmission network, procurement management, operational &amp; maintenance and project management. Alongside, it provides consultancy for implementation of intra-state transmission network and smart grid projects, energy efficiency &amp; energy audit, capacity building assignments.</v>
    <v>9048</v>
    <v>National Stock Exchange of India</v>
    <v>XNSE</v>
    <v>XNSE</v>
    <v>Saudamini, Plot No.2, Sector 29, GURGAON, HARYANA, 122001 IN</v>
    <v>269.3</v>
    <v>Electrical Utilities &amp; IPPs</v>
    <v>Stock</v>
    <v>46017.492893518516</v>
    <v>450</v>
    <v>264.85000000000002</v>
    <v>2493027000000</v>
    <v>POWER GRID CORPORATION OF INDIA LIMITED</v>
    <v>POWER GRID CORPORATION OF INDIA LIMITED</v>
    <v>268</v>
    <v>16.236499999999999</v>
    <v>268.05</v>
    <v>265.45</v>
    <v>9300604000</v>
    <v>POWERGRID</v>
    <v>POWER GRID CORPORATION OF INDIA LIMITED (XNSE:POWERGRID)</v>
    <v>6029003</v>
    <v>9474700</v>
    <v>1989</v>
  </rv>
  <rv s="2">
    <v>451</v>
  </rv>
  <rv s="0">
    <v>https://www.bing.com/financeapi/forcetrigger?t=ahhedm&amp;q=XNSE%3aCIPLA&amp;form=skydnc</v>
    <v>Learn more on Bing</v>
  </rv>
  <rv s="1">
    <v>en-US</v>
    <v>ahhedm</v>
    <v>268435456</v>
    <v>1</v>
    <v>Powered by Refinitiv</v>
    <v>0</v>
    <v>CIPLA LIMITED (XNSE:CIPLA)</v>
    <v>2</v>
    <v>3</v>
    <v>Finance</v>
    <v>4</v>
    <v>1673</v>
    <v>1332.35</v>
    <v>0.43120000000000003</v>
    <v>9.6999999999999993</v>
    <v>6.483E-3</v>
    <v>INR</v>
    <v>Cipla Limited is an India-based global pharmaceutical company. The Company is engaged in manufacturing, developing and marketing a wide range of branded and generic formulations and Active Pharmaceutical Ingredients (APIs). The Company operates through two segments: Pharmaceuticals and New ventures. The Pharmaceuticals segment is engaged in developing, manufacturing, selling, and distributing generic or branded generic medicines, as well as Active Pharmaceutical Ingredients (API). The New ventures segment includes the operations of the Company, a consumer healthcare, Biosimilars and specialty business. Its product portfolio spans complex generics, as well as drugs in the respiratory, anti-retroviral, urology, cardiology, anti-infective and central nervous system (CNS). Its geographical segments include India, the United States, South Africa, and the Rest of the World. It has its network of manufacturing, trading and other incidental operations in India and International markets.</v>
    <v>30313</v>
    <v>National Stock Exchange of India</v>
    <v>XNSE</v>
    <v>XNSE</v>
    <v>Cipla House, Peninsula Business Park, Ganpatrao Kadam Marg, Lower Parel,, MUMBAI, MAHARASHTRA, 400013 IN</v>
    <v>1510.9</v>
    <v>Pharmaceuticals</v>
    <v>Stock</v>
    <v>46017.492881944447</v>
    <v>453</v>
    <v>1494</v>
    <v>1208669000000</v>
    <v>CIPLA LIMITED</v>
    <v>CIPLA LIMITED</v>
    <v>1496.3</v>
    <v>22.21</v>
    <v>1496.3</v>
    <v>1506</v>
    <v>807771800</v>
    <v>CIPLA</v>
    <v>CIPLA LIMITED (XNSE:CIPLA)</v>
    <v>951555</v>
    <v>865580</v>
    <v>1935</v>
  </rv>
  <rv s="2">
    <v>454</v>
  </rv>
  <rv s="0">
    <v>https://www.bing.com/financeapi/forcetrigger?t=ahiism&amp;q=XNSE%3aJSWSTEEL&amp;form=skydnc</v>
    <v>Learn more on Bing</v>
  </rv>
  <rv s="1">
    <v>en-US</v>
    <v>ahiism</v>
    <v>268435456</v>
    <v>1</v>
    <v>Powered by Refinitiv</v>
    <v>0</v>
    <v>JSW Steel Limited (XNSE:JSWSTEEL)</v>
    <v>2</v>
    <v>3</v>
    <v>Finance</v>
    <v>4</v>
    <v>1223.9000000000001</v>
    <v>880</v>
    <v>0.80959999999999999</v>
    <v>3.1</v>
    <v>2.8410000000000002E-3</v>
    <v>INR</v>
    <v>JSW Steel Limited is an India-based company, which is engaged in the business of manufacturing steel products. The Company's steel types include flat and long products. Its flat products include hot rolled, cold rolled, color coated products, galvanized, and galvalume. The Company's long products include TMT bars, wire rods, special alloy steel and grinding media. The Company's brands include JSW Silveron+, JSW Everglow, JSW Colouron+, JSW Pragati+, JSW Vishwas, JSW Galvos, JSW Galveco, JSW Platina, JSW Neosteel, JSW Trusteel, JSW Avante and JSW Radiance. It has a strategic collaboration with JFE Steel of Japan, enabling it to access technologies to produce &amp; offer special steel products to its customers. These products are extensively used across various industries and applications. It has manufacturing facilities located at Vijayanagar works in Karnataka, Dolvi works in Maharashtra and Salem works in Tamil Nadu, Raigarh Works in Chhattisgarh and also in the United States and Italy.</v>
    <v>15793</v>
    <v>National Stock Exchange of India</v>
    <v>XNSE</v>
    <v>XNSE</v>
    <v>JSW Centre, Bandra-Kurla Complex, Bandra East, MUMBAI, MAHARASHTRA, 400051 IN</v>
    <v>1099.7</v>
    <v>Metals &amp; Mining</v>
    <v>Stock</v>
    <v>46017.492881944447</v>
    <v>456</v>
    <v>1082</v>
    <v>2665552000000</v>
    <v>JSW Steel Limited</v>
    <v>JSW Steel Limited</v>
    <v>1092.0999999999999</v>
    <v>44.307699999999997</v>
    <v>1091.3</v>
    <v>1094.4000000000001</v>
    <v>2442547000</v>
    <v>JSWSTEEL</v>
    <v>JSW Steel Limited (XNSE:JSWSTEEL)</v>
    <v>1317269</v>
    <v>1144410</v>
    <v>1994</v>
  </rv>
  <rv s="2">
    <v>457</v>
  </rv>
  <rv s="0">
    <v>https://www.bing.com/financeapi/forcetrigger?t=ahk6a2&amp;q=XNSE%3aSUNPHARMA&amp;form=skydnc</v>
    <v>Learn more on Bing</v>
  </rv>
  <rv s="1">
    <v>en-US</v>
    <v>ahk6a2</v>
    <v>268435456</v>
    <v>1</v>
    <v>Powered by Refinitiv</v>
    <v>0</v>
    <v>SUN PHARMACEUTICAL INDUSTRIES LIMITED (XNSE:SUNPHARMA)</v>
    <v>2</v>
    <v>3</v>
    <v>Finance</v>
    <v>4</v>
    <v>1910</v>
    <v>1548</v>
    <v>0.81950000000000001</v>
    <v>-17.5</v>
    <v>-1.0075000000000001E-2</v>
    <v>INR</v>
    <v>Sun Pharmaceutical Industries Limited is an India-based specialty generic pharmaceutical company with a presence in specialty, generics and consumer healthcare products. The Company's global specialty portfolio spans products in dermatology, ophthalmology, and onco-dermatologym, among others. The Company manufactures and markets a large basket of pharmaceutical formulations across chronic and acute therapies, including generic, branded generics, specialty and complex products, over-the-counter (OTC), antiretrovirals (ARV), Active Pharmaceutical Ingredients (API), and intermediates. Its portfolio spans multiple dosage forms, such as tablets, capsules, injectables, inhalers, ointments, creams, and liquids. Its marketed specialty portfolio includes Ilumya/ Ilumetri, Winlevi, Levulan Kerastick + BLU-U, Absorica LD, Odomzo, Cequa, Bromsite, Xelpros, and others. Its portfolio also includes UNLOXCYTTM, an anti-PD-L1 treatment for advanced cutaneous squamous cell carcinoma.</v>
    <v>43000</v>
    <v>National Stock Exchange of India</v>
    <v>XNSE</v>
    <v>XNSE</v>
    <v>Sun House,, CTS No. 201 B/1,, Western Express Highway,Goregaon (E),, MUMBAI, MAHARASHTRA, 400063 IN</v>
    <v>1737</v>
    <v>Pharmaceuticals</v>
    <v>Stock</v>
    <v>46017.492905092593</v>
    <v>459</v>
    <v>1708</v>
    <v>4167645000000</v>
    <v>SUN PHARMACEUTICAL INDUSTRIES LIMITED</v>
    <v>SUN PHARMACEUTICAL INDUSTRIES LIMITED</v>
    <v>1737</v>
    <v>40.270000000000003</v>
    <v>1737</v>
    <v>1719.5</v>
    <v>2399335000</v>
    <v>SUNPHARMA</v>
    <v>SUN PHARMACEUTICAL INDUSTRIES LIMITED (XNSE:SUNPHARMA)</v>
    <v>2507337</v>
    <v>1861200</v>
    <v>1993</v>
  </rv>
  <rv s="2">
    <v>460</v>
  </rv>
  <rv s="0">
    <v>https://www.bing.com/financeapi/forcetrigger?t=ahh2gh&amp;q=XNSE%3aAXISBANK&amp;form=skydnc</v>
    <v>Learn more on Bing</v>
  </rv>
  <rv s="1">
    <v>en-US</v>
    <v>ahh2gh</v>
    <v>268435456</v>
    <v>1</v>
    <v>Powered by Refinitiv</v>
    <v>0</v>
    <v>Axis Bank Limited (XNSE:AXISBANK)</v>
    <v>2</v>
    <v>3</v>
    <v>Finance</v>
    <v>4</v>
    <v>1304</v>
    <v>933.5</v>
    <v>1.1559999999999999</v>
    <v>1.9</v>
    <v>1.549E-3</v>
    <v>INR</v>
    <v>Axis Bank Limited (the Bank) is a private sector bank. The Bank’s segments include Treasury, Retail Banking, Corporate/Wholesale Banking and Other Banking Business. Treasury operations include investments in sovereign and corporate debt, equity and mutual funds, trading operations, derivative trading and foreign exchange operations on the proprietary account and for customers. Retail Banking constitutes lending activities, along with liability products, card services, Internet banking, mobile banking, automated teller machine (ATM) services, depository, financial advisory services and non-resident Indian (NRI) services. Corporate/Wholesale Banking includes corporate relationships, advisory services, placements and syndication, project appraisals, capital market related services and cash management services. The other Banking Business includes para banking activities like third party product distribution and other banking transactions not covered under any of the above three segments.</v>
    <v>104453</v>
    <v>National Stock Exchange of India</v>
    <v>XNSE</v>
    <v>XNSE</v>
    <v>Axis House, C-2 Wadia International Centre, Pandurang Budhkar Marg, Worli, MUMBAI, MAHARASHTRA, 400025 IN</v>
    <v>1229.9000000000001</v>
    <v>Banking Services</v>
    <v>Stock</v>
    <v>46017.49287037037</v>
    <v>462</v>
    <v>1222</v>
    <v>3813550000000</v>
    <v>Axis Bank Limited</v>
    <v>Axis Bank Limited</v>
    <v>1225</v>
    <v>14.62</v>
    <v>1226.3</v>
    <v>1228.2</v>
    <v>3104991000</v>
    <v>AXISBANK</v>
    <v>Axis Bank Limited (XNSE:AXISBANK)</v>
    <v>1665983</v>
    <v>3960050</v>
    <v>1993</v>
  </rv>
  <rv s="2">
    <v>463</v>
  </rv>
  <rv s="0">
    <v>https://www.bing.com/financeapi/forcetrigger?t=ah89dm&amp;q=XBOM%3a500570&amp;form=skydnc</v>
    <v>Learn more on Bing</v>
  </rv>
  <rv s="1">
    <v>en-US</v>
    <v>ah89dm</v>
    <v>268435456</v>
    <v>1</v>
    <v>Powered by Refinitiv</v>
    <v>0</v>
    <v>TATA MOTORS PASSENGER VEHICLES LIMITED (XBOM:500570)</v>
    <v>2</v>
    <v>3</v>
    <v>Finance</v>
    <v>24</v>
    <v>488.98</v>
    <v>327.55</v>
    <v>1.0752999999999999</v>
    <v>-0.5</v>
    <v>-1.392E-3</v>
    <v>INR</v>
    <v>Tata Motors Passenger Vehicles Limited, formerly Tata Motors Limited, is an India-based company. The Company is engaged in the passenger vehicles business, including its investments in the electric vehicle business and Jaguar Land Rover (JLR) operations. Its portfolio, spanning multiple body styles and fuel types, caters to diverse mobility needs. Its passenger vehicles include Curvv, Nexon iCNG, Tiago &amp; Tigor 2025, Harrier &amp; Safari Stealth, Altroz, Punch, and others. The Company’s electric vehicles include Curvv.ev, Nexon.ev, Tiago.ev, Punch.ev, and Xpres-T.</v>
    <v>86259</v>
    <v>Bombay Stock Exchange</v>
    <v>XBOM</v>
    <v>XBOM</v>
    <v>A Block, Shivasagar Estate, Dr. Annie Besant Road, Worli, MUMBAI, MAHARASHTRA, 400018 IN</v>
    <v>360.45</v>
    <v>Automobiles &amp; Auto Parts</v>
    <v>Stock</v>
    <v>46017.520983796298</v>
    <v>465</v>
    <v>354.45</v>
    <v>1321221000000</v>
    <v>TATA MOTORS PASSENGER VEHICLES LIMITED</v>
    <v>TATA MOTORS PASSENGER VEHICLES LIMITED</v>
    <v>358.6</v>
    <v>16.260000000000002</v>
    <v>359.3</v>
    <v>358.8</v>
    <v>3682331000</v>
    <v>500570</v>
    <v>TATA MOTORS PASSENGER VEHICLES LIMITED (XBOM:500570)</v>
    <v>928040</v>
    <v>15897100</v>
    <v>1945</v>
  </rv>
  <rv s="2">
    <v>466</v>
  </rv>
  <rv s="0">
    <v>https://www.bing.com/financeapi/forcetrigger?t=ahgwsm&amp;q=XNSE%3aAPOLLOHOSP&amp;form=skydnc</v>
    <v>Learn more on Bing</v>
  </rv>
  <rv s="1">
    <v>en-US</v>
    <v>ahgwsm</v>
    <v>268435456</v>
    <v>1</v>
    <v>Powered by Refinitiv</v>
    <v>0</v>
    <v>APOLLO HOSPITALS ENTERPRISE LIMITED (XNSE:APOLLOHOSP)</v>
    <v>2</v>
    <v>3</v>
    <v>Finance</v>
    <v>4</v>
    <v>8099.5</v>
    <v>6001</v>
    <v>0.83599999999999997</v>
    <v>-16</v>
    <v>-2.2309999999999999E-3</v>
    <v>INR</v>
    <v>Apollo Hospitals Enterprise Limited is an integrated healthcare company. It is engaged in the business of providing hospital services and selling pharma and wellness products through a network of pharmacies, including the operation of multidisciplinary private hospitals, clinics, diagnostic centers and pharmacies. It is engaged in hospitals and hospitals-based services. The Company's segments include Healthcare Services, Retail Health and Diagnostics, Digital Health and Pharmacy Distribution, and Others. Retail Health and Diagnostics segment includes clinics and diagnostics. Digital Health and Pharmacy Distribution segment is engaged in the business of procurement and distribution of pharmaceuticals, fast-moving consumer goods and private label products business from various services using the digital platform. The Company has approximately 10,000 plus beds across 73 hospitals, 5000 plus pharmacies and 378 plus clinics and diagnostic centers, as well as 200 telemedicine centers.</v>
    <v>42497</v>
    <v>National Stock Exchange of India</v>
    <v>XNSE</v>
    <v>XNSE</v>
    <v>"Ali Towers" Ill Floor, #55, Greams Road, CHENNAI, TAMIL NADU, 600006 IN</v>
    <v>7202</v>
    <v>Healthcare Providers &amp; Services</v>
    <v>Stock</v>
    <v>46017.49287037037</v>
    <v>468</v>
    <v>7131.5</v>
    <v>1031224000000</v>
    <v>APOLLO HOSPITALS ENTERPRISE LIMITED</v>
    <v>APOLLO HOSPITALS ENTERPRISE LIMITED</v>
    <v>7182</v>
    <v>61.68</v>
    <v>7172</v>
    <v>7156</v>
    <v>143784700</v>
    <v>APOLLOHOSP</v>
    <v>APOLLO HOSPITALS ENTERPRISE LIMITED (XNSE:APOLLOHOSP)</v>
    <v>228172</v>
    <v>322320</v>
    <v>1979</v>
  </rv>
  <rv s="2">
    <v>469</v>
  </rv>
  <rv s="0">
    <v>https://www.bing.com/financeapi/forcetrigger?t=ahktm7&amp;q=NIFTY+NEXT+50&amp;form=skydnc</v>
    <v>Learn more on Bing</v>
  </rv>
  <rv s="13">
    <v>en-US</v>
    <v>ahktm7</v>
    <v>268435456</v>
    <v>1</v>
    <v>Powered by Refinitiv</v>
    <v>21</v>
    <v>NIFTY NEXT 50</v>
    <v>16</v>
    <v>22</v>
    <v>Finance</v>
    <v>23</v>
    <v>70551.149999999994</v>
    <v>56192.45</v>
    <v>3.8</v>
    <v>5.5110000000000006E-5</v>
    <v>IN</v>
    <v>69301.55</v>
    <v>Index</v>
    <v>471</v>
    <v>68810.8</v>
    <v>NIFTY NEXT 50</v>
    <v>68987.55</v>
    <v>68957.25</v>
    <v>68961.05</v>
    <v>NIFTYNEXT50</v>
    <v>NIFTY NEXT 50</v>
  </rv>
  <rv s="2">
    <v>472</v>
  </rv>
  <rv s="0">
    <v>https://www.bing.com/financeapi/forcetrigger?t=ahh9sm&amp;q=XNSE%3aBRITANNIA&amp;form=skydnc</v>
    <v>Learn more on Bing</v>
  </rv>
  <rv s="1">
    <v>en-US</v>
    <v>ahh9sm</v>
    <v>268435456</v>
    <v>1</v>
    <v>Powered by Refinitiv</v>
    <v>0</v>
    <v>BRITANNIA INDUSTRIES LTD (XNSE:BRITANNIA)</v>
    <v>2</v>
    <v>3</v>
    <v>Finance</v>
    <v>4</v>
    <v>6336</v>
    <v>4506</v>
    <v>0.89629999999999999</v>
    <v>2.5</v>
    <v>4.1459999999999999E-4</v>
    <v>INR</v>
    <v>Britannia Industries Limited is an India-based food products company. The Company is primarily involved in manufacturing and selling various food products. The Company's product categories include biscuits, dairy, snacking, cakes, rusk, breads and nutritious bars. The Company's dairy products include cheese, Winkin' Cow, Come Alive Paneer, Come Alive Dahi, ghee and Dairy Whitener. The Company's dairy products include cheese, Winkin' Cow, Come Alive Paneer, Come Alive Dahi, Ghee and Dairy Whitener. Its bread products include gourmet breads, white bread and wheat flour breads. Its gourmet breads include Fruit Bun, Fruit Bread, Choco bread and Choco Bun. Its white breads include Vitarich Bread, Sweet Bread, Vitarich Bread, Milk Bread and Sandwich Bread. Its cake products include Gobbles, Muffils, Nuts and Raisin Romance Cake, Roll Yo!, and Tiffin Fun. Its snacking products include Treat Croissant, Treat Creme Wafers and Time Pass Salted Snacks.</v>
    <v>5792</v>
    <v>National Stock Exchange of India</v>
    <v>XNSE</v>
    <v>XNSE</v>
    <v>Floor No 16 and 17, Tower C,, Prestige Shantiniketan, The Business Precinct,, Whitefield Main Road, Mahadevapura Post, BANGALORE, KARNATAKA, 660048 IN</v>
    <v>6069.5</v>
    <v>Food &amp; Tobacco</v>
    <v>Stock</v>
    <v>46017.49287037037</v>
    <v>474</v>
    <v>6002</v>
    <v>1452436000000</v>
    <v>BRITANNIA INDUSTRIES LTD</v>
    <v>BRITANNIA INDUSTRIES LTD</v>
    <v>6006.5</v>
    <v>62.719000000000001</v>
    <v>6030</v>
    <v>6032.5</v>
    <v>240868300</v>
    <v>BRITANNIA</v>
    <v>BRITANNIA INDUSTRIES LTD (XNSE:BRITANNIA)</v>
    <v>65992</v>
    <v>204440</v>
    <v>1918</v>
  </rv>
  <rv s="2">
    <v>475</v>
  </rv>
  <rv s="0">
    <v>https://www.bing.com/financeapi/forcetrigger?t=ahigoc&amp;q=XNSE%3aJINDALSTEL&amp;form=skydnc</v>
    <v>Learn more on Bing</v>
  </rv>
  <rv s="1">
    <v>en-US</v>
    <v>ahigoc</v>
    <v>268435456</v>
    <v>1</v>
    <v>Powered by Refinitiv</v>
    <v>0</v>
    <v>JINDAL STEEL LIMITED (XNSE:JINDALSTEL)</v>
    <v>2</v>
    <v>3</v>
    <v>Finance</v>
    <v>4</v>
    <v>1098</v>
    <v>723.35</v>
    <v>0.94350000000000001</v>
    <v>-12.5</v>
    <v>-1.2513000000000002E-2</v>
    <v>INR</v>
    <v>Jindal Steel Limited is an India-based integrated steel producer. The Company produces high-quality steel products. Its integrated operations empower it to deliver high-quality steel products, tailored to the requirements of critical applications across sectors. The Company is engaged in the steel, mining, and infrastructure sectors. Its long products include TMT rebars (Jindal Panther), Cut &amp; bend rebars, Wire rods, Round bars, Structural sections, and Rails. Its flat products include Hot rolled coils (HSM), Cold rolled coils (CRM), Plates &amp; coils, Rockhard plates, Sheet piles and Speedfloor system. Its semi-finished and special profile products include Cathode bars, Fabricated sections, and Track shoes. HSM enables the production of hot-rolled coils used in infrastructure, general fabrication, pipelines and construction equipment. Its manufacturing facilities are strategically located in Raigarh and Raipur (Chhattisgarh), Angul and Barbil (Odisha) and Patratu (Jharkhand).</v>
    <v>5918</v>
    <v>National Stock Exchange of India</v>
    <v>XNSE</v>
    <v>XNSE</v>
    <v>Jindal Centre, 12 Bhikaiji Cama Place, NEW DELHI, DELHI, 110066 IN</v>
    <v>999</v>
    <v>Metals &amp; Mining</v>
    <v>Stock</v>
    <v>46017.492881944447</v>
    <v>477</v>
    <v>985.4</v>
    <v>1016471000000</v>
    <v>JINDAL STEEL LIMITED</v>
    <v>JINDAL STEEL LIMITED</v>
    <v>997.9</v>
    <v>36.770000000000003</v>
    <v>999</v>
    <v>986.5</v>
    <v>1017488000</v>
    <v>JINDALSTEL</v>
    <v>JINDAL STEEL LIMITED (XNSE:JINDALSTEL)</v>
    <v>780164</v>
    <v>1027180</v>
    <v>1979</v>
  </rv>
  <rv s="2">
    <v>478</v>
  </rv>
  <rv s="0">
    <v>https://www.bing.com/financeapi/forcetrigger?t=ahkjtc&amp;q=XNSE%3aVEDL&amp;form=skydnc</v>
    <v>Learn more on Bing</v>
  </rv>
  <rv s="1">
    <v>en-US</v>
    <v>ahkjtc</v>
    <v>268435456</v>
    <v>1</v>
    <v>Powered by Refinitiv</v>
    <v>0</v>
    <v>Vedanta Limited (XNSE:VEDL)</v>
    <v>2</v>
    <v>3</v>
    <v>Finance</v>
    <v>4</v>
    <v>607.9</v>
    <v>363</v>
    <v>1.1357999999999999</v>
    <v>2.8</v>
    <v>4.6810000000000003E-3</v>
    <v>INR</v>
    <v>Vedanta Limited is an India-based company, which specializes in critical minerals, energy transition metals, power, and technology, with operations spanning India, South Africa, Namibia, Liberia, United Arab Emirates, Saudi Arabia, Korea, Taiwan and Japan. Its segments include Zinc, Lead and Silver - India; Zinc - International; Oil &amp; Gas; Aluminium; Copper; Iron Ore; Power and Others. Zinc, Lead and Silver - India segment consists of mining of ore, manufacturing of zinc and lead ingots and silver, both from own mining and purchased concentrate. Zinc - International segment consists of exploration, mining, treatment and production of zinc, lead, copper and associated mineral concentrates for sale. Oil &amp; Gas segment consists of exploration, development and production of oil and gas. Aluminium segment consists of mining of bauxite and manufacturing of alumina and various aluminum products. Iron ore segment consists of mining of ore and manufacturing of pig iron and metallurgical coke.</v>
    <v>8354</v>
    <v>National Stock Exchange of India</v>
    <v>XNSE</v>
    <v>XNSE</v>
    <v>1st Floor, C wing, Unit 103, Corporate Avenue Atul Projects, Chakala, Andheri (East), MUMBAI, MAHARASHTRA, 400093 IN</v>
    <v>607.9</v>
    <v>Metals &amp; Mining</v>
    <v>Stock</v>
    <v>46017.492905092593</v>
    <v>480</v>
    <v>596.95000000000005</v>
    <v>2336060000000</v>
    <v>Vedanta Limited</v>
    <v>Vedanta Limited</v>
    <v>603.70000000000005</v>
    <v>20.32</v>
    <v>598.15</v>
    <v>600.95000000000005</v>
    <v>3905475000</v>
    <v>VEDL</v>
    <v>Vedanta Limited (XNSE:VEDL)</v>
    <v>12119491</v>
    <v>17935000</v>
    <v>1965</v>
  </rv>
  <rv s="2">
    <v>481</v>
  </rv>
  <rv s="0">
    <v>https://www.bing.com/financeapi/forcetrigger?t=ahh9h7&amp;q=XNSE%3aBPCL&amp;form=skydnc</v>
    <v>Learn more on Bing</v>
  </rv>
  <rv s="1">
    <v>en-US</v>
    <v>ahh9h7</v>
    <v>268435456</v>
    <v>1</v>
    <v>Powered by Refinitiv</v>
    <v>0</v>
    <v>BHARAT PETROLEUM CORPORATION LIMITED (XNSE:BPCL)</v>
    <v>2</v>
    <v>3</v>
    <v>Finance</v>
    <v>4</v>
    <v>381.55</v>
    <v>234.01</v>
    <v>1.375</v>
    <v>0.1</v>
    <v>2.7329999999999998E-4</v>
    <v>INR</v>
    <v>Bharat Petroleum Corporation Limited is an India-based company, which is engaged in the refining of crude oil and marketing of petroleum products. Its segments include Downstream Petroleum and Exploration &amp; Production of Hydrocarbons. Its businesses include fuels and services, Bharatgas, MAK lubricants, aviation services, gas, industrial and commercial, international trade, proficiency testing, and pipelines. It has a variety of product offerings, like petrol, diesel, automotive LPG and CNG along with premium petrol products like Speed and Speed 97. It offers specialized fuel station formats like Ghar, Highway Star, Pure for Sure, and other such services. MAK Lubricants provides lubricants and greases in India and international markets. It has refineries in Mumbai, Kochi and Bina, LPG bottling plants and Lube blending plants at various locations. Its marketing infrastructure includes a network of installations, depots, retail outlets, aviation fueling stations and LPG distributors.</v>
    <v>8747</v>
    <v>National Stock Exchange of India</v>
    <v>XNSE</v>
    <v>XNSE</v>
    <v>Bharat Bhavan, 4 &amp; 6, Currimbhoy Road, Ballard Estate, MUMBAI, MAHARASHTRA, 400001 IN</v>
    <v>368.2</v>
    <v>Oil &amp; Gas</v>
    <v>Stock</v>
    <v>46017.49287037037</v>
    <v>483</v>
    <v>361.7</v>
    <v>1587893000000</v>
    <v>BHARAT PETROLEUM CORPORATION LIMITED</v>
    <v>BHARAT PETROLEUM CORPORATION LIMITED</v>
    <v>365.45</v>
    <v>7.37</v>
    <v>365.9</v>
    <v>366</v>
    <v>4338505000</v>
    <v>BPCL</v>
    <v>BHARAT PETROLEUM CORPORATION LIMITED (XNSE:BPCL)</v>
    <v>2997958</v>
    <v>4799010</v>
    <v>1952</v>
  </rv>
  <rv s="2">
    <v>484</v>
  </rv>
  <rv s="0">
    <v>https://www.bing.com/financeapi/forcetrigger?t=ahi65r&amp;q=XNSE%3aHINDZINC&amp;form=skydnc</v>
    <v>Learn more on Bing</v>
  </rv>
  <rv s="1">
    <v>en-US</v>
    <v>ahi65r</v>
    <v>268435456</v>
    <v>1</v>
    <v>Powered by Refinitiv</v>
    <v>0</v>
    <v>HINDUSTAN ZINC LIMITED (XNSE:HINDZINC)</v>
    <v>2</v>
    <v>3</v>
    <v>Finance</v>
    <v>4</v>
    <v>646.5</v>
    <v>378.15</v>
    <v>0.42920000000000003</v>
    <v>12</v>
    <v>1.9205E-2</v>
    <v>INR</v>
    <v>Hindustan Zinc Limited is an India-based energy transition metals company. The Company is engaged in exploring, extracting and processing of minerals and manufacturing of metals and alloys. Its segments include Zinc, Lead and Silver, and Wind Energy. Its operations include five zinc-lead mines, four zinc smelters, one lead smelter, one zinc-lead smelter, eight sulfuric acid plants, one silver refinery plant, six captive thermal power plants and four captive solar plants in the state of Rajasthan. It also has a rock-phosphate mine in Matoon, near Udaipur in Rajasthan and zinc, lead, silver processing and refining facilities in the state of Uttarakhand. It also has wind power plants in the states of Rajasthan, Gujarat, Karnataka, Tamil Nadu and Maharashtra and solar power plants in the state of Rajasthan. It has expanded its critical minerals portfolio with two mineral blocks - one for potash and halite and the other for rare earth elements. Its EcoZen is a low carbon green zinc brand.</v>
    <v>3478</v>
    <v>National Stock Exchange of India</v>
    <v>XNSE</v>
    <v>XNSE</v>
    <v>Yashad Bhawan, UDAIPUR, RAJASTHAN, 313004 IN</v>
    <v>646.5</v>
    <v>Metals &amp; Mining</v>
    <v>Stock</v>
    <v>46017.492881944447</v>
    <v>486</v>
    <v>634</v>
    <v>2690895000000</v>
    <v>HINDUSTAN ZINC LIMITED</v>
    <v>HINDUSTAN ZINC LIMITED</v>
    <v>645</v>
    <v>25.02</v>
    <v>624.85</v>
    <v>636.85</v>
    <v>4225319000</v>
    <v>HINDZINC</v>
    <v>HINDUSTAN ZINC LIMITED (XNSE:HINDZINC)</v>
    <v>13459241</v>
    <v>17177670</v>
    <v>1966</v>
  </rv>
  <rv s="2">
    <v>487</v>
  </rv>
  <rv s="0">
    <v>https://www.bing.com/financeapi/forcetrigger?t=ahjg7w&amp;q=XNSE%3aPNB&amp;form=skydnc</v>
    <v>Learn more on Bing</v>
  </rv>
  <rv s="1">
    <v>en-US</v>
    <v>ahjg7w</v>
    <v>268435456</v>
    <v>1</v>
    <v>Powered by Refinitiv</v>
    <v>0</v>
    <v>Punjab National Bank (XNSE:PNB)</v>
    <v>2</v>
    <v>3</v>
    <v>Finance</v>
    <v>4</v>
    <v>127.8</v>
    <v>85.46</v>
    <v>1.5121</v>
    <v>-0.56000000000000005</v>
    <v>-4.6309999999999997E-3</v>
    <v>INR</v>
    <v>Punjab National Bank is an India-based bank. The Company's segments include Treasury, Corporate/Wholesale Banking, Retail Banking and Other Banking Operations. Its product categories include personal, corporate, international and capital services. Its personal products include deposit, loans, approved housing projects, accounts, insurance, government business, financial inclusion and priority sector. Its corporate products include corporate loans, forex services offered to exporter and importer, cash management services, and gold card scheme for exporters. The Company's international products include foreign exchange (FX) retail platform, Libor transition, schemes/products/services, non-resident Indian (NRI) services, help desk for forex services and world travel card. Its capital services include depository services, mutual funds, merchant banking and application supported by blocked amount. Its e-services include retail Internet banking, e-statement, SMS banking and point of sale.</v>
    <v>102746</v>
    <v>National Stock Exchange of India</v>
    <v>XNSE</v>
    <v>XNSE</v>
    <v>Plot No 4, Sector -10, Dwarka, NEW DELHI, DELHI, 110075 IN</v>
    <v>120.98</v>
    <v>Banking Services</v>
    <v>Stock</v>
    <v>46017.492893518516</v>
    <v>489</v>
    <v>119.45</v>
    <v>1389842000000</v>
    <v>Punjab National Bank</v>
    <v>Punjab National Bank</v>
    <v>120.77</v>
    <v>8.1218000000000004</v>
    <v>120.93</v>
    <v>120.37</v>
    <v>11492940000</v>
    <v>PNB</v>
    <v>Punjab National Bank (XNSE:PNB)</v>
    <v>8339634</v>
    <v>12905810</v>
    <v>1894</v>
  </rv>
  <rv s="2">
    <v>490</v>
  </rv>
  <rv s="0">
    <v>https://www.bing.com/financeapi/forcetrigger?t=bwg4cw&amp;q=XNSE%3aMAZDOCK&amp;form=skydnc</v>
    <v>Learn more on Bing</v>
  </rv>
  <rv s="1">
    <v>en-US</v>
    <v>bwg4cw</v>
    <v>268435456</v>
    <v>1</v>
    <v>Powered by Refinitiv</v>
    <v>0</v>
    <v>Mazagon Dock Shipbuilders Ltd (XNSE:MAZDOCK)</v>
    <v>2</v>
    <v>3</v>
    <v>Finance</v>
    <v>4</v>
    <v>3775</v>
    <v>1918.05</v>
    <v>1.8821000000000001</v>
    <v>1.1000000000000001</v>
    <v>4.3300000000000001E-4</v>
    <v>INR</v>
    <v>Mazagon Dock Shipbuilders Limited is an India-based shipbuilding yard company, which is principally engaged in the building and repairing of ships, submarines, various types of vessels, and related engineering products for its customers. It is also engaged in the production of defense equipment. The Company's segments include Shipbuilding (New Construction and Ship Repairs) and Submarine. Its Shipbuilding segment includes the building and repair of Naval ships. Its Submarine segment includes the building, repair and refits of diesel and electric submarines for the Indian Navy. It provides cargo ships, passenger ships, supply vessels, multipurpose support vessels, water tankers, tugs, dredgers, fishing trawlers, barges, and border outposts. The Company caters to both national and international customers in the defense sector as well as civil operations. It offers supply chain management, tug support, and yard services and berth facilities for repairs and refits of commercial vessels.</v>
    <v>6039</v>
    <v>National Stock Exchange of India</v>
    <v>XNSE</v>
    <v>XNSE</v>
    <v>Dockyard Road, MUMBAI, MAHARASHTRA, 400010 IN</v>
    <v>2628.7</v>
    <v>Aerospace &amp; Defense</v>
    <v>Stock</v>
    <v>46017.492893518516</v>
    <v>492</v>
    <v>2526.1999999999998</v>
    <v>1024706000000</v>
    <v>Mazagon Dock Shipbuilders Ltd</v>
    <v>Mazagon Dock Shipbuilders Ltd</v>
    <v>2540.3000000000002</v>
    <v>0</v>
    <v>2540.3000000000002</v>
    <v>2541.4</v>
    <v>403380000</v>
    <v>MAZDOCK</v>
    <v>Mazagon Dock Shipbuilders Ltd (XNSE:MAZDOCK)</v>
    <v>2591649</v>
    <v>891780</v>
    <v>1934</v>
  </rv>
  <rv s="2">
    <v>493</v>
  </rv>
  <rv s="0">
    <v>https://www.bing.com/financeapi/forcetrigger?t=ahj4p2&amp;q=XNSE%3aNAUKRI&amp;form=skydnc</v>
    <v>Learn more on Bing</v>
  </rv>
  <rv s="1">
    <v>en-US</v>
    <v>ahj4p2</v>
    <v>268435456</v>
    <v>1</v>
    <v>Powered by Refinitiv</v>
    <v>0</v>
    <v>INFO EDGE (INDIA) LIMITED (XNSE:NAUKRI)</v>
    <v>2</v>
    <v>3</v>
    <v>Finance</v>
    <v>4</v>
    <v>1825.78</v>
    <v>1157</v>
    <v>1.4080999999999999</v>
    <v>-1</v>
    <v>-7.316E-4</v>
    <v>INR</v>
    <v>Info Edge (India) Limited is an India-based company that is engaged in operating multiple Internet-based services through its various Web portals and mobile applications. Its segments include Recruitment Solutions, Real State- 99 acres, and Others. The Recruitment Solutions segment consists of Naukri and all other allied businesses, which provides hiring solutions for both business-to-business (B2B), and business-to-customers (B2C). The real State- 99 acres segment is focused on property listings, builders and brokers branding and visibility through micro-sites, home page links, and banners servicing real estate developers, builders and brokers. Other segment comprises Jeevansathi and Shiksha services. It operates in service verticals, which includes recruitment solutions through its brands naukri.com, iimjobs.com, hirist.com, ambitionbox.com, bigshyft.com, jobhai.com; in matrimonial services through its brand jeevansaathi.com, and in education services through its brand shiksha.com.</v>
    <v>5984</v>
    <v>National Stock Exchange of India</v>
    <v>XNSE</v>
    <v>XNSE</v>
    <v>B-8, Sector -132,, Noida, NOIDA, UTTAR PRADESH, 201304 IN</v>
    <v>1374</v>
    <v>Software &amp; IT Services</v>
    <v>Stock</v>
    <v>46017.492893518516</v>
    <v>495</v>
    <v>1359.5</v>
    <v>884907600000</v>
    <v>INFO EDGE (INDIA) LIMITED</v>
    <v>INFO EDGE (INDIA) LIMITED</v>
    <v>1364.5</v>
    <v>67.14</v>
    <v>1366.8</v>
    <v>1365.8</v>
    <v>647430200</v>
    <v>NAUKRI</v>
    <v>INFO EDGE (INDIA) LIMITED (XNSE:NAUKRI)</v>
    <v>371678</v>
    <v>644470</v>
    <v>1995</v>
  </rv>
  <rv s="2">
    <v>496</v>
  </rv>
  <rv s="0">
    <v>http://en.wikipedia.org/wiki/Canara_Bank</v>
    <v>Wikipedia</v>
  </rv>
  <rv s="4">
    <v>153</v>
    <v>498</v>
  </rv>
  <rv s="5">
    <v>12</v>
    <v>https://www.bing.com/th?id=AMMS_c85087fd4a4a5af8fc014bd99fcebd02&amp;qlt=95</v>
    <v>499</v>
    <v>0</v>
    <v>https://www.bing.com/images/search?form=xlimg&amp;q=canara+bank</v>
    <v>Image of THE CANARA BANK LIMITED</v>
  </rv>
  <rv s="0">
    <v>https://www.bing.com/financeapi/forcetrigger?t=ahhb77&amp;q=XNSE%3aCANBK&amp;form=skydnc</v>
    <v>Learn more on Bing</v>
  </rv>
  <rv s="6">
    <v>en-US</v>
    <v>ahhb77</v>
    <v>268435456</v>
    <v>1</v>
    <v>Powered by Refinitiv</v>
    <v>8</v>
    <v>THE CANARA BANK LIMITED (XNSE:CANBK)</v>
    <v>10</v>
    <v>11</v>
    <v>Finance</v>
    <v>4</v>
    <v>154.21</v>
    <v>78.599999999999994</v>
    <v>1.6438999999999999</v>
    <v>0.4</v>
    <v>2.673E-3</v>
    <v>INR</v>
    <v>The Canara Bank Limited (the Bank) is an India-based bank. The Bank’s segments include Treasury Operations, Retail Banking Operations, Wholesale Banking Operations, Life Insurance Operations and Other Banking Operations. Its Retail Banking Operations include Digital Banking and Other Retail Banking. Its products and services include personal banking and corporate banking. Its personal banking includes depository services, mutual funds, technology products, retail loan products, micro, small and medium enterprise loan products and card services. Its corporate banking includes accounts and deposits, supply chain finance management, syndication services and technology upgradation fund schemes, among others. It also offers the depository services. It offers unbanked rural people with basic savings deposit accounts, PMJDY Overdraft Facilities and credit facilities under products, such as differential rate of interest scheme, Kisan Credit Card Scheme and various other credit products.</v>
    <v>81260</v>
    <v>National Stock Exchange of India</v>
    <v>XNSE</v>
    <v>XNSE</v>
    <v>Head Office No.112, J C Road, BANGALORE, KARNATAKA, 560002 IN</v>
    <v>150.85</v>
    <v>500</v>
    <v>Banking Services</v>
    <v>Stock</v>
    <v>46017.49287037037</v>
    <v>501</v>
    <v>148.96</v>
    <v>1361233000000</v>
    <v>THE CANARA BANK LIMITED</v>
    <v>THE CANARA BANK LIMITED</v>
    <v>149.80000000000001</v>
    <v>7.08</v>
    <v>149.66999999999999</v>
    <v>150.07</v>
    <v>9070651000</v>
    <v>CANBK</v>
    <v>THE CANARA BANK LIMITED (XNSE:CANBK)</v>
    <v>12422858</v>
    <v>18144450</v>
    <v>1906</v>
  </rv>
  <rv s="2">
    <v>502</v>
  </rv>
  <rv s="0">
    <v>https://www.bing.com/financeapi/forcetrigger?t=ahhsw7&amp;q=XNSE%3aGAIL&amp;form=skydnc</v>
    <v>Learn more on Bing</v>
  </rv>
  <rv s="1">
    <v>en-US</v>
    <v>ahhsw7</v>
    <v>268435456</v>
    <v>1</v>
    <v>Powered by Refinitiv</v>
    <v>0</v>
    <v>GAIL (INDIA) LIMITED (XNSE:GAIL)</v>
    <v>2</v>
    <v>3</v>
    <v>Finance</v>
    <v>4</v>
    <v>202.79</v>
    <v>150.52000000000001</v>
    <v>1.4728000000000001</v>
    <v>0.02</v>
    <v>1.17E-4</v>
    <v>INR</v>
    <v>GAIL (India) Limited is an India-based natural gas company. The Company's segments include Transmission Services; Natural Gas Marketing; Petrochemicals; LPG and other Liquid Hydrocarbons, and Other Segments. The Transmission Services segment includes the transmission of natural gas and liquid petroleum gas (LPG). The Natural Gas Marketing segment is engaged in the marketing of natural gas and biofuels. Petrochemicals segment is engaged in the production and marketing of polyethylene. Its LPG and other Liquid Hydrocarbons segment is engaged in the production and marketing of LPG, propane, pentane, and naphtha. Its Other segment includes City Gas Distribution, Exploration (CGD) and Production (E&amp;P), Compressed Bio Gas and power generation. It owns and operates a network of over 16,420 kilometers of natural gas pipelines. It is also engaged in renewable energy, such as solar, wind, hydrogen, and biofuel. Its subsidiaries include Bengal Gas Company Limited, GAIL Gas Limited, and others.</v>
    <v>5010</v>
    <v>National Stock Exchange of India</v>
    <v>XNSE</v>
    <v>XNSE</v>
    <v>GAIL Bhawan, 16 Bhikaji Cama Place, R.K. Puram, NEW DELHI, DELHI, 110066 IN</v>
    <v>171.98</v>
    <v>Natural Gas Utilities</v>
    <v>Stock</v>
    <v>46017.492881944447</v>
    <v>504</v>
    <v>170.38</v>
    <v>1124339000000</v>
    <v>GAIL (INDIA) LIMITED</v>
    <v>GAIL (INDIA) LIMITED</v>
    <v>170.99</v>
    <v>10.3</v>
    <v>171</v>
    <v>171.02</v>
    <v>6575080000</v>
    <v>GAIL</v>
    <v>GAIL (INDIA) LIMITED (XNSE:GAIL)</v>
    <v>1942413</v>
    <v>6574420</v>
    <v>1984</v>
  </rv>
  <rv s="2">
    <v>505</v>
  </rv>
  <rv s="0">
    <v>https://www.bing.com/financeapi/forcetrigger?t=ahh4nm&amp;q=XNSE%3aBANKBARODA&amp;form=skydnc</v>
    <v>Learn more on Bing</v>
  </rv>
  <rv s="1">
    <v>en-US</v>
    <v>ahh4nm</v>
    <v>268435456</v>
    <v>1</v>
    <v>Powered by Refinitiv</v>
    <v>0</v>
    <v>THE BANK OF BARODA LIMITED (XNSE:BANKBARODA)</v>
    <v>2</v>
    <v>3</v>
    <v>Finance</v>
    <v>4</v>
    <v>303.95</v>
    <v>190.7</v>
    <v>1.3046</v>
    <v>-2.35</v>
    <v>-8.0879999999999997E-3</v>
    <v>INR</v>
    <v>The Bank of Baroda Limited is engaged in providing banking and financial services in India. Its segments include Treasury, Corporate / Wholesale Banking, Retail Banking, and Other Banking Operations. Its geographical segment includes Domestic Operations and Foreign Operations. It offers personal banking services, which include savings accounts, current accounts, and term deposits. It provides a range of digital products, such as bob world merchant (POS), bob world tab, bobworld digital rupee, debit card e-mandate, tokenisation, instant banking, cards, FASTag, phone banking, doorstep banking, automated teller machines (ATMs) and kiosks, and others. It offers a range of loans, such as home loans, vehicle loans, personal loans, baroda yoddha loans for defense personnel, education loans, other loans, gold loans, mortgage loans, and fintech. It offers range of insurance, such as general insurance, life insurance, and standalone health insurance. The Bank has 8,463 branches, and 9,316 ATMs.</v>
    <v>75008</v>
    <v>National Stock Exchange of India</v>
    <v>XNSE</v>
    <v>XNSE</v>
    <v>Baroda Corporate Centre, Plot No. C-26, Block G, Bandra Kurla Complex, Bandra (East), MUMBAI, MAHARASHTRA, 400051 IN</v>
    <v>291.75</v>
    <v>Banking Services</v>
    <v>Stock</v>
    <v>46017.49287037037</v>
    <v>507</v>
    <v>287.5</v>
    <v>1502539000000</v>
    <v>THE BANK OF BARODA LIMITED</v>
    <v>THE BANK OF BARODA LIMITED</v>
    <v>289.2</v>
    <v>7.81</v>
    <v>290.55</v>
    <v>288.2</v>
    <v>5171362000</v>
    <v>BANKBARODA</v>
    <v>THE BANK OF BARODA LIMITED (XNSE:BANKBARODA)</v>
    <v>3481149</v>
    <v>6785200</v>
    <v>1911</v>
  </rv>
  <rv s="2">
    <v>508</v>
  </rv>
  <rv s="0">
    <v>https://www.bing.com/financeapi/forcetrigger?t=ahhdvh&amp;q=XNSE%3aCHOLAFIN&amp;form=skydnc</v>
    <v>Learn more on Bing</v>
  </rv>
  <rv s="1">
    <v>en-US</v>
    <v>ahhdvh</v>
    <v>268435456</v>
    <v>1</v>
    <v>Powered by Refinitiv</v>
    <v>0</v>
    <v>CHOLAMANDALAM INVESTMENT AND FINANCE COMPANY LIMITED (XNSE:CHOLAFIN)</v>
    <v>2</v>
    <v>3</v>
    <v>Finance</v>
    <v>4</v>
    <v>1782</v>
    <v>1168</v>
    <v>1.2675000000000001</v>
    <v>0.2</v>
    <v>1.178E-4</v>
    <v>INR</v>
    <v>Cholamandalam Investment and Finance Company Limited is an India-based non-banking financial company (investment and credit company). It is engaged in the business of financing. Its segments include Vehicle Finance, Loan against property, Home Loans and Others Loans. The Vehicle Finance Loans segment provides loans to customers against purchase of new/used vehicles, tractors, construction equipment and loans to automobile dealers. Loan against property segment provides loans to customers against immovable property. The Home Loans segment includes loans given for acquisition/construction of residential property and loan against residential property. Other Loans segment consists of consumer and small enterprise loans, secured business and personal loans and SME loans. It offers gold loan, commercial vehicle loan, car loan, used car loan, construction equipment loan, two wheeler loan, new car loan, tractor loan three-wheeler loan, secured business loan, instant personal loan and others.</v>
    <v>46678</v>
    <v>National Stock Exchange of India</v>
    <v>XNSE</v>
    <v>XNSE</v>
    <v>Dare House, 2, NSC Bose Road, Parrys, CHENNAI, TAMIL NADU, 600001 IN</v>
    <v>1712.4</v>
    <v>Banking Services</v>
    <v>Stock</v>
    <v>46017.492881944447</v>
    <v>510</v>
    <v>1694.8</v>
    <v>1432863000000</v>
    <v>CHOLAMANDALAM INVESTMENT AND FINANCE COMPANY LIMITED</v>
    <v>CHOLAMANDALAM INVESTMENT AND FINANCE COMPANY LIMITED</v>
    <v>1697.8</v>
    <v>30.7409</v>
    <v>1697.8</v>
    <v>1698</v>
    <v>843952500</v>
    <v>CHOLAFIN</v>
    <v>CHOLAMANDALAM INVESTMENT AND FINANCE COMPANY LIMITED (XNSE:CHOLAFIN)</v>
    <v>1309836</v>
    <v>2564230</v>
    <v>1978</v>
  </rv>
  <rv s="2">
    <v>511</v>
  </rv>
  <rv s="0">
    <v>https://www.bing.com/financeapi/forcetrigger?t=ahhaur&amp;q=XNSE%3aZYDUSLIFE&amp;form=skydnc</v>
    <v>Learn more on Bing</v>
  </rv>
  <rv s="1">
    <v>en-US</v>
    <v>ahhaur</v>
    <v>268435456</v>
    <v>1</v>
    <v>Powered by Refinitiv</v>
    <v>0</v>
    <v>ZYDUS LIFESCIENCES LIMITED (XNSE:ZYDUSLIFE)</v>
    <v>2</v>
    <v>3</v>
    <v>Finance</v>
    <v>4</v>
    <v>1059.05</v>
    <v>795</v>
    <v>0.54320000000000002</v>
    <v>-6.25</v>
    <v>-6.8100000000000001E-3</v>
    <v>INR</v>
    <v>Zydus Lifesciences Limited is an India-based global life sciences company that discovers, develops, manufactures and markets a broad range of healthcare therapies. The Company is engaged in the business of integrated pharmaceutical operations. Its product portfolio includes active pharmaceutical ingredients (API), human formulations, animal health and veterinary, health, and wellness products. Its products include India formulations, Generics and Zydus biologics. The Company's products include Lipaglyn and Bilypsa (Saroglitazar), Ujvira (Trastuzumab emtansine biosimilar), Exemptia (Adalimumab biosimilar), Vivitra (Trastuzumab biosimilar) and Bryxta (Bevacizumab biosimilar). Its Zydus biologics covers various therapeutic areas, such as oncology, autoimmune disease, nephrology, inflammation, rheumatology, hepatology and infectious illnesses, among others. The Company has a global presence and markets its products in the United States, India, Europe and emerging markets.</v>
    <v>27917</v>
    <v>National Stock Exchange of India</v>
    <v>XNSE</v>
    <v>XNSE</v>
    <v>Zydus Corporate Park, Scheme No. 63, Survey No. 536, Near Vaishnodevi Circle, Khoraj (Gandhinagar), Sarkhej-Gandhinagar Highway, AHMEDABAD, GUJARAT, 382481 IN</v>
    <v>920</v>
    <v>Pharmaceuticals</v>
    <v>Stock</v>
    <v>46017.492905092593</v>
    <v>513</v>
    <v>909</v>
    <v>923521600000</v>
    <v>ZYDUS LIFESCIENCES LIMITED</v>
    <v>ZYDUS LIFESCIENCES LIMITED</v>
    <v>917.85</v>
    <v>18.77</v>
    <v>917.8</v>
    <v>911.55</v>
    <v>1006234000</v>
    <v>ZYDUSLIFE</v>
    <v>ZYDUS LIFESCIENCES LIMITED (XNSE:ZYDUSLIFE)</v>
    <v>304792</v>
    <v>533080</v>
    <v>1995</v>
  </rv>
  <rv s="2">
    <v>514</v>
  </rv>
  <rv s="0">
    <v>https://www.bing.com/financeapi/forcetrigger?t=ahixc7&amp;q=XNSE%3aMCDOWELL-N&amp;form=skydnc</v>
    <v>Learn more on Bing</v>
  </rv>
  <rv s="1">
    <v>en-US</v>
    <v>ahixc7</v>
    <v>268435456</v>
    <v>1</v>
    <v>Powered by Refinitiv</v>
    <v>0</v>
    <v>United Spirits Limited (XNSE:UNITDSPR)</v>
    <v>2</v>
    <v>3</v>
    <v>Finance</v>
    <v>4</v>
    <v>1700</v>
    <v>1271.0999999999999</v>
    <v>1.1729000000000001</v>
    <v>6.3</v>
    <v>4.4299999999999999E-3</v>
    <v>INR</v>
    <v>United Spirits Limited is an India-based company. The Company is s engaged in the business of manufacture, purchase and sale of beverage alcohol and other allied spirits, including through tie-up manufacturing units and through strategic franchising of some of its brands. The Company operates through two segments: Beverage alcohol, and Sports. Beverage alcohol segment is engaged in the manufacture, purchase, franchise and sale of beverage alcohol and other allied spirits. Sports segment owns rights to operate sports franchises. The Company’s portfolio includes premium brands such as Johnnie Walker, Black Dog, Black &amp; White, Vat 69, Antiquity, Signature, Singelton, Royal Challenge, McDowell’s No 1, Smirnoff, Ketel One, Tanqueray, Captain Morgan, and others. The Company’s subsidiary is Royal Challengers Sports Private Limited. Royal Challengers Sports Private Limited, holds the rights to operate a sports franchise.</v>
    <v>2420</v>
    <v>National Stock Exchange of India</v>
    <v>XNSE</v>
    <v>XNSE</v>
    <v>UB Tower #24, Vittal Mallya Road, BANGALORE, KARNATAKA, 560001 IN</v>
    <v>1434</v>
    <v>Beverages</v>
    <v>Stock</v>
    <v>46017.492905092593</v>
    <v>516</v>
    <v>1416.1</v>
    <v>1034366000000</v>
    <v>United Spirits Limited</v>
    <v>United Spirits Limited</v>
    <v>1422.1</v>
    <v>61.7</v>
    <v>1422.1</v>
    <v>1428.4</v>
    <v>727350800</v>
    <v>UNITDSPR</v>
    <v>United Spirits Limited (XNSE:UNITDSPR)</v>
    <v>578732</v>
    <v>496430</v>
    <v>1999</v>
  </rv>
  <rv s="2">
    <v>517</v>
  </rv>
  <rv s="0">
    <v>https://www.bing.com/financeapi/forcetrigger?t=ahi8a2&amp;q=XNSE%3aICICIGI&amp;form=skydnc</v>
    <v>Learn more on Bing</v>
  </rv>
  <rv s="1">
    <v>en-US</v>
    <v>ahi8a2</v>
    <v>268435456</v>
    <v>1</v>
    <v>Powered by Refinitiv</v>
    <v>0</v>
    <v>ICICI LOMBARD GENERAL INSURANCE COMPANY LIMITED (XNSE:ICICIGI)</v>
    <v>2</v>
    <v>3</v>
    <v>Finance</v>
    <v>4</v>
    <v>2068.6999999999998</v>
    <v>1613.7</v>
    <v>1.2564</v>
    <v>-9.3000000000000007</v>
    <v>-4.7470000000000004E-3</v>
    <v>INR</v>
    <v>ICICI Lombard General Insurance Company Limited is an India-based general insurance company. The Company offers a comprehensive and diversified range of products through multiple distribution channels, including motor, health, crop, fire, personal accident, marine, engineering, and liability insurance. Its segments include Fire, Marine, Health including Personal Accident, Miscellaneous, Crop Insurance and Motor. Its Health including Personal Accident segment includes health retail, health group corporate and health government business. Its Miscellaneous segment includes miscellaneous retail and miscellaneous group corporate business. Its motor insurance includes car insurance, bike insurance and motor floater. Its health insurance includes Health AdvantEdge, MaxProtect, health booster, personal protect, Arogya Sanjeevani Policy, Saral Suraksha Bima and others. Its other insurances include crop insurance, NRI insurance, cyber insurance, ICICI Bharat Griha Raksha Policy and others.</v>
    <v>15123</v>
    <v>National Stock Exchange of India</v>
    <v>XNSE</v>
    <v>XNSE</v>
    <v>ICICI Lombard House, 414, Veer Savarkar Marg, Near Siddhi Vinayak Temple, Prabhadevi, MUMBAI, MAHARASHTRA, 400025 IN</v>
    <v>1962.4</v>
    <v>Insurance</v>
    <v>Stock</v>
    <v>46017.492881944447</v>
    <v>519</v>
    <v>1939.6</v>
    <v>971187400000</v>
    <v>ICICI LOMBARD GENERAL INSURANCE COMPANY LIMITED</v>
    <v>ICICI LOMBARD GENERAL INSURANCE COMPANY LIMITED</v>
    <v>1959.3</v>
    <v>34.61</v>
    <v>1959.3</v>
    <v>1950</v>
    <v>498044800</v>
    <v>ICICIGI</v>
    <v>ICICI LOMBARD GENERAL INSURANCE COMPANY LIMITED (XNSE:ICICIGI)</v>
    <v>141253</v>
    <v>396010</v>
    <v>2000</v>
  </rv>
  <rv s="2">
    <v>520</v>
  </rv>
  <rv s="0">
    <v>https://www.bing.com/financeapi/forcetrigger?t=ahkeim&amp;q=XNSE%3aTORNTPHARM&amp;form=skydnc</v>
    <v>Learn more on Bing</v>
  </rv>
  <rv s="1">
    <v>en-US</v>
    <v>ahkeim</v>
    <v>268435456</v>
    <v>1</v>
    <v>Powered by Refinitiv</v>
    <v>0</v>
    <v>TORRENT PHARMACEUTICALS LTD (XNSE:TORNTPHARM)</v>
    <v>2</v>
    <v>3</v>
    <v>Finance</v>
    <v>4</v>
    <v>3882.2</v>
    <v>2886.45</v>
    <v>0.67959999999999998</v>
    <v>-17.7</v>
    <v>-4.6160000000000003E-3</v>
    <v>INR</v>
    <v>Torrent Pharmaceuticals Limited is an India-based pharmaceutical company. The Company is engaged in research, development, manufacturing, marketing and distribution of branded and generic pharmaceutical formulations in India and internationally. The Company is focused on various therapeutic segments, such as cardiovascular (CV), central nervous system (CNS), gastrointestinal (GI), vitamins minerals nutrients (VMN), anti-diabetes (AD), pain management, gynecology, and dermatology. Its pediatric product brands include Tedibar, Atogla, Spoo and B4 Nappi. Its Anti-diabetic products include Gliclazide 80 mg, Tablets, Gliclazide 30 mg, Tablets, Glimepiride 1, 2, 3, 4 mg, Tablets, and others. Its dermatologic therapy products include Macrotor, Ahaglow S Facewash, Fungicide Lotion, Hairjoy 2%, New Dewsoft Cream, Lookbrite 20GMS, Cortaz NC, Dermanex, and others. Its manufacturing facilities are located in the states of Gujarat, Himachal Pradesh, Madhya Pradesh, Andhra Pradesh and Sikkim.</v>
    <v>16107</v>
    <v>National Stock Exchange of India</v>
    <v>XNSE</v>
    <v>XNSE</v>
    <v>Torrent House, Off. Ashram Road, AHMEDABAD, GUJARAT, 380009 IN</v>
    <v>3846.1</v>
    <v>Pharmaceuticals</v>
    <v>Stock</v>
    <v>46017.492905092593</v>
    <v>522</v>
    <v>3802.5</v>
    <v>1297701000000</v>
    <v>TORRENT PHARMACEUTICALS LTD</v>
    <v>TORRENT PHARMACEUTICALS LTD</v>
    <v>3833</v>
    <v>60.64</v>
    <v>3834.3</v>
    <v>3816.6</v>
    <v>338445400</v>
    <v>TORNTPHARM</v>
    <v>TORRENT PHARMACEUTICALS LTD (XNSE:TORNTPHARM)</v>
    <v>38231</v>
    <v>160610</v>
    <v>1972</v>
  </rv>
  <rv s="2">
    <v>523</v>
  </rv>
  <rv s="0">
    <v>https://www.bing.com/financeapi/forcetrigger?t=ahkfz2&amp;q=XNSE%3aTVSMOTOR&amp;form=skydnc</v>
    <v>Learn more on Bing</v>
  </rv>
  <rv s="1">
    <v>en-US</v>
    <v>ahkfz2</v>
    <v>268435456</v>
    <v>1</v>
    <v>Powered by Refinitiv</v>
    <v>0</v>
    <v>TVS MOTOR COMPANY LIMITED (XNSE:TVSMOTOR)</v>
    <v>2</v>
    <v>3</v>
    <v>Finance</v>
    <v>4</v>
    <v>3734.9</v>
    <v>2171.4</v>
    <v>0.21640000000000001</v>
    <v>-31.1</v>
    <v>-8.4849999999999995E-3</v>
    <v>INR</v>
    <v>TVS Motor Company Limited is an India-based two and three-wheeler manufacturer globally, supporting progress through sustainable mobility with four manufacturing facilities located in India and Indonesia. The Company's segments include Automotive Vehicles &amp; Parts and Financial services. The Company manufactures a range of two-wheelers, starting from mopeds, to scooters, commuter motorcycles, and racing bikes like the TVS Apache series and the TVS Apache RR310. The Company's product categories include motorcycles, scooters, electric scooters, three wheelers and mopeds. Its motorcycle products include TVS Apache, Ronin, Raider, Radeon, Sport and Star City+. Its electric scooter products include TVS iQube and TVS X. The Company's scooter products include TVS Jupiter, TVS Jupiter 125, TVS Ntorq, TVS Zest 110 and others. Its services include book a service, annual maintenance contract, roadside assistance, TVS genuine parts and Tru4 Oil, and proactive inspection.</v>
    <v>6522</v>
    <v>National Stock Exchange of India</v>
    <v>XNSE</v>
    <v>XNSE</v>
    <v>"Chaitanya", No.12, Khader Nawaz Khan Road, Nungambakkam, KRISHNAGIRI, TAMIL NADU, 600006 IN</v>
    <v>3675.1</v>
    <v>Automobiles &amp; Auto Parts</v>
    <v>Stock</v>
    <v>46017.492905092593</v>
    <v>525</v>
    <v>3626.4</v>
    <v>1740674000000</v>
    <v>TVS MOTOR COMPANY LIMITED</v>
    <v>TVS MOTOR COMPANY LIMITED</v>
    <v>3664.9</v>
    <v>67.239999999999995</v>
    <v>3665.2</v>
    <v>3634.1</v>
    <v>474919100</v>
    <v>TVSMOTOR</v>
    <v>TVS MOTOR COMPANY LIMITED (XNSE:TVSMOTOR)</v>
    <v>223878</v>
    <v>469120</v>
    <v>1992</v>
  </rv>
  <rv s="2">
    <v>526</v>
  </rv>
  <rv s="0">
    <v>https://www.bing.com/financeapi/forcetrigger?t=ahi2vh&amp;q=XNSE%3aHAVELLS&amp;form=skydnc</v>
    <v>Learn more on Bing</v>
  </rv>
  <rv s="1">
    <v>en-US</v>
    <v>ahi2vh</v>
    <v>268435456</v>
    <v>1</v>
    <v>Powered by Refinitiv</v>
    <v>0</v>
    <v>HAVELLS INDIA LIMITED (XNSE:HAVELLS)</v>
    <v>2</v>
    <v>3</v>
    <v>Finance</v>
    <v>4</v>
    <v>1721.2</v>
    <v>1380</v>
    <v>0.74709999999999999</v>
    <v>-6.2</v>
    <v>-4.3530000000000001E-3</v>
    <v>INR</v>
    <v>Havells India Limited is an India-based fast moving electrical goods (FMEG) company. The Company is consumer electrical/electronic and power distribution equipment manufacturer with products ranging from industrial and domestic circuit protection switchgears, cables, motors, pumps, solar products, solar modules, fans, power capacitors, LED lamps and luminaries for domestic, commercial and industrial applications, modular switches, water heaters, coolers and domestic appliances, personal grooming, air purifier, water purifier, air conditioner, television, washing machine and refrigerator covering the entire range of household, commercial and industrial electrical needs. The Company has brand showroom in the electrical industry, namely Havells Exclusive Brand Stores. It owns various brands, Havells Studio, Lloyd, Havells Crabtree, Standard Electricals and REO. Its solar products include solar on grid solutions, solar off grid solutions, and solar on grid inverter solutions.</v>
    <v>8163</v>
    <v>National Stock Exchange of India</v>
    <v>XNSE</v>
    <v>XNSE</v>
    <v>QRG Towers, 2D, Sector - 126, Expressway, NOIDA, UTTAR PRADESH, 201304 IN</v>
    <v>1435.8</v>
    <v>Machinery, Equipment &amp; Components</v>
    <v>Stock</v>
    <v>46017.492881944447</v>
    <v>528</v>
    <v>1415.1</v>
    <v>893464600000</v>
    <v>HAVELLS INDIA LIMITED</v>
    <v>HAVELLS INDIA LIMITED</v>
    <v>1430</v>
    <v>60.99</v>
    <v>1424.4</v>
    <v>1418.2</v>
    <v>627256800</v>
    <v>HAVELLS</v>
    <v>HAVELLS INDIA LIMITED (XNSE:HAVELLS)</v>
    <v>217465</v>
    <v>486410</v>
    <v>1983</v>
  </rv>
  <rv s="2">
    <v>529</v>
  </rv>
  <rv s="0">
    <v>https://www.bing.com/financeapi/forcetrigger?t=ahhdmw&amp;q=XNSE%3aCGPOWER&amp;form=skydnc</v>
    <v>Learn more on Bing</v>
  </rv>
  <rv s="14">
    <v>en-US</v>
    <v>ahhdmw</v>
    <v>268435456</v>
    <v>1</v>
    <v>Powered by Refinitiv</v>
    <v>25</v>
    <v>CG POWER AND INDUSTRIAL SOLUTIONS LIMITED (XNSE:CGPOWER)</v>
    <v>2</v>
    <v>26</v>
    <v>Finance</v>
    <v>27</v>
    <v>797.55</v>
    <v>517.70000000000005</v>
    <v>1.4819</v>
    <v>-4.9000000000000004</v>
    <v>6.0980000000000001E-3</v>
    <v>-7.4139999999999996E-3</v>
    <v>4</v>
    <v>INR</v>
    <v>CG Power and Industrial Solutions Limited is an India-based company, which is engaged in providing end-to-end solutions to utilities, industries and consumers for the management and application of electrical energy. The Company’s segments include Power Systems and Industrial Systems. Power Business focuses on power transmission, distribution, power solutions, and setting up of integrated power systems. It manufactures power and distribution transformers, extra high voltage (EHV) and medium voltage circuit breakers, switchgears, EHV instrument transformers, lightning arrestors, and isolators. It offers turnkey solutions for transmission and distribution. Industrial Business is engaged in the business of power conversion equipment which includes a wide spectrum of Medium and Low Voltage Rotating Machines (Motors, Generators, Alternators), Drives and Stampings. Railways business supplies traction machines and systems, propulsion systems and signaling and coach products to Indian Railways.</v>
    <v>3408</v>
    <v>National Stock Exchange of India</v>
    <v>XNSE</v>
    <v>XNSE</v>
    <v>CG House, 6th Floor,, Dr Annie Besant Road,, Worli, MUMBAI, MAHARASHTRA, 400030 IN</v>
    <v>666.9</v>
    <v>Machinery, Equipment &amp; Components</v>
    <v>Stock</v>
    <v>46017.49287037037</v>
    <v>531</v>
    <v>653.20000000000005</v>
    <v>1040827000000</v>
    <v>CG POWER AND INDUSTRIAL SOLUTIONS LIMITED</v>
    <v>CG POWER AND INDUSTRIAL SOLUTIONS LIMITED</v>
    <v>660.9</v>
    <v>94.621300000000005</v>
    <v>660.9</v>
    <v>656</v>
    <v>660</v>
    <v>1574863000</v>
    <v>CGPOWER</v>
    <v>CG POWER AND INDUSTRIAL SOLUTIONS LIMITED (XNSE:CGPOWER)</v>
    <v>698129</v>
    <v>1788370</v>
    <v>1937</v>
  </rv>
  <rv s="2">
    <v>532</v>
  </rv>
  <rv s="0">
    <v>https://www.bing.com/financeapi/forcetrigger?t=ahiimw&amp;q=XNSE%3aJSWENERGY&amp;form=skydnc</v>
    <v>Learn more on Bing</v>
  </rv>
  <rv s="1">
    <v>en-US</v>
    <v>ahiimw</v>
    <v>268435456</v>
    <v>1</v>
    <v>Powered by Refinitiv</v>
    <v>0</v>
    <v>JSW ENERGY LIMITED (XNSE:JSWENERGY)</v>
    <v>2</v>
    <v>3</v>
    <v>Finance</v>
    <v>4</v>
    <v>679.25</v>
    <v>418.75</v>
    <v>1.2818000000000001</v>
    <v>-4.95</v>
    <v>-1.022E-2</v>
    <v>INR</v>
    <v>JSW Energy Limited is an India-based power company, which is engaged in the business of power generation. The Company operates through two segments: Thermal and Renewables. Its Thermal segment comprises generation of power from coal and other thermal sources (lignite, gas, and oil) from plants owned and related ancillary services. Its Renewables segment comprises generation of power from renewable energy sources through hydro, wind, solar, and related ancillary services. Its plants include Baspa, Karcham Wangtoo, Barmer, Vijaynagar and Ratnagiri. Baspa Plant is in the higher reaches of the Himalayas and has a generating capacity of approximately 300 megawatts (MW). The Karcham Wangtoo plant is located on the river Satluj in Kinnaur District of Himachal Pradesh and has a generating capacity of approximately 1091 MW. Barmer Plant is located close to its fuel source, the lignite mines in Kapurdi, and Jalipa. The Vijayanagar plant consists of two separate business units, BU I and SBU I.</v>
    <v>3129</v>
    <v>National Stock Exchange of India</v>
    <v>XNSE</v>
    <v>XNSE</v>
    <v>JSW Centre, Bandra Kurla Complex, Bandra (East), MUMBAI, MAHARASHTRA, 400051 IN</v>
    <v>486.95</v>
    <v>Electrical Utilities &amp; IPPs</v>
    <v>Stock</v>
    <v>46017.492881944447</v>
    <v>534</v>
    <v>477.3</v>
    <v>845918600000</v>
    <v>JSW ENERGY LIMITED</v>
    <v>JSW ENERGY LIMITED</v>
    <v>481.9</v>
    <v>41.74</v>
    <v>484.35</v>
    <v>479.4</v>
    <v>1746503000</v>
    <v>JSWENERGY</v>
    <v>JSW ENERGY LIMITED (XNSE:JSWENERGY)</v>
    <v>712818</v>
    <v>2246310</v>
    <v>1994</v>
  </rv>
  <rv s="2">
    <v>535</v>
  </rv>
  <rv s="0">
    <v>https://www.bing.com/financeapi/forcetrigger?t=ahgv6h&amp;q=XNSE%3aAMBUJACEM&amp;form=skydnc</v>
    <v>Learn more on Bing</v>
  </rv>
  <rv s="1">
    <v>en-US</v>
    <v>ahgv6h</v>
    <v>268435456</v>
    <v>1</v>
    <v>Powered by Refinitiv</v>
    <v>0</v>
    <v>AMBUJA CEMENTS LIMITED (XNSE:AMBUJACEM)</v>
    <v>2</v>
    <v>3</v>
    <v>Finance</v>
    <v>4</v>
    <v>624.95000000000005</v>
    <v>455</v>
    <v>0.87719999999999998</v>
    <v>6.55</v>
    <v>1.1950000000000001E-2</v>
    <v>INR</v>
    <v>Ambuja Cements Limited is an India-based cement company. The Company’s principal activity is to manufacture and market cement and cement-related products. The Company’s segments include Cement and Ready Mix Concrete. The Company's products include Ambuja Cement, Ambuja Kawach, Ambuja Plus, Ambuja Cool Walls, Ambuja Compocem, Ambuja Buildcem, Ambuja Powercem, Ambuja Railcem, and Purasand for Concrete &amp; Plaster. It serves a diverse customer base, including individual home builders (IHBs), developers, institutional clients, masons, contractors and professionals. Its cement capacity is 102.95 MTPA with 24 integrated cement manufacturing plants and 22 cement grinding units across the country. The Ambuja Plus product is a special cement for denser and leak-proof concrete. The Ambuja Compocem product is slag and silicate enriched composite (green) cement. The Company's subsidiaries include M.G.T Cements Private Limited, Chemical Limes Mundwa Private Limited, and others.</v>
    <v>4509</v>
    <v>National Stock Exchange of India</v>
    <v>XNSE</v>
    <v>XNSE</v>
    <v>Adani Corporate House, Shantigram, Near Vaishno Devi Circle, S.G. Highway,, AHMEDABAD, GUJARAT, 382421 IN</v>
    <v>555</v>
    <v>Construction Materials</v>
    <v>Stock</v>
    <v>46017.49287037037</v>
    <v>537</v>
    <v>548.20000000000005</v>
    <v>1370997000000</v>
    <v>AMBUJA CEMENTS LIMITED</v>
    <v>AMBUJA CEMENTS LIMITED</v>
    <v>549.9</v>
    <v>24.02</v>
    <v>548.1</v>
    <v>554.65</v>
    <v>2471823000</v>
    <v>AMBUJACEM</v>
    <v>AMBUJA CEMENTS LIMITED (XNSE:AMBUJACEM)</v>
    <v>1919198</v>
    <v>2316960</v>
    <v>1981</v>
  </rv>
  <rv s="2">
    <v>538</v>
  </rv>
  <rv s="10">
    <v>en-US</v>
    <v>cemm3m</v>
    <v>268435456</v>
    <v>1</v>
    <v>Powered by Refinitiv</v>
    <v>18</v>
    <v>BAJAJ HOUSING FINANCE LIMITED (XNSE:BAJAJHFL)</v>
    <v>6</v>
    <v>3</v>
    <v>Finance</v>
    <v>4</v>
    <v>136.96</v>
    <v>92.1</v>
    <v>1.38</v>
    <v>-0.03</v>
    <v>-3.1530000000000002E-4</v>
    <v>INR</v>
    <v>Bajaj Housing Finance Limited is an India-based non-deposit-taking housing finance company. The Company offers a range of products, such as home loan, home loan balance transfer, loans against property (LAP), lease rental discounting, and developer finance. It offers finance to individuals as well as corporate entities for the purchase and renovation of homes, or commercial spaces. It also provides loans against property for business or personal needs as well as working capital for business expansion purposes. It also offers finance to developers engaged in the construction of residential and commercial properties as well as lease rental discounting to developers and high-net-worth individuals. Under its Lease Rental Discounting, the loans are extended for commercial office spaces, industrial spaces, and local warehouses. It also offers life insurance, general insurance, health insurance, online primary healthcare assistance services and other financial services products to customers.</v>
    <v>1977</v>
    <v>National Stock Exchange of India</v>
    <v>XNSE</v>
    <v>XNSE</v>
    <v>5th Floor, B2 Building, Cerebrum IT Park, Kumar City, Kalyani Nagar, PUNE, MAHARASHTRA, 411014 IN</v>
    <v>95.6</v>
    <v>Banking Services</v>
    <v>Stock</v>
    <v>46017.49287037037</v>
    <v>94.6</v>
    <v>792550400000</v>
    <v>BAJAJ HOUSING FINANCE LIMITED</v>
    <v>BAJAJ HOUSING FINANCE LIMITED</v>
    <v>95.16</v>
    <v>33.599400000000003</v>
    <v>95.16</v>
    <v>95.13</v>
    <v>8328608000</v>
    <v>BAJAJHFL</v>
    <v>BAJAJ HOUSING FINANCE LIMITED (XNSE:BAJAJHFL)</v>
    <v>3669310</v>
    <v>5256580</v>
    <v>2008</v>
  </rv>
  <rv s="2">
    <v>540</v>
  </rv>
  <rv s="0">
    <v>https://www.bing.com/financeapi/forcetrigger?t=ahhknm&amp;q=XNSE%3aDLF&amp;form=skydnc</v>
    <v>Learn more on Bing</v>
  </rv>
  <rv s="1">
    <v>en-US</v>
    <v>ahhknm</v>
    <v>268435456</v>
    <v>1</v>
    <v>Powered by Refinitiv</v>
    <v>0</v>
    <v>DLF Limited (XNSE:DLF)</v>
    <v>2</v>
    <v>3</v>
    <v>Finance</v>
    <v>4</v>
    <v>886.8</v>
    <v>601.20000000000005</v>
    <v>1.6408</v>
    <v>0.1</v>
    <v>1.439E-4</v>
    <v>INR</v>
    <v>DLF Limited is an India-based company, which is primarily engaged in the business of colonization and real estate development. The operations of the Company include all aspects of real estate development, from the identification and acquisition of land, to planning, execution, construction, and marketing of projects. The Company is also engaged in the business of leasing, generation of power, provision of maintenance services, hospitality, and recreational activities. Its homes portfolio ranges from luxury residential complexes to smart townships. Its offices portfolio is an integrated mix of office spaces with food and beverage and leisure amenities. It has developed approximately 27.96 million square meter residential area and 4.81 million square feet retail space. The Company's subsidiaries include Aaralyn Builders &amp; Developers Private Limited, Adana Builders &amp; Developers Private Limited and Afaaf Builders &amp; Developers Private Limited, among others.</v>
    <v>3103</v>
    <v>National Stock Exchange of India</v>
    <v>XNSE</v>
    <v>XNSE</v>
    <v>DLF Gateway Tower, R Block, DLF City Phase III, GURGAON, HARYANA, 122002 IN</v>
    <v>696.55</v>
    <v>Real Estate Operations</v>
    <v>Stock</v>
    <v>46017.492881944447</v>
    <v>542</v>
    <v>689.05</v>
    <v>1720094000000</v>
    <v>DLF Limited</v>
    <v>DLF Limited</v>
    <v>692.85</v>
    <v>40.130000000000003</v>
    <v>694.9</v>
    <v>695</v>
    <v>2475312000</v>
    <v>DLF</v>
    <v>DLF Limited (XNSE:DLF)</v>
    <v>1226524</v>
    <v>1689120</v>
    <v>1963</v>
  </rv>
  <rv s="2">
    <v>543</v>
  </rv>
  <rv s="0">
    <v>https://www.bing.com/financeapi/forcetrigger?t=ahjxfr&amp;q=XNSE%3aSHREECEM&amp;form=skydnc</v>
    <v>Learn more on Bing</v>
  </rv>
  <rv s="1">
    <v>en-US</v>
    <v>ahjxfr</v>
    <v>268435456</v>
    <v>1</v>
    <v>Powered by Refinitiv</v>
    <v>0</v>
    <v>SHREE CEMENT LIMITED (XNSE:SHREECEM)</v>
    <v>2</v>
    <v>3</v>
    <v>Finance</v>
    <v>4</v>
    <v>32490</v>
    <v>24817.8</v>
    <v>0.83040000000000003</v>
    <v>275</v>
    <v>1.0518000000000001E-2</v>
    <v>INR</v>
    <v>Shree Cement Limited is an India-based company, which is engaged in the manufacturing and selling of cement and cement related products. The Company's product categories include Ordinary Portland Cement (OPC), Portland Pozzolana Cement (PPC), Portland Slag Cement (PSC) and Composite Cement (CC). It has a diversified brand portfolio consisting of Shree Jung Rodhak Cement, Roofon Cement, Bangur Cement, Bangur Power Cement, Rockstrong Cement and Rockstrong Premium Cement. Its OPC products can be used both for structural and masonry applications and in pre-stress concrete structures. The Company's PPC products are used in the construction of hydraulic structures, such as sewage pipes, marine works, dams, dikes and more. The Company has a total cement production capacity of approximately 46.4 million tons per annum (MTPA) in India. Its oversea cement production capacity is approximately four MTPA and caters to its customers in the Middle East, Southeast Asia and other nearby markets.</v>
    <v>7022</v>
    <v>National Stock Exchange of India</v>
    <v>XNSE</v>
    <v>XNSE</v>
    <v>21 Strand Road, KOLKATA, WEST BENGAL, 700001 IN</v>
    <v>26490</v>
    <v>Construction Materials</v>
    <v>Stock</v>
    <v>46017.492905092593</v>
    <v>545</v>
    <v>26070</v>
    <v>943331200000</v>
    <v>SHREE CEMENT LIMITED</v>
    <v>SHREE CEMENT LIMITED</v>
    <v>26140</v>
    <v>54.88</v>
    <v>26145</v>
    <v>26420</v>
    <v>36080750</v>
    <v>SHREECEM</v>
    <v>SHREE CEMENT LIMITED (XNSE:SHREECEM)</v>
    <v>46123</v>
    <v>38090</v>
    <v>1979</v>
  </rv>
  <rv s="2">
    <v>546</v>
  </rv>
  <rv s="0">
    <v>https://www.bing.com/financeapi/forcetrigger?t=ahgrc7&amp;q=XNSE%3aADANITRANS&amp;form=skydnc</v>
    <v>Learn more on Bing</v>
  </rv>
  <rv s="1">
    <v>en-US</v>
    <v>ahgrc7</v>
    <v>268435456</v>
    <v>1</v>
    <v>Powered by Refinitiv</v>
    <v>0</v>
    <v>ADANI ENERGY SOLUTIONS LIMITED (XNSE:ADANIENSOL)</v>
    <v>2</v>
    <v>3</v>
    <v>Finance</v>
    <v>4</v>
    <v>1050</v>
    <v>639.45000000000005</v>
    <v>2.8073999999999999</v>
    <v>18.75</v>
    <v>1.8814999999999998E-2</v>
    <v>INR</v>
    <v>Adani Energy Solutions Limited is an India-based holding company. The Company is a private utility providing end-to-end energy solutions. Its segments include Transmission, GTD Business, Smart Metering, and Trading. The Transmission segment is engaged in providing transmission lines for transmission of power. The GTD Business segment is engaged in the generation, transmission, and distribution (GTD) of power business for Mumbai city (Mumbai GTD Business) and Mundra distribution. The Smart Metering segment focuses on supply, installing and maintaining of a Smart Metering Project on a Design-Build-Finance-Own-Operate-Transfer (DBFOOT) basis. The Trading segment is involved in trading activity of goods. It owns and operates various high voltage AC transmission lines and substations. It also offers cooling solutions and others. The Company has approximately 21,783 circuit kilometers (ckm) of transmission lines and 61,686 mega volt amp (MVA) of transformation capacity.</v>
    <v>4191</v>
    <v>National Stock Exchange of India</v>
    <v>XNSE</v>
    <v>XNSE</v>
    <v>Adani Corporate House, Shantigram, Near Vaishno Devi Circle, S G Highway, S. G. Highway, Khodiyar, AHMEDABAD, GUJARAT, 382421 IN</v>
    <v>1020.4</v>
    <v>Electrical Utilities &amp; IPPs</v>
    <v>Stock</v>
    <v>46017.49287037037</v>
    <v>548</v>
    <v>991.1</v>
    <v>1197138000000</v>
    <v>ADANI ENERGY SOLUTIONS LIMITED</v>
    <v>ADANI ENERGY SOLUTIONS LIMITED</v>
    <v>996.1</v>
    <v>48.11</v>
    <v>996.55</v>
    <v>1015.3</v>
    <v>1201283000</v>
    <v>ADANIENSOL</v>
    <v>ADANI ENERGY SOLUTIONS LIMITED (XNSE:ADANIENSOL)</v>
    <v>894166</v>
    <v>1062020</v>
    <v>2013</v>
  </rv>
  <rv s="2">
    <v>549</v>
  </rv>
  <rv s="0">
    <v>https://www.bing.com/financeapi/forcetrigger?t=ahh9ec&amp;q=XNSE%3aBOSCHLTD&amp;form=skydnc</v>
    <v>Learn more on Bing</v>
  </rv>
  <rv s="1">
    <v>en-US</v>
    <v>ahh9ec</v>
    <v>268435456</v>
    <v>1</v>
    <v>Powered by Refinitiv</v>
    <v>0</v>
    <v>Bosch Limited (XNSE:BOSCHLTD)</v>
    <v>2</v>
    <v>3</v>
    <v>Finance</v>
    <v>4</v>
    <v>41945</v>
    <v>25921.599999999999</v>
    <v>0.44219999999999998</v>
    <v>-340</v>
    <v>-9.3939999999999996E-3</v>
    <v>INR</v>
    <v>Bosch Limited is an India-based supplier of technology and services in the areas of mobility solutions, industrial technology, consumer goods, and energy and building technology. The Company manufactures and trades in products such as diesel and gasoline fuel injection systems, automotive aftermarket products, industrial equipment, electrical power tools, security systems and industrial and consumer energy products and solutions. Its segments include Automotive Products, Consumer Goods and Others. The Automotive Products segment consists of diesel systems, gasoline systems and automotive aftermarket products and services. The Consumer Goods segment consists of trading activities in power tools and consumables. It also operates in other businesses consisting of industrial technology, building technology products and services. The Company is engaged in the supply, sales, and distribution of automotive parts for vehicle servicing and diagnostics equipment for workshops, among others.</v>
    <v>5742</v>
    <v>National Stock Exchange of India</v>
    <v>XNSE</v>
    <v>XNSE</v>
    <v>Post Box No. 3000, Hosur Road,, Adugodi, BANGALORE, KARNATAKA, 560030 IN</v>
    <v>36340</v>
    <v>Automobiles &amp; Auto Parts</v>
    <v>Stock</v>
    <v>46017.49287037037</v>
    <v>551</v>
    <v>35755</v>
    <v>1067522000000</v>
    <v>Bosch Limited</v>
    <v>Bosch Limited</v>
    <v>36045</v>
    <v>39.79</v>
    <v>36195</v>
    <v>35855</v>
    <v>29493640</v>
    <v>BOSCHLTD</v>
    <v>Bosch Limited (XNSE:BOSCHLTD)</v>
    <v>14945</v>
    <v>13880</v>
    <v>1951</v>
  </rv>
  <rv s="2">
    <v>552</v>
  </rv>
  <rv s="0">
    <v>https://www.bing.com/financeapi/forcetrigger?t=ahgr9c&amp;q=XNSE%3aADANIPOWER&amp;form=skydnc</v>
    <v>Learn more on Bing</v>
  </rv>
  <rv s="1">
    <v>en-US</v>
    <v>ahgr9c</v>
    <v>268435456</v>
    <v>1</v>
    <v>Powered by Refinitiv</v>
    <v>0</v>
    <v>ADANI POWER LIMITED (XNSE:ADANIPOWER)</v>
    <v>2</v>
    <v>3</v>
    <v>Finance</v>
    <v>4</v>
    <v>182.7</v>
    <v>89</v>
    <v>0.9758</v>
    <v>-0.97</v>
    <v>-6.7759999999999999E-3</v>
    <v>INR</v>
    <v>Adani Power Limited is an India-based private base load power generation company. The Company has an installed thermal power capacity of approximately 18,150 megawatts (MW) spread over 13 power plants and a 40 MW solar power plant in Gujarat. Its segments include Power Generation and related activities and Trading, Investment and other activities. It sells power generated from its projects under a combination of long-term power purchase agreements (PPAs), supplemental power purchase agreements (SPPAs), medium-term PPA, short-term PPA, and on a merchant basis. Its power plants are located in various locations, including Mundra, Gujarat; Tiroda and Butibori, Maharashtra; Kawai, Rajasthan; Udupi, Karnataka; Raipur, Chhattisgarh; Raigarh, Chhattisgarh; Godda, Jharkhand; Singrauli, Madhya Pradesh (ongoing expansion); Singrauli, Madhya Pradesh, and Bitta, Gujarat. Its Udupi power plant operates as an imported coal-based utility with a capacity of approximately 1.2 gigawatts (GW).</v>
    <v>4176</v>
    <v>National Stock Exchange of India</v>
    <v>XNSE</v>
    <v>XNSE</v>
    <v>Adani Corporate House, Shantigram, Near Vaishno Devi Circle,, S. G. Highway, Khodiyar, AHMEDABAD, GUJARAT, 382421 IN</v>
    <v>144.37</v>
    <v>Electrical Utilities &amp; IPPs</v>
    <v>Stock</v>
    <v>46017.49287037037</v>
    <v>554</v>
    <v>141.9</v>
    <v>2760797000000</v>
    <v>ADANI POWER LIMITED</v>
    <v>ADANI POWER LIMITED</v>
    <v>143.15</v>
    <v>22.59</v>
    <v>143.16</v>
    <v>142.19</v>
    <v>19284700000</v>
    <v>ADANIPOWER</v>
    <v>ADANI POWER LIMITED (XNSE:ADANIPOWER)</v>
    <v>7682604</v>
    <v>9447820</v>
    <v>1996</v>
  </rv>
  <rv s="2">
    <v>555</v>
  </rv>
  <rv s="10">
    <v>en-US</v>
    <v>cevtm7</v>
    <v>268435456</v>
    <v>1</v>
    <v>Powered by Refinitiv</v>
    <v>18</v>
    <v>HYUNDAI MOTOR INDIA LIMITED (XNSE:HYUNDAI)</v>
    <v>6</v>
    <v>3</v>
    <v>Finance</v>
    <v>4</v>
    <v>2890</v>
    <v>1541.7</v>
    <v>0.84199999999999997</v>
    <v>13.2</v>
    <v>5.7189999999999993E-3</v>
    <v>INR</v>
    <v>Hyundai Motor India Limited (HMIL) is an India-based smart mobility solutions provider. The Company is a wholly owned subsidiary of Hyundai Motor Company. The Company is in the business of manufacturing and supplying motor vehicles, engines, transmission and other parts, related after-sales activities, and related engineering and broking services. It operates with a network of over 1,366 sales points and 1,550 service points across India. Its model line-up consists of car models across different customer segments, including Grand i10 NIOS, i20, i20 N Line, AURA, EXTER, EXTER Hy-CNG Duo, VENUE, VENUE N Line, VERNA, CRETA, CRETA N Line, CRETA Electric, ALCAZAR, TUCSON and the all-electric SUV IONIQ 5. HMIL also forms a critical part of HMC’s global export hub with exports spanning across Africa, the Middle East, and other countries, including Bangladesh, Nepal, Bhutan and Sri Lanka. HMIL’s manufacturing plant, near Chennai, is optimized to manufacture its full range of vehicle models.</v>
    <v>3871</v>
    <v>National Stock Exchange of India</v>
    <v>XNSE</v>
    <v>XNSE</v>
    <v>Plot C-11, City Center, Sector - 29, GURGAON, HARYANA, 122001 IN</v>
    <v>2324.8000000000002</v>
    <v>Automobiles &amp; Auto Parts</v>
    <v>Stock</v>
    <v>46017.492881944447</v>
    <v>2302.3000000000002</v>
    <v>1875264000000</v>
    <v>HYUNDAI MOTOR INDIA LIMITED</v>
    <v>HYUNDAI MOTOR INDIA LIMITED</v>
    <v>2305</v>
    <v>32.799999999999997</v>
    <v>2307.9</v>
    <v>2321.1</v>
    <v>812541100</v>
    <v>HYUNDAI</v>
    <v>HYUNDAI MOTOR INDIA LIMITED (XNSE:HYUNDAI)</v>
    <v>373276</v>
    <v>565880</v>
    <v>1996</v>
  </rv>
  <rv s="2">
    <v>557</v>
  </rv>
  <rv s="0">
    <v>https://www.bing.com/financeapi/forcetrigger?t=ahhx5r&amp;q=XNSE%3aGODREJCP&amp;form=skydnc</v>
    <v>Learn more on Bing</v>
  </rv>
  <rv s="1">
    <v>en-US</v>
    <v>ahhx5r</v>
    <v>268435456</v>
    <v>1</v>
    <v>Powered by Refinitiv</v>
    <v>0</v>
    <v>GODREJ CONSUMER PRODUCTS LIMITED (XNSE:GODREJCP)</v>
    <v>2</v>
    <v>3</v>
    <v>Finance</v>
    <v>4</v>
    <v>1309</v>
    <v>979.5</v>
    <v>0.92079999999999995</v>
    <v>14</v>
    <v>1.1742999999999998E-2</v>
    <v>INR</v>
    <v>Godrej Consumer Products Limited is an India-based fast moving consumer goods company. The Company is engaged in manufacturing and marketing household and personal care products. The Company operates through four geographical segments: India, Indonesia, Africa, and others. Its personal care brands include Saniter, Cinthol, PAMELAGRANT Beauty, Villeneuve, Muuchstac, Millefiori, mitu, purest hygiene and goodness.me. Its home care brands include goodknight, HIT, aer, Stella, and Ezee. Its haircare brands include DARLING, INECTO, PROFECTIV Mega Growth, Ilicit, ISSUE, nupur, PROFESSIONAL, tcb naturals, renew, Just for Me, ROBY, AFRiCAN PRIDE and nyu. It offers a range of products in India, which includes household insecticides, air fresheners, hair color and soaps. Its subsidiaries include Godrej Household Products (Lanka) Pvt. Ltd., Godrej South Africa Proprietary Ltd, Beleza Mozambique LDA, Cosmetica Nacional, Godrej Africa Holdings Limited, Godrej East Africa Holdings Ltd and Deciral SA.</v>
    <v>2962</v>
    <v>National Stock Exchange of India</v>
    <v>XNSE</v>
    <v>XNSE</v>
    <v>Godrej One, 4th Floor, Pirojshanagar, Eastern Express Highway, Vikhroli(East), MUMBAI, MAHARASHTRA, 400079 IN</v>
    <v>1210</v>
    <v>Personal &amp; Household Products &amp; Services</v>
    <v>Stock</v>
    <v>46017.492881944447</v>
    <v>559</v>
    <v>1189.5</v>
    <v>1219912000000</v>
    <v>GODREJ CONSUMER PRODUCTS LIMITED</v>
    <v>GODREJ CONSUMER PRODUCTS LIMITED</v>
    <v>1191.8</v>
    <v>67.733999999999995</v>
    <v>1192.2</v>
    <v>1206.2</v>
    <v>1023245000</v>
    <v>GODREJCP</v>
    <v>GODREJ CONSUMER PRODUCTS LIMITED (XNSE:GODREJCP)</v>
    <v>510416</v>
    <v>790400</v>
    <v>2000</v>
  </rv>
  <rv s="2">
    <v>560</v>
  </rv>
  <rv s="0">
    <v>https://www.bing.com/financeapi/forcetrigger?t=ahjehw&amp;q=XNSE%3aPFC&amp;form=skydnc</v>
    <v>Learn more on Bing</v>
  </rv>
  <rv s="1">
    <v>en-US</v>
    <v>ahjehw</v>
    <v>268435456</v>
    <v>1</v>
    <v>Powered by Refinitiv</v>
    <v>0</v>
    <v>POWER FINANCE CORPORATION LIMITED (XNSE:PFC)</v>
    <v>2</v>
    <v>3</v>
    <v>Finance</v>
    <v>4</v>
    <v>474.85</v>
    <v>329.9</v>
    <v>1.5293000000000001</v>
    <v>2.2999999999999998</v>
    <v>6.5290000000000001E-3</v>
    <v>INR</v>
    <v>Power Finance Corporation Limited is an India-based government-owned non-banking financial company, specializing in offering financial support to power and infrastructure sectors. The Company is the nodal agency for the Revamped Distribution Sector Scheme, Ultra Mega Power Projects, and Integrated Power Development Scheme, and acts as the Bid Process Coordinator for Independent Transmission Projects. It offers a range of products and services that meet the needs of the power sector, such as rupee-term loans, short-term loans, equipment lease financing, and transitional financing services for various power projects in the generation, transmission, and distribution sectors. It caters to e-vehicle fleets, charging infrastructure, roads, ports, metro rail, smart cities, and other infrastructure projects. Its clients include central and state power utilities, power equipment manufacturers, state government departments, and developers involved in large-scale infrastructure projects.</v>
    <v>540</v>
    <v>National Stock Exchange of India</v>
    <v>XNSE</v>
    <v>XNSE</v>
    <v>Urjanidhi', 1, Barakhamba Lane, Connaught Place, NEW DELHI, DELHI, 110001 IN</v>
    <v>357.9</v>
    <v>Banking Services</v>
    <v>Stock</v>
    <v>46017.492893518516</v>
    <v>562</v>
    <v>350.45</v>
    <v>1162626000000</v>
    <v>POWER FINANCE CORPORATION LIMITED</v>
    <v>POWER FINANCE CORPORATION LIMITED</v>
    <v>352.3</v>
    <v>4.7</v>
    <v>352.3</v>
    <v>354.6</v>
    <v>3300102000</v>
    <v>PFC</v>
    <v>POWER FINANCE CORPORATION LIMITED (XNSE:PFC)</v>
    <v>4086038</v>
    <v>5844240</v>
    <v>1986</v>
  </rv>
  <rv s="2">
    <v>563</v>
  </rv>
  <rv s="0">
    <v>https://www.bing.com/financeapi/forcetrigger?t=ahh3fr&amp;q=XNSE%3aBAJAJHLDNG&amp;form=skydnc</v>
    <v>Learn more on Bing</v>
  </rv>
  <rv s="1">
    <v>en-US</v>
    <v>ahh3fr</v>
    <v>268435456</v>
    <v>1</v>
    <v>Powered by Refinitiv</v>
    <v>0</v>
    <v>Bajaj Holdings &amp; Investment Limited. (XNSE:BAJAJHLDNG)</v>
    <v>2</v>
    <v>3</v>
    <v>Finance</v>
    <v>4</v>
    <v>14763</v>
    <v>10245.1</v>
    <v>0.61909999999999998</v>
    <v>-69</v>
    <v>-6.1479999999999998E-3</v>
    <v>INR</v>
    <v>Bajaj Holdings &amp; Investment Limited is an India-based holding and investment company. The Company is acting as a primary investment company and focusing on new business opportunities. It focuses on earning income through dividends, interest and gains on investments held.</v>
    <v>19</v>
    <v>National Stock Exchange of India</v>
    <v>XNSE</v>
    <v>XNSE</v>
    <v>C/O Bajaj Finance Limited, 3rd Floor, Panchshil Tech Park, Above ICICI Bank, Viman Nagar, PUNE, MAHARASHTRA, 411014 IN</v>
    <v>11295</v>
    <v>Holding Companies</v>
    <v>Stock</v>
    <v>46017.49287037037</v>
    <v>565</v>
    <v>11149</v>
    <v>1249158000000</v>
    <v>Bajaj Holdings &amp; Investment Limited.</v>
    <v>Bajaj Holdings &amp; Investment Limited.</v>
    <v>11199</v>
    <v>14.66</v>
    <v>11224</v>
    <v>11155</v>
    <v>111293500</v>
    <v>BAJAJHLDNG</v>
    <v>Bajaj Holdings &amp; Investment Limited. (XNSE:BAJAJHLDNG)</v>
    <v>14887</v>
    <v>39550</v>
    <v>1945</v>
  </rv>
  <rv s="2">
    <v>566</v>
  </rv>
  <rv s="9">
    <v>12</v>
    <v>Instrument type</v>
    <v>0</v>
  </rv>
  <rv s="0">
    <v>https://www.bing.com/financeapi/forcetrigger?t=brjlnm&amp;q=XNSE%3aIIFLWAM&amp;form=skydnc</v>
    <v>Learn more on Bing</v>
  </rv>
  <rv s="1">
    <v>en-US</v>
    <v>brjlnm</v>
    <v>268435456</v>
    <v>1</v>
    <v>Powered by Refinitiv</v>
    <v>0</v>
    <v>360 ONE WAM LIMITED (XNSE:360ONE)</v>
    <v>2</v>
    <v>3</v>
    <v>Finance</v>
    <v>4</v>
    <v>1318</v>
    <v>790.5</v>
    <v>1.2775000000000001</v>
    <v>-16.600000000000001</v>
    <v>-1.3879999999999998E-2</v>
    <v>INR</v>
    <v>360 ONE WAM Limited is an India-based company, which is engaged in the distribution of various financial products and advising clients on wealth management through mutual funds and alternative investment fund platforms. Its segments include Wealth Management and Asset Management. The Wealth Management segment comprises distribution of financial products, advisory, equity and debt broking, estate planning and managing financial products, essentially in the nature of advisory. It also includes lending and investment activities which are complimentary to wealth management activities. The Asset Management segment comprises management of pooled funds under various products and structures, such as mutual funds, alternative asset funds, portfolio management and related activities. It caters to high networth individuals (HNIs) and ultra-high networth individuals (UHNIs), family offices, and institutional clients through a range of tailored wealth management solutions.</v>
    <v>1207</v>
    <v>National Stock Exchange of India</v>
    <v>XNSE</v>
    <v>XNSE</v>
    <v>360 ONE Centre, Kamala City, Senapati Bapat Marg, Lower Parel, MUMBAI, MAHARASHTRA, 400013 IN</v>
    <v>1207.0999999999999</v>
    <v>Investment Banking &amp; Investment Services</v>
    <v>Stock</v>
    <v>46017.49287037037</v>
    <v>569</v>
    <v>1172.5999999999999</v>
    <v>484703300000</v>
    <v>360 ONE WAM LIMITED</v>
    <v>360 ONE WAM LIMITED</v>
    <v>1191.5</v>
    <v>41.2254</v>
    <v>1196</v>
    <v>1179.4000000000001</v>
    <v>405270400</v>
    <v>360ONE</v>
    <v>360 ONE WAM LIMITED (XNSE:360ONE)</v>
    <v>223587</v>
    <v>759030</v>
    <v>2008</v>
  </rv>
  <rv s="2">
    <v>570</v>
  </rv>
  <rv s="0">
    <v>https://www.bing.com/financeapi/forcetrigger?t=ahgpjc&amp;q=XNSE%3a3MINDIA&amp;form=skydnc</v>
    <v>Learn more on Bing</v>
  </rv>
  <rv s="1">
    <v>en-US</v>
    <v>ahgpjc</v>
    <v>268435456</v>
    <v>1</v>
    <v>Powered by Refinitiv</v>
    <v>0</v>
    <v>3M INDIA LIMITED (XNSE:3MINDIA)</v>
    <v>2</v>
    <v>3</v>
    <v>Finance</v>
    <v>4</v>
    <v>37000</v>
    <v>25413.72</v>
    <v>0.70220000000000005</v>
    <v>0</v>
    <v>0</v>
    <v>INR</v>
    <v>3M India Limited is an India-based company, which manages its operations through four segments: Safety &amp; Industrial; Transportation &amp; Electronics; Health Care; and Consumer. The Safety &amp; Industrial segment's products include vinyl, polyester, functional and decorative graphics, abrasion-resistant films, masking tapes and other specialty materials. The Health care segment's products include medical and surgical supplies, medical devices, and skin and wound care. The Transportation &amp; Electronics segment's products include personal protection products, brand and asset protection solutions and border control products. This segment also includes the graphics business. The Consumer segment includes products, such as Scotch brand, addressing the home and office tapes, adhesives, and packaging protection platforms, among others. Its brands include Command, Littmann, Nexcare, Post-it, Scotch-Brite and Scotch. The Company has manufacturing facilities in India at Ahmedabad, Bengaluru and Pune.</v>
    <v>1213</v>
    <v>National Stock Exchange of India</v>
    <v>XNSE</v>
    <v>XNSE</v>
    <v>48-51, Phase 1, Electronics City, Hosur Road, BANGALORE, KARNATAKA, 560100 IN</v>
    <v>34910</v>
    <v>Consumer Goods Conglomerates</v>
    <v>Stock</v>
    <v>46017.49287037037</v>
    <v>572</v>
    <v>34490</v>
    <v>389489800000</v>
    <v>3M INDIA LIMITED</v>
    <v>3M INDIA LIMITED</v>
    <v>34780</v>
    <v>70.290000000000006</v>
    <v>34575</v>
    <v>34575</v>
    <v>11265070</v>
    <v>3MINDIA</v>
    <v>3M INDIA LIMITED (XNSE:3MINDIA)</v>
    <v>1658</v>
    <v>2800</v>
    <v>1987</v>
  </rv>
  <rv s="2">
    <v>573</v>
  </rv>
  <rv s="0">
    <v>https://www.bing.com/financeapi/forcetrigger?t=ahgqu2&amp;q=XNSE%3aACC&amp;form=skydnc</v>
    <v>Learn more on Bing</v>
  </rv>
  <rv s="1">
    <v>en-US</v>
    <v>ahgqu2</v>
    <v>268435456</v>
    <v>1</v>
    <v>Powered by Refinitiv</v>
    <v>0</v>
    <v>ACC Limited (XNSE:ACC)</v>
    <v>2</v>
    <v>3</v>
    <v>Finance</v>
    <v>4</v>
    <v>2119.9</v>
    <v>1725</v>
    <v>0.88190000000000002</v>
    <v>-4.0999999999999996</v>
    <v>-2.3569999999999997E-3</v>
    <v>INR</v>
    <v>ACC Limited is an India-based cement and building materials company engaged in the manufacturing and marketing of cement and cement-related products. It operates through two segments: Cement and Ready-Mix Concrete. Its Cement segment manufactures cement from clinker by mixing raw materials such as limestone, clay, iron ore, fly ash, bauxite, gypsum, and others. Its Ready-Mix Concrete segment manufactures concrete in a batch plant according to a set-engineered mix design. Its product portfolio includes Gold Range, Silver Range, Solutions and Products, Ready Mixed Concrete, ACC Green Building Centre, Dry Mix Range for Retail Customers, and Pavement and Floor Construction. Its gold range products include ACC Concrete+Xtra Strong, ACC F2R Superfast and ACC Gold Water Shield. Its silver range products include ACC Suraksha Power, ACC Suraksha Power+, and ACC Super Shaktimaan. Its Dry Mix Range for Retail Customers includes Self-Curing Plaster 200 and ACC LeakBlock Waterproof Plaster LB 101.</v>
    <v>3171</v>
    <v>National Stock Exchange of India</v>
    <v>XNSE</v>
    <v>XNSE</v>
    <v>Adani Corporate House, hantigram, S. G. Highway,, MUMBAI, MAHARASHTRA, 382421 IN</v>
    <v>1752</v>
    <v>Construction Materials</v>
    <v>Stock</v>
    <v>46017.49287037037</v>
    <v>575</v>
    <v>1725</v>
    <v>326637200000</v>
    <v>ACC Limited</v>
    <v>ACC Limited</v>
    <v>1744.2</v>
    <v>9.7899999999999991</v>
    <v>1739.4</v>
    <v>1735.3</v>
    <v>187787300</v>
    <v>ACC</v>
    <v>ACC Limited (XNSE:ACC)</v>
    <v>358878</v>
    <v>249550</v>
    <v>1936</v>
  </rv>
  <rv s="2">
    <v>576</v>
  </rv>
  <rv s="10">
    <v>en-US</v>
    <v>cf6bur</v>
    <v>268435456</v>
    <v>1</v>
    <v>Powered by Refinitiv</v>
    <v>18</v>
    <v>ACME SOLAR HOLDINGS LIMITED (XNSE:ACMESOLAR)</v>
    <v>6</v>
    <v>3</v>
    <v>Finance</v>
    <v>4</v>
    <v>324.3</v>
    <v>167.75</v>
    <v>1.1990000000000001</v>
    <v>-5.94</v>
    <v>-2.5056999999999999E-2</v>
    <v>INR</v>
    <v>ACME Solar Holdings Limited is an India-based renewable energy company. The Company develops, builds, owns, operates and maintains utility-scale renewable energy projects (through in-house engineering, procurement and construction (EPC) division and operation and maintenance (O&amp;M) team, and sales electricity to various off-takers including central and state government-backed entities. It also acts as owners, manufacturers, engineers, procurers, buyers, sellers, distributors, dealers and contractors for setting up of power plants using glass-based mirrors, photo voltaic, boilers, turbines and/or other equipment’s for generating, distribution and supplying sources of electricity and other products using solar, fossil and alternate source of energy. Its portfolio includes ACME Solar Technologies (Gujarat) Private Limited, ACME Odisha Solar Power Private Limited, Acme Raipur Solar Power Private Limited, Aarohi Solar Power Private Limited, ACME Eco Clean Energy Private Limited, and others.</v>
    <v>557</v>
    <v>National Stock Exchange of India</v>
    <v>XNSE</v>
    <v>XNSE</v>
    <v>Plot No. 152, Sector-44, GURGAON, HARYANA, 122002 IN</v>
    <v>238.17</v>
    <v>Electrical Utilities &amp; IPPs</v>
    <v>Stock</v>
    <v>46017.49287037037</v>
    <v>230.85</v>
    <v>143651700000</v>
    <v>ACME SOLAR HOLDINGS LIMITED</v>
    <v>ACME SOLAR HOLDINGS LIMITED</v>
    <v>237.2</v>
    <v>28.98</v>
    <v>237.06</v>
    <v>231.12</v>
    <v>605971800</v>
    <v>ACMESOLAR</v>
    <v>ACME SOLAR HOLDINGS LIMITED (XNSE:ACMESOLAR)</v>
    <v>906367</v>
    <v>1102580</v>
    <v>2015</v>
  </rv>
  <rv s="2">
    <v>578</v>
  </rv>
  <rv s="0">
    <v>https://www.bing.com/financeapi/forcetrigger?t=ahgsvh&amp;q=XNSE%3aAIAENG&amp;form=skydnc</v>
    <v>Learn more on Bing</v>
  </rv>
  <rv s="1">
    <v>en-US</v>
    <v>ahgsvh</v>
    <v>268435456</v>
    <v>1</v>
    <v>Powered by Refinitiv</v>
    <v>0</v>
    <v>AIA ENGINEERING LIMITED (XNSE:AIAENG)</v>
    <v>2</v>
    <v>3</v>
    <v>Finance</v>
    <v>4</v>
    <v>3999</v>
    <v>3001.1</v>
    <v>0.63549999999999995</v>
    <v>-57.6</v>
    <v>-1.4612E-2</v>
    <v>INR</v>
    <v>AIA Engineering Limited is engaged in the manufacturing of high chrome mill internals. The Company is engaged in designing and optimizing mill linings for the mineral processing industry. It specializes in the designing, manufacturing and servicing of wear-resistant parts for grinding applications in the mining and cement industries. The Company provides comprehensive solutions ranging from grinding optimization to recovery enhancements. Its products include Blow Bars, Hammers, Impellers, Anvils, and Feed Disk. It has installed 11 wind energy turbines at the Kutch and Jamjodhpur sites and three sets of hybrids (Wind+Solar) at Amreli, Gujarat, which have a total installed capacity of 37.38 megawatts of renewable energy. Its services include design modeling, wear monitoring, grinding circuit survey, reline supervision, mill operation support, bench test for improved recovery, and ball size optimization for grinding efficiency. It also offers ball mill lining solutions.</v>
    <v>1306</v>
    <v>National Stock Exchange of India</v>
    <v>XNSE</v>
    <v>XNSE</v>
    <v>11-12, Sigma Corporates,, B/h.HOF Showroom, Sindhubhavan Road,, Bodakdev, AHMEDABAD, GUJARAT, 380054 IN</v>
    <v>3954.3</v>
    <v>Machinery, Equipment &amp; Components</v>
    <v>Stock</v>
    <v>46017.49287037037</v>
    <v>580</v>
    <v>3870.7</v>
    <v>367859600000</v>
    <v>AIA ENGINEERING LIMITED</v>
    <v>AIA ENGINEERING LIMITED</v>
    <v>3941.9</v>
    <v>32.164000000000001</v>
    <v>3941.9</v>
    <v>3884.3</v>
    <v>93320370</v>
    <v>AIAENG</v>
    <v>AIA ENGINEERING LIMITED (XNSE:AIAENG)</v>
    <v>32466</v>
    <v>60940</v>
    <v>1991</v>
  </rv>
  <rv s="2">
    <v>581</v>
  </rv>
  <rv s="0">
    <v>https://www.bing.com/financeapi/forcetrigger?t=ahgwmw&amp;q=XNSE%3aAPLAPOLLO&amp;form=skydnc</v>
    <v>Learn more on Bing</v>
  </rv>
  <rv s="1">
    <v>en-US</v>
    <v>ahgwmw</v>
    <v>268435456</v>
    <v>1</v>
    <v>Powered by Refinitiv</v>
    <v>0</v>
    <v>APL Apollo Tubes Limited (XNSE:APLAPOLLO)</v>
    <v>2</v>
    <v>3</v>
    <v>Finance</v>
    <v>4</v>
    <v>1936</v>
    <v>1272.7</v>
    <v>0.43330000000000002</v>
    <v>27.5</v>
    <v>1.4796E-2</v>
    <v>INR</v>
    <v>APL Apollo Tubes Limited is a producer of structural steel tubes in India. It is engaged in the business of producing electric resistance welded (ERW) steel tubes. Its multi-product offerings include over 3000 varieties of pre-galvanized tubes, structural steel tubes, galvanized tubes, MS black pipes, and hollow sections. Its product category includes Apollo Structural, Apollo Z, and Apollo Galv. Its products include Fencing Tube, Window Frame Tube (L), Handrill, Apollo Signature, and Double Door Frame. It offers products under various brands, which include Apollo Fabritech, Apollo Build, Apollo DFT, Apollo Column, Apollo Bheem, Apollo Green, Apollo Standard, Apollo Agri, Apollo D Section, Apollo Narrow, and Apollo Ready Chaukhat, among others. Its products are used in various applications, which include agricultural and plumbing, firefighting, staircase steps, warehousing factory sheds, balcony grills, sheds, greenhouse structures, plumbing and lighting poles, among others.</v>
    <v>3382</v>
    <v>National Stock Exchange of India</v>
    <v>XNSE</v>
    <v>XNSE</v>
    <v>SG Centre, 37C, Block A, Sector 132, NOIDA, UTTAR PRADESH, 201304 IN</v>
    <v>1891</v>
    <v>Metals &amp; Mining</v>
    <v>Stock</v>
    <v>46017.49287037037</v>
    <v>583</v>
    <v>1851.4</v>
    <v>516014300000</v>
    <v>APL Apollo Tubes Limited</v>
    <v>APL Apollo Tubes Limited</v>
    <v>1858.6</v>
    <v>49.19</v>
    <v>1858.6</v>
    <v>1886.1</v>
    <v>277636000</v>
    <v>APLAPOLLO</v>
    <v>APL Apollo Tubes Limited (XNSE:APLAPOLLO)</v>
    <v>353780</v>
    <v>494470</v>
    <v>1986</v>
  </rv>
  <rv s="2">
    <v>584</v>
  </rv>
  <rv s="10">
    <v>en-US</v>
    <v>cd87jc</v>
    <v>268435456</v>
    <v>1</v>
    <v>Powered by Refinitiv</v>
    <v>18</v>
    <v>AADHAR HOUSING FINANCE LIMITED (XNSE:AADHARHFC)</v>
    <v>6</v>
    <v>3</v>
    <v>Finance</v>
    <v>4</v>
    <v>547.79999999999995</v>
    <v>346.05</v>
    <v>0.77500000000000002</v>
    <v>-2.9</v>
    <v>-5.9560000000000004E-3</v>
    <v>INR</v>
    <v>Aadhar Housing Finance Limited is an India-based housing finance company (HFC) focused on the low-income housing segment in India. The Company primarily serves economically weaker and low-to-middle income customers, who require small-ticket mortgage loans. It also serves formal and informal customers in salaried and self-employed segments. It offers a range of mortgage-related loan products, including loans for residential property purchase and construction; home improvement and extension loans, and loans for commercial property construction and acquisition. The loans offered by the Company include home loans for salaried employees, home loan for self-employed, loan for plot purchase and construction, home improvement loan, home extension loan, loan against residential commercial property (LAP), balance transfer and top up, loan for purchase of non-residential property, home construction loan, loan for plot purchase, loan for construction of non-residential property, and others.</v>
    <v>4583</v>
    <v>National Stock Exchange of India</v>
    <v>XNSE</v>
    <v>XNSE</v>
    <v>Unit No. 802, Natraj Rustomjee, Western Express Highway and M.V.Road, MUMBAI, MAHARASHTRA, 400069 IN</v>
    <v>491.05</v>
    <v>Banking Services</v>
    <v>Stock</v>
    <v>46017.49287037037</v>
    <v>481</v>
    <v>211215400000</v>
    <v>AADHAR HOUSING FINANCE LIMITED</v>
    <v>AADHAR HOUSING FINANCE LIMITED</v>
    <v>483.2</v>
    <v>21.27</v>
    <v>486.9</v>
    <v>484</v>
    <v>433796300</v>
    <v>AADHARHFC</v>
    <v>AADHAR HOUSING FINANCE LIMITED (XNSE:AADHARHFC)</v>
    <v>320188</v>
    <v>228400</v>
    <v>1990</v>
  </rv>
  <rv s="2">
    <v>586</v>
  </rv>
  <rv s="0">
    <v>https://www.bing.com/financeapi/forcetrigger?t=bkoqbh&amp;q=XNSE%3aAAVAS&amp;form=skydnc</v>
    <v>Learn more on Bing</v>
  </rv>
  <rv s="1">
    <v>en-US</v>
    <v>bkoqbh</v>
    <v>268435456</v>
    <v>1</v>
    <v>Powered by Refinitiv</v>
    <v>0</v>
    <v>AAVAS FINANCIERS LIMITED (XNSE:AAVAS)</v>
    <v>2</v>
    <v>3</v>
    <v>Finance</v>
    <v>4</v>
    <v>2234</v>
    <v>1435</v>
    <v>0.96750000000000003</v>
    <v>-31.5</v>
    <v>-2.0836E-2</v>
    <v>INR</v>
    <v>Aavas Financiers Limited is an India-based retail, affordable housing finance company, primarily serving low- and middle-income self-employed customers in semi-urban and rural areas. The Company’s loan products include Home Loan, Home Construction Loan, Home Loan Balance Transfer, Home Improvement Loan, Loan Against Property, MSME Business Loan, Small Ticket Size Loan, and Aavas Rooftop Solar Finance. The Company offers home construction loans for the purpose of self-construction of residential house property. Aavas Rooftop Solar Loan offers financing for the installation of rooftop solar systems. It provides housing loans, primarily, to the un-served and un-reached markets, which include the States of Rajasthan, Maharashtra, Gujarat, Madhya Pradesh, Haryana, Uttar Pradesh, Chhattisgarh, Uttarakhand, Punjab, Himachal Pradesh, Delhi, Odisha, Karnataka and Tamil Nadu. The Company operates in approximately 14 states with a total of 397 branches.</v>
    <v>7233</v>
    <v>National Stock Exchange of India</v>
    <v>XNSE</v>
    <v>XNSE</v>
    <v>201-202, 2nd Floor, Southend Square, Mansarovar Industrial Area, JAIPUR, RAJASTHAN, 302020 IN</v>
    <v>1520</v>
    <v>Banking Services</v>
    <v>Stock</v>
    <v>46017.49287037037</v>
    <v>588</v>
    <v>1475.3</v>
    <v>117209400000</v>
    <v>AAVAS FINANCIERS LIMITED</v>
    <v>AAVAS FINANCIERS LIMITED</v>
    <v>1520</v>
    <v>19.829999999999998</v>
    <v>1511.8</v>
    <v>1480.3</v>
    <v>79179510</v>
    <v>AAVAS</v>
    <v>AAVAS FINANCIERS LIMITED (XNSE:AAVAS)</v>
    <v>99353</v>
    <v>226200</v>
    <v>2011</v>
  </rv>
  <rv s="2">
    <v>589</v>
  </rv>
  <rv s="0">
    <v>https://www.bing.com/financeapi/forcetrigger?t=ahgqfr&amp;q=XNSE%3aABBOTINDIA&amp;form=skydnc</v>
    <v>Learn more on Bing</v>
  </rv>
  <rv s="1">
    <v>en-US</v>
    <v>ahgqfr</v>
    <v>268435456</v>
    <v>1</v>
    <v>Powered by Refinitiv</v>
    <v>0</v>
    <v>ABBOTT INDIA LIMITED (XNSE:ABBOTINDIA)</v>
    <v>2</v>
    <v>3</v>
    <v>Finance</v>
    <v>4</v>
    <v>37000</v>
    <v>25325</v>
    <v>0.17419999999999999</v>
    <v>390</v>
    <v>1.3677E-2</v>
    <v>INR</v>
    <v>Abbott India Limited is an India-based pharmaceutical company. The Company is involved in product development, manufacturing, sales, and customer service. It distributes products and solutions in multiple therapeutic categories, such as women's health, gastroenterology, cardiology, metabolic disorders and primary care. It operates in a single reportable business segment, which is Pharmaceuticals. The Company’s products include Arachitol Nano, Digeraft, Influvac, Colospa, Duphalac, Librax, Creon, Duphaston, Prothiaden, Cremaffin, Duvadilan, Thyronorm, Cremaffin Plus, Ganaton, Udiliv, Digene, Heptral, Vertin, Zolfresh, Citrosoda UTI, Digene Insta On The Go, Digeraft tablet, Duphaston OD, Pneumoshield 14, Prothiaden Neu, Vonefi, Levesam, and LOBATE M Skin Cream, among others. The Company sells its products through independent distributors primarily within India.</v>
    <v>3659</v>
    <v>National Stock Exchange of India</v>
    <v>XNSE</v>
    <v>XNSE</v>
    <v>Godrej BKC, Plot C 68, G block, 16th Floor, Bandra Kurla Complex, Near MCA Club, Bandra ( E ), MUMBAI, MAHARASHTRA, 400051 IN</v>
    <v>28990</v>
    <v>Pharmaceuticals</v>
    <v>Stock</v>
    <v>46017.49287037037</v>
    <v>591</v>
    <v>28425</v>
    <v>605923900000</v>
    <v>ABBOTT INDIA LIMITED</v>
    <v>ABBOTT INDIA LIMITED</v>
    <v>28515</v>
    <v>40.159999999999997</v>
    <v>28515</v>
    <v>28905</v>
    <v>21249300</v>
    <v>ABBOTINDIA</v>
    <v>ABBOTT INDIA LIMITED (XNSE:ABBOTINDIA)</v>
    <v>3858</v>
    <v>5850</v>
    <v>1944</v>
  </rv>
  <rv s="2">
    <v>592</v>
  </rv>
  <rv s="0">
    <v>https://www.bing.com/financeapi/forcetrigger?t=ahgqzr&amp;q=XNSE%3aACE&amp;form=skydnc</v>
    <v>Learn more on Bing</v>
  </rv>
  <rv s="1">
    <v>en-US</v>
    <v>ahgqzr</v>
    <v>268435456</v>
    <v>1</v>
    <v>Powered by Refinitiv</v>
    <v>0</v>
    <v>ACTION CONSTRUCTION EQUIPMENT LIMITED (XNSE:ACE)</v>
    <v>2</v>
    <v>3</v>
    <v>Finance</v>
    <v>4</v>
    <v>1600</v>
    <v>909</v>
    <v>0.94779999999999998</v>
    <v>-9.5</v>
    <v>-9.8890000000000002E-3</v>
    <v>INR</v>
    <v>Action Construction Equipment Limited is an India-based material handling and construction equipment manufacturing company offering technology products with a market share in mobile cranes and tower cranes segment. Its segments include Cranes, Construction Equipment, Material Handling and Agriculture Equipment. Its equipment includes mobile cranes, truck mounted cranes, crawler cranes, rough terrain hydraulic mobile cranes, forklift trucks, mobile tower cranes, tower cranes, concrete placing boom, piling rigs, backhoe loaders, road equipment, vibratory rollers, loaders, warehousing equipment, tractors and agri equipment. Its mobile cranes include pick and carry cranes, and NextGen pick and carry cranes. Its truck mounted cranes include TM series and lorry loader cranes. Its agri equipment includes harvester combine, rotavator and baler. Its rough terrain hydraulic mobile cranes include 20XW-RT, 40XW and 75XW. Its forklift trucks include diesel forklifts and electric forklifts.</v>
    <v>1492</v>
    <v>National Stock Exchange of India</v>
    <v>XNSE</v>
    <v>XNSE</v>
    <v>Dudhola Link Road, Dudhola, District-Palwal, 121102 IN</v>
    <v>960.7</v>
    <v>Machinery, Equipment &amp; Components</v>
    <v>Stock</v>
    <v>46017.49287037037</v>
    <v>594</v>
    <v>948.1</v>
    <v>114337900000</v>
    <v>ACTION CONSTRUCTION EQUIPMENT LIMITED</v>
    <v>ACTION CONSTRUCTION EQUIPMENT LIMITED</v>
    <v>960.6</v>
    <v>27.0793</v>
    <v>960.7</v>
    <v>951.2</v>
    <v>119015200</v>
    <v>ACE</v>
    <v>ACTION CONSTRUCTION EQUIPMENT LIMITED (XNSE:ACE)</v>
    <v>92012</v>
    <v>300260</v>
    <v>1995</v>
  </rv>
  <rv s="2">
    <v>595</v>
  </rv>
  <rv s="0">
    <v>https://www.bing.com/financeapi/forcetrigger?t=bnmj77&amp;q=XNSE%3aATGL&amp;form=skydnc</v>
    <v>Learn more on Bing</v>
  </rv>
  <rv s="1">
    <v>en-US</v>
    <v>bnmj77</v>
    <v>268435456</v>
    <v>1</v>
    <v>Powered by Refinitiv</v>
    <v>0</v>
    <v>ADANI TOTAL GAS LIMITED (XNSE:ATGL)</v>
    <v>2</v>
    <v>3</v>
    <v>Finance</v>
    <v>4</v>
    <v>798</v>
    <v>532.6</v>
    <v>2.6337000000000002</v>
    <v>4.5999999999999996</v>
    <v>8.1390000000000004E-3</v>
    <v>INR</v>
    <v>Adani Total Gas Limited is an India-based city gas distribution (CGD) company. The Company supplies Piped Natural Gas (PNG) to the industrial, commercial, and residential segments and Compressed Natural Gas (CNG) to the automotive segment. It is also engaged in the businesses of biogas, biofuel, biomass, Liquid to Compressed Natural Gas (LCNG), Electric Vehicle (EV), High Calorific Natural Gas (HCNG), hydrogen, manufacturing of various equipment and provision of value-added services relating to CGD business. It has a presence in over 33 geographical areas, including states like Madhya Pradesh, Uttar Pradesh, Gujarat, Chhattisgarh, Haryana, Karnataka, Tamil Nadu, Odisha and Rajasthan. Its wholly owned subsidiaries include Adani TotalEnergies E-mobility Limited (ATEL), which is engaged in charging infrastructure for electric vehicles and Adani TotalEnergies Bio-Gas Limited (ATBL), which is focused on compressed biogas (CBG) and organic fertilizer production.</v>
    <v>578</v>
    <v>National Stock Exchange of India</v>
    <v>XNSE</v>
    <v>XNSE</v>
    <v>Adani Corporate House, Shantigram, Near Vaishnodevi Circle, S G Highway, AHMEDABAD, GUJARAT, 382421 IN</v>
    <v>585</v>
    <v>Natural Gas Utilities</v>
    <v>Stock</v>
    <v>46017.49287037037</v>
    <v>597</v>
    <v>563</v>
    <v>621612700000</v>
    <v>ADANI TOTAL GAS LIMITED</v>
    <v>ADANI TOTAL GAS LIMITED</v>
    <v>565.15</v>
    <v>99.33</v>
    <v>565.20000000000005</v>
    <v>569.79999999999995</v>
    <v>1099810000</v>
    <v>ATGL</v>
    <v>ADANI TOTAL GAS LIMITED (XNSE:ATGL)</v>
    <v>842886</v>
    <v>382050</v>
    <v>2005</v>
  </rv>
  <rv s="2">
    <v>598</v>
  </rv>
  <rv s="0">
    <v>https://www.bing.com/financeapi/forcetrigger?t=ahgqim&amp;q=XNSE%3aABCAPITAL&amp;form=skydnc</v>
    <v>Learn more on Bing</v>
  </rv>
  <rv s="1">
    <v>en-US</v>
    <v>ahgqim</v>
    <v>268435456</v>
    <v>1</v>
    <v>Powered by Refinitiv</v>
    <v>0</v>
    <v>ADITYA BIRLA CAPITAL LIMITED (XNSE:ABCAPITAL)</v>
    <v>2</v>
    <v>3</v>
    <v>Finance</v>
    <v>4</v>
    <v>368.95</v>
    <v>149.01</v>
    <v>1.5804</v>
    <v>0.75</v>
    <v>2.1589999999999999E-3</v>
    <v>INR</v>
    <v>Aditya Birla Capital Limited is core investment company. It operates as a holding company for the financial services businesses. The Company, through its subsidiaries and joint ventures, provides a comprehensive suite of financial solutions across loans, investments, insurance, and payments to serve the diverse needs of customers across their lifecycles. It is principally engaged in the business of financial services comprising of lending, both as a non-banking financial institution and as a housing finance institution, life and health insurance, asset management, general insurance, stock broking and others. Its businesses have grown in a range of sectors from metals to cement, fashion to financial services and textiles to trading. It serves various countries in North and South America, Africa, Asia, and Europe. The Company's subsidiaries include Aditya Birla Housing Finance Limited, Aditya Birla Money Limited, and Aditya Birla Money Insurance Advisory Services Limited and others.</v>
    <v>60187</v>
    <v>National Stock Exchange of India</v>
    <v>XNSE</v>
    <v>XNSE</v>
    <v>One World Centre, Tower 1, 18th Floor, Jupiter Mill Compound, 841, Senapati Bapat Marg, Elphinstone Road, MUMBAI, MAHARASHTRA, 400013 IN</v>
    <v>349.95</v>
    <v>Insurance</v>
    <v>Stock</v>
    <v>46017.49287037037</v>
    <v>600</v>
    <v>344</v>
    <v>909237900000</v>
    <v>ADITYA BIRLA CAPITAL LIMITED</v>
    <v>ADITYA BIRLA CAPITAL LIMITED</v>
    <v>348.2</v>
    <v>27.77</v>
    <v>347.4</v>
    <v>348.15</v>
    <v>2617265000</v>
    <v>ABCAPITAL</v>
    <v>ADITYA BIRLA CAPITAL LIMITED (XNSE:ABCAPITAL)</v>
    <v>3234018</v>
    <v>3837730</v>
    <v>2007</v>
  </rv>
  <rv s="2">
    <v>601</v>
  </rv>
  <rv s="0">
    <v>https://www.bing.com/financeapi/forcetrigger?t=ahgqlh&amp;q=XNSE%3aABFRL&amp;form=skydnc</v>
    <v>Learn more on Bing</v>
  </rv>
  <rv s="1">
    <v>en-US</v>
    <v>ahgqlh</v>
    <v>268435456</v>
    <v>1</v>
    <v>Powered by Refinitiv</v>
    <v>0</v>
    <v>Aditya Birla Fashion and Retail Limited (XNSE:ABFRL)</v>
    <v>2</v>
    <v>3</v>
    <v>Finance</v>
    <v>4</v>
    <v>107.75</v>
    <v>70.55</v>
    <v>1.0900000000000001</v>
    <v>-1.1399999999999999</v>
    <v>-1.4630000000000001E-2</v>
    <v>INR</v>
    <v>Aditya Birla Fashion and Retail Limited is an India-based fashion company. The Company offers a portfolio of brands and retail formats, catering to multiple segments. The Company’s segments include Pantaloons and Ethnic and Other. Pantaloons offer a wide variety of styles across categories and occasions. Pantaloons offer various categories, including men, women ethnic, women western, kids, and home and decor. The Company’s foray into the branded ethnic wear business includes brands such as Sabyasachi, S&amp;N by Shantnu &amp; Nikhil, Tasva, House of Masaba, and Jaypore. The Company has partnerships with designers Sabyasachi, Shantanu &amp; Nikhil, Tarun Tahiliani and Masaba Gupta. Its international business includes The Collective, India’s international multi-brand retailer-select brands, such as Ralph Lauren, Hackett London, Ted Baker and Fred Perry. The Company is also building a portfolio of digital-first brands under its technology-led House of D2C Brands venture TMRW.</v>
    <v>26965</v>
    <v>National Stock Exchange of India</v>
    <v>XNSE</v>
    <v>XNSE</v>
    <v>Building 'A', 4th and 5th Floor,, Unit No. 401, 403, 501, 502,, L.B.S. Road Kurla, MUMBAI, MAHARASHTRA, 400070 IN</v>
    <v>77.930000000000007</v>
    <v>Specialty Retailers</v>
    <v>Stock</v>
    <v>46017.49287037037</v>
    <v>603</v>
    <v>76.58</v>
    <v>94767050000</v>
    <v>Aditya Birla Fashion and Retail Limited</v>
    <v>Aditya Birla Fashion and Retail Limited</v>
    <v>77.92</v>
    <v>0</v>
    <v>77.92</v>
    <v>76.78</v>
    <v>1216259000</v>
    <v>ABFRL</v>
    <v>Aditya Birla Fashion and Retail Limited (XNSE:ABFRL)</v>
    <v>7370156</v>
    <v>5487640</v>
    <v>2007</v>
  </rv>
  <rv s="2">
    <v>604</v>
  </rv>
  <rv s="7">
    <v>en-US</v>
    <v>ch8dtc</v>
    <v>268435456</v>
    <v>1</v>
    <v>Powered by Refinitiv</v>
    <v>13</v>
    <v>ADITYA BIRLA LIFESTYLE BRANDS LIMITED (XNSE:ABLBL)</v>
    <v>6</v>
    <v>14</v>
    <v>Finance</v>
    <v>4</v>
    <v>175</v>
    <v>115</v>
    <v>2.2879999999999998</v>
    <v>0.05</v>
    <v>4.0640000000000001E-4</v>
    <v>INR</v>
    <v>Aditya Birla Lifestyle Brands Ltd encompasses the lifestyle brands of Louis Philippe, Van Heusen, Allen Solly, Peter England and Simon Carter. Additionally, it has the youth-fashion western wear brands of American Eagle, an innerwear business under Van Heusen and the sportswear business of Reebok. The Company has retail space spanning over 4.7 million square feet across India. The Company has a network of 3,305 brand stores and a presence across 37,000 multi-brand outlets and 7000 shop-in-shop across department stores.</v>
    <v>National Stock Exchange of India</v>
    <v>XNSE</v>
    <v>XNSE</v>
    <v>Piramal Agastya Corporate Park, Bldg A, 401,403,501,502, Lbs Road, Kurla, MUMBAI, MAHARASHTRA, 400070 IN</v>
    <v>124.99</v>
    <v>Specialty Retailers</v>
    <v>Stock</v>
    <v>46017.49287037037</v>
    <v>121.81</v>
    <v>149628200000</v>
    <v>ADITYA BIRLA LIFESTYLE BRANDS LIMITED</v>
    <v>ADITYA BIRLA LIFESTYLE BRANDS LIMITED</v>
    <v>123.03</v>
    <v>105.07089999999999</v>
    <v>123.03</v>
    <v>123.08</v>
    <v>1216193000</v>
    <v>ABLBL</v>
    <v>ADITYA BIRLA LIFESTYLE BRANDS LIMITED (XNSE:ABLBL)</v>
    <v>7372163</v>
    <v>4526660</v>
    <v>2024</v>
  </rv>
  <rv s="2">
    <v>606</v>
  </rv>
  <rv s="0">
    <v>https://www.bing.com/financeapi/forcetrigger?t=ahhd8m&amp;q=XNSE%3aCENTURYTEX&amp;form=skydnc</v>
    <v>Learn more on Bing</v>
  </rv>
  <rv s="1">
    <v>en-US</v>
    <v>ahhd8m</v>
    <v>268435456</v>
    <v>1</v>
    <v>Powered by Refinitiv</v>
    <v>0</v>
    <v>ADITYA BIRLA REAL ESTATE LIMITED (XNSE:ABREL)</v>
    <v>2</v>
    <v>3</v>
    <v>Finance</v>
    <v>4</v>
    <v>2652.6</v>
    <v>1562.6</v>
    <v>1.3754</v>
    <v>-16.2</v>
    <v>-9.5420000000000001E-3</v>
    <v>INR</v>
    <v>Aditya Birla Real Estate Limited, through its subsidiary, Birla Estates Private Limited, is engaged in the real estate business. It develops residential, commercial and mixed-use properties. It develops residential housing in various markets. Its segments include Pulp and Paper, Real Estate and Others. Pulp and Paper segment includes pulp, writing and printing paper, tissue paper and multilayer packaging board. Real Estate segment includes residential projects, leased properties and investment properties. It is developing owned land parcels, and projects through Joint Ventures with landowners. Its projects are located in Mumbai, Bengaluru and National Capital Region (NCR). Its projects include Birla Anayu, Silas at Birla Niyaara, Birla Vanya, Birla Centurion, Birla Aurora, Century Bhavan, Birla Ojasvi RR Nagar, Birla Trimaya Devanahalli, Birla Tisya Rajajinagar, Birla Alokya Whitefield and Birla Navya. It also has a land parcel covering 70.92 acres in Boisar in Maharashtra.</v>
    <v>2554</v>
    <v>National Stock Exchange of India</v>
    <v>XNSE</v>
    <v>XNSE</v>
    <v>Century Bhavan,, Dr. Annie Besant Road, Worli, MUMBAI, MAHARASHTRA, 400030 IN</v>
    <v>1715</v>
    <v>Paper &amp; Forest Products</v>
    <v>Stock</v>
    <v>46017.49287037037</v>
    <v>608</v>
    <v>1675</v>
    <v>187682500000</v>
    <v>ADITYA BIRLA REAL ESTATE LIMITED</v>
    <v>ADITYA BIRLA REAL ESTATE LIMITED</v>
    <v>1704.5</v>
    <v>0</v>
    <v>1697.8</v>
    <v>1681.6</v>
    <v>110544500</v>
    <v>ABREL</v>
    <v>ADITYA BIRLA REAL ESTATE LIMITED (XNSE:ABREL)</v>
    <v>39912</v>
    <v>126540</v>
    <v>1897</v>
  </rv>
  <rv s="2">
    <v>609</v>
  </rv>
  <rv s="0">
    <v>https://www.bing.com/financeapi/forcetrigger?t=c3oifr&amp;q=XNSE%3aABSLAMC&amp;form=skydnc</v>
    <v>Learn more on Bing</v>
  </rv>
  <rv s="1">
    <v>en-US</v>
    <v>c3oifr</v>
    <v>268435456</v>
    <v>1</v>
    <v>Powered by Refinitiv</v>
    <v>0</v>
    <v>ADITYA BIRLA SUN LIFE AMC LIMITED (XNSE:ABSLAMC)</v>
    <v>2</v>
    <v>3</v>
    <v>Finance</v>
    <v>4</v>
    <v>908</v>
    <v>556.45000000000005</v>
    <v>0.93400000000000005</v>
    <v>-3.25</v>
    <v>-4.2009999999999999E-3</v>
    <v>INR</v>
    <v>Aditya Birla Sun Life AMC Limited is an India-based company. The Company is engaged in the business of providing asset management services to Aditya Birla Sun Life Mutual Fund. The Company also operates multiple alternate strategies including portfolio management services, real estate investments, and alternative investment funds. The Company provides portfolio management services (PMS) and investment advisory services to offshore funds and high net worth investors. The Company also acts as an Investment Manager to Aditya Birla Real Estate Funds (Category II). The Company’s subsidiaries include Aditya Birla Sun Life AMC (Mauritius) Limited, Aditya Birla Sun Life Asset Management Company Pte. Limited, Singapore, and Aditya Birla Sun Life Asset Management Company Limited, DIFC, Dubai.</v>
    <v>1403</v>
    <v>National Stock Exchange of India</v>
    <v>XNSE</v>
    <v>XNSE</v>
    <v>One World Center, Tower 1, 17th Floor, Jupiter Mills, Senapati Bapat Marg, Elphinstone Road, MUMBAI, MAHARASHTRA, 400013 IN</v>
    <v>780</v>
    <v>Investment Banking &amp; Investment Services</v>
    <v>Stock</v>
    <v>46017.49287037037</v>
    <v>611</v>
    <v>767.3</v>
    <v>223427100000</v>
    <v>ADITYA BIRLA SUN LIFE AMC LIMITED</v>
    <v>ADITYA BIRLA SUN LIFE AMC LIMITED</v>
    <v>774.4</v>
    <v>22.99</v>
    <v>773.7</v>
    <v>770.45</v>
    <v>288777400</v>
    <v>ABSLAMC</v>
    <v>ADITYA BIRLA SUN LIFE AMC LIMITED (XNSE:ABSLAMC)</v>
    <v>79741</v>
    <v>408690</v>
    <v>1994</v>
  </rv>
  <rv s="2">
    <v>612</v>
  </rv>
  <rv s="0">
    <v>https://www.bing.com/financeapi/forcetrigger?t=ahgs2w&amp;q=XNSE%3aAEGISCHEM&amp;form=skydnc</v>
    <v>Learn more on Bing</v>
  </rv>
  <rv s="1">
    <v>en-US</v>
    <v>ahgs2w</v>
    <v>268435456</v>
    <v>1</v>
    <v>Powered by Refinitiv</v>
    <v>0</v>
    <v>AEGIS LOGISTICS LIMITED (XNSE:AEGISLOG)</v>
    <v>2</v>
    <v>3</v>
    <v>Finance</v>
    <v>4</v>
    <v>1037</v>
    <v>609.85</v>
    <v>0.77349999999999997</v>
    <v>-5.15</v>
    <v>-7.0940000000000005E-3</v>
    <v>INR</v>
    <v>Aegis Logistics Limited is an India-based integrated oil, gas and chemical logistics company. The Company is engaged in the business of the import and distribution of liquified petroleum gas (LPG) and storage and terminalling facilities for LPG and chemical products. The Company’s segments include Liquid Terminal Division and Gas Terminal Division. The Liquid Terminal Division undertakes the storage and terminalling facility of oil and chemical products. The Gas Terminal Division relates to the imports, storage and distribution of petroleum products, such as LPG, propane and others. It has a network of distributors who sell LPG cylinders and appliances to domestic, commercial, and industrial customers. It also owns and operates a network of shore-based tank farm installations for the handling of bulk liquids for the petroleum, oil, petrochemical, chemical and vegetable oil industries. It has storage facilities at Mumbai, Haldia, Kandla, and Mangalore.</v>
    <v>386</v>
    <v>National Stock Exchange of India</v>
    <v>XNSE</v>
    <v>XNSE</v>
    <v>1202, Tower B, Peninsula Business Park,, G.K Marg, MUMBAI, MAHARASHTRA, 400013 IN</v>
    <v>731</v>
    <v>Oil &amp; Gas Related Equipment and Services</v>
    <v>Stock</v>
    <v>46017.49287037037</v>
    <v>614</v>
    <v>720.05</v>
    <v>254808500000</v>
    <v>AEGIS LOGISTICS LIMITED</v>
    <v>AEGIS LOGISTICS LIMITED</v>
    <v>725.5</v>
    <v>35.520000000000003</v>
    <v>725.95</v>
    <v>720.8</v>
    <v>351000000</v>
    <v>AEGISLOG</v>
    <v>AEGIS LOGISTICS LIMITED (XNSE:AEGISLOG)</v>
    <v>118069</v>
    <v>140070</v>
    <v>1956</v>
  </rv>
  <rv s="2">
    <v>615</v>
  </rv>
  <rv s="10">
    <v>en-US</v>
    <v>cgxy4c</v>
    <v>268435456</v>
    <v>1</v>
    <v>Powered by Refinitiv</v>
    <v>18</v>
    <v>AEGIS VOPAK TERMINALS LIMITED (XNSE:AEGISVOPAK)</v>
    <v>6</v>
    <v>3</v>
    <v>Finance</v>
    <v>4</v>
    <v>302</v>
    <v>220</v>
    <v>1.0149999999999999</v>
    <v>0.8</v>
    <v>3.2360000000000002E-3</v>
    <v>INR</v>
    <v>Aegis Vopak Terminals Limited is an India-based company, which is engaged in the business of providing storage and terminalling facilities for petroleum oil, gas and chemical products in India. The Company’s segments include Liquid Terminal Division, and Gas Terminal Division. The Company is engaged in the business of operating and managing independent storage and handling facilities, together with required infrastructure, including storage terminals and pipelines connected to vessel jetties, to store and handle chemicals; edible oil products; non-edible oil products; petroleum products; liquified petroleum gas; and / or other gases. The Company operates a necklace of 20 tank terminals/installations around the clock, delivering vital infrastructure solutions for storing and moving vital products from energy sources that power homes and businesses to chemicals that fuel manufacturing.</v>
    <v>368</v>
    <v>National Stock Exchange of India</v>
    <v>XNSE</v>
    <v>XNSE</v>
    <v>1202, Tower B, Peninsula Business Park Tower, G.K.Marg, Lower Parel West, Lower Parel, W, MUMBAI, MAHARASHTRA, 400013 IN</v>
    <v>250.8</v>
    <v>Freight &amp; Logistics Services</v>
    <v>Stock</v>
    <v>46017.49287037037</v>
    <v>240.9</v>
    <v>273895500000</v>
    <v>AEGIS VOPAK TERMINALS LIMITED</v>
    <v>AEGIS VOPAK TERMINALS LIMITED</v>
    <v>247.2</v>
    <v>115.01</v>
    <v>247.2</v>
    <v>248</v>
    <v>1107991000</v>
    <v>AEGISVOPAK</v>
    <v>AEGIS VOPAK TERMINALS LIMITED (XNSE:AEGISVOPAK)</v>
    <v>576207</v>
    <v>466790</v>
    <v>2013</v>
  </rv>
  <rv s="2">
    <v>617</v>
  </rv>
  <rv s="10">
    <v>en-US</v>
    <v>cezztc</v>
    <v>268435456</v>
    <v>1</v>
    <v>Powered by Refinitiv</v>
    <v>18</v>
    <v>AFCONS INFRASTRUCTURE LIMITED (XNSE:AFCONS)</v>
    <v>6</v>
    <v>3</v>
    <v>Finance</v>
    <v>4</v>
    <v>570</v>
    <v>376.3</v>
    <v>1.359</v>
    <v>2.2999999999999998</v>
    <v>5.9330000000000008E-3</v>
    <v>INR</v>
    <v>Afcons Infrastructure Limited is an India-based infrastructure construction company. It is engaged in construction of marine works, highways, bridges, railways, metro works, hydro and underground, water, tunnels, oil &amp; gas, LNG (liquefied natural gas) tanks. Its business includes Marine and Industrial, Surface Transport, Urban Infrastructure, Oil and Gas, and Hydro and Underground. Marine and industrial segment covers project related to ports and harbors jetties, dry docks, wet basins, breakwaters, outfall and intake structure, LNG tanks and material handling systems. Surface and transport segment which covers project like highways and roads, interchanges, mining-related, infrastructure, railways. Urban infrastructure business focusses on metro works, bridges and flyovers. Oil and gas business focusses on offshore oil and gas and onshore oil and gas segments. Hydro and underground business focusses on the dams and barrages, tunnels and underground works and water and irrigation.</v>
    <v>3793</v>
    <v>National Stock Exchange of India</v>
    <v>XNSE</v>
    <v>XNSE</v>
    <v>Afcons House, 16 Shah Industrial Estate, Veera Desai Road, Azadnagar, Andheri ( West ), MUMBAI, MAHARASHTRA, 400053 IN</v>
    <v>391.25</v>
    <v>Construction &amp; Engineering</v>
    <v>Stock</v>
    <v>46017.49287037037</v>
    <v>386.5</v>
    <v>142571700000</v>
    <v>AFCONS INFRASTRUCTURE LIMITED</v>
    <v>AFCONS INFRASTRUCTURE LIMITED</v>
    <v>387.5</v>
    <v>28.554600000000001</v>
    <v>387.65</v>
    <v>389.95</v>
    <v>367784600</v>
    <v>AFCONS</v>
    <v>AFCONS INFRASTRUCTURE LIMITED (XNSE:AFCONS)</v>
    <v>212976</v>
    <v>441940</v>
    <v>1976</v>
  </rv>
  <rv s="2">
    <v>619</v>
  </rv>
  <rv s="0">
    <v>https://www.bing.com/financeapi/forcetrigger?t=ahgt7w&amp;q=XNSE%3aAJANTPHARM&amp;form=skydnc</v>
    <v>Learn more on Bing</v>
  </rv>
  <rv s="1">
    <v>en-US</v>
    <v>ahgt7w</v>
    <v>268435456</v>
    <v>1</v>
    <v>Powered by Refinitiv</v>
    <v>0</v>
    <v>AJANTA PHARMA LIMITED (XNSE:AJANTPHARM)</v>
    <v>2</v>
    <v>3</v>
    <v>Finance</v>
    <v>4</v>
    <v>3115.9</v>
    <v>2327.3000000000002</v>
    <v>0.60750000000000004</v>
    <v>-52.9</v>
    <v>-1.9345000000000001E-2</v>
    <v>INR</v>
    <v>Ajanta Pharma Limited is an India-based specialty pharmaceutical company. It provides a comprehensive range of specialty branded generic products targeting a broad range of chronic and acute therapies. It is focused on branded generic businesses across India, Asia, and Africa. It has a wide range of therapeutic segments, such as cardiology, anti-diabetes, ophthalmology, dermatology, antibiotic, anti-malarial, pain, respiratory, gynecology, pediatric and general health products. Its business also consists of two verticals: the United States generics and the institutional business in Africa. Its ophthalmology products include Bimat (anti glaucoma), Nepaflam (anti-inflammatory), Softdrops (lubricant), and Olopat (anti-allergic). Its cardiology products include MET XL, Atorfit CV, Antihypertensive Cinod, Rosutor Gold, Dapalex and Vilatin. Its subsidiaries include Ajanta Pharma (Mauritius) Limited, Ajanta Pharma USA Inc., Ajanta Pharma Philippines Inc., and Ajanta Pharma Nigeria Limited.</v>
    <v>9628</v>
    <v>National Stock Exchange of India</v>
    <v>XNSE</v>
    <v>XNSE</v>
    <v>Ajanta House,, Charkop, Kandivli West,, MUMBAI, MAHARASHTRA, 400067 IN</v>
    <v>2732</v>
    <v>Pharmaceuticals</v>
    <v>Stock</v>
    <v>46017.49287037037</v>
    <v>621</v>
    <v>2671.2</v>
    <v>335027400000</v>
    <v>AJANTA PHARMA LIMITED</v>
    <v>AJANTA PHARMA LIMITED</v>
    <v>2732</v>
    <v>35.1</v>
    <v>2734.5</v>
    <v>2681.6</v>
    <v>124935600</v>
    <v>AJANTPHARM</v>
    <v>AJANTA PHARMA LIMITED (XNSE:AJANTPHARM)</v>
    <v>50418</v>
    <v>163420</v>
    <v>1979</v>
  </rv>
  <rv s="2">
    <v>622</v>
  </rv>
  <rv s="10">
    <v>en-US</v>
    <v>cecf1h</v>
    <v>268435456</v>
    <v>1</v>
    <v>Powered by Refinitiv</v>
    <v>18</v>
    <v>AKUMS DRUGS AND PHARMACEUTICALS LIMITED (XNSE:AKUMS)</v>
    <v>6</v>
    <v>3</v>
    <v>Finance</v>
    <v>4</v>
    <v>678.4</v>
    <v>405</v>
    <v>1.7070000000000001</v>
    <v>0.1</v>
    <v>2.241E-4</v>
    <v>INR</v>
    <v>Akums Drugs and Pharmaceuticals Limited is an India-based pharmaceutical contract development and manufacturing company. The Company offers a comprehensive range of pharmaceutical products and services in India and overseas. The Company’s segments include Contract Development and Manufacturing Operations (CDMO), Active Pharmaceutical Ingredient (API), Domestic Branded Formulations, International Branded Formulations, and Trade Generics. The CDMO segment is engaged in formulation research and development, preparation and regulatory filing of dossiers, manufacturing formulations on a contract basis, job work and testing services. The API segment is engaged in the manufacture and sale of key starting materials, Intermediate and API products. The Domestic Branded Formulations segment includes marketing of its branded formulations in the Indian market. The International Branded Formulations segment undertakes the marketing of its branded formulations in the global market.</v>
    <v>7536</v>
    <v>National Stock Exchange of India</v>
    <v>XNSE</v>
    <v>XNSE</v>
    <v>Plot No. 131 to 133, Block-C, Mangolpuri Ind. Area, Phase-I (adjoining CBSE Office), DELHI, DELHI, 110083 IN</v>
    <v>450</v>
    <v>Pharmaceuticals</v>
    <v>Stock</v>
    <v>46017.49287037037</v>
    <v>442.05</v>
    <v>68329450000</v>
    <v>AKUMS DRUGS AND PHARMACEUTICALS LIMITED</v>
    <v>AKUMS DRUGS AND PHARMACEUTICALS LIMITED</v>
    <v>449.9</v>
    <v>21.55</v>
    <v>446.3</v>
    <v>446.4</v>
    <v>153102100</v>
    <v>AKUMS</v>
    <v>AKUMS DRUGS AND PHARMACEUTICALS LIMITED (XNSE:AKUMS)</v>
    <v>115119</v>
    <v>501260</v>
    <v>2004</v>
  </rv>
  <rv s="2">
    <v>624</v>
  </rv>
  <rv s="0">
    <v>https://www.bing.com/financeapi/forcetrigger?t=ahgtm7&amp;q=XNSE%3aAKZOINDIA&amp;form=skydnc</v>
    <v>Learn more on Bing</v>
  </rv>
  <rv s="1">
    <v>en-US</v>
    <v>ahgtm7</v>
    <v>268435456</v>
    <v>1</v>
    <v>Powered by Refinitiv</v>
    <v>0</v>
    <v>Akzo Nobel India Limited (XNSE:AKZOINDIA)</v>
    <v>2</v>
    <v>3</v>
    <v>Finance</v>
    <v>4</v>
    <v>3788.49</v>
    <v>2892.65</v>
    <v>0.33090000000000003</v>
    <v>-12.2</v>
    <v>-3.8900000000000002E-3</v>
    <v>INR</v>
    <v>Akzo Nobel India Limited is an India-based coatings company, which is engaged in the business of manufacturing, trading, and selling paints and related products. Its business unit includes Decorative Paints, Automotive &amp; Specialty Coatings (ASC), Powder Coatings, Industrial Coatings, Marine &amp; Protective Coatings. The decorative paint business offers a range of products, including paints, lacquers, and varnishes. It also supplies a range of mixing machines, color concepts and training initiatives for the building and renovation industry. ASC provides coating solutions for various industries in India, such as automotive original equipment manufacturer coatings, consumer electronics coatings, vehicle refinishes and specialty coatings. Powder coatings are a sustainable alternative to liquid coatings. The industrial coatings business includes coil and extrusion coatings, packaging coatings, wood finishes and adhesives. Its portfolio brands include Dulux, International, Sikkens and Interpon.</v>
    <v>1577</v>
    <v>National Stock Exchange of India</v>
    <v>XNSE</v>
    <v>XNSE</v>
    <v>9th Floor, Magnum Towers, Golf Course Extension Road, Sector 58, GURGAON, HARYANA, 122011 IN</v>
    <v>3152.1</v>
    <v>Chemicals</v>
    <v>Stock</v>
    <v>46017.49287037037</v>
    <v>626</v>
    <v>3120</v>
    <v>142814400000</v>
    <v>Akzo Nobel India Limited</v>
    <v>Akzo Nobel India Limited</v>
    <v>3149</v>
    <v>7.1458000000000004</v>
    <v>3136</v>
    <v>3123.8</v>
    <v>45540310</v>
    <v>AKZOINDIA</v>
    <v>Akzo Nobel India Limited (XNSE:AKZOINDIA)</v>
    <v>28461</v>
    <v>1169540</v>
    <v>1954</v>
  </rv>
  <rv s="2">
    <v>627</v>
  </rv>
  <rv s="0">
    <v>https://www.bing.com/financeapi/forcetrigger?t=ahgwpr&amp;q=XNSE%3aAPLLTD&amp;form=skydnc</v>
    <v>Learn more on Bing</v>
  </rv>
  <rv s="1">
    <v>en-US</v>
    <v>ahgwpr</v>
    <v>268435456</v>
    <v>1</v>
    <v>Powered by Refinitiv</v>
    <v>0</v>
    <v>ALEMBIC PHARMACEUTICALS LIMITED (XNSE:APLLTD)</v>
    <v>2</v>
    <v>3</v>
    <v>Finance</v>
    <v>4</v>
    <v>1123.95</v>
    <v>725.2</v>
    <v>0.78790000000000004</v>
    <v>-5</v>
    <v>-5.8330000000000005E-3</v>
    <v>INR</v>
    <v>Alembic Pharmaceuticals Limited is an India-based pharmaceutical company. The Company is engaged in manufacturing and marketing Indian Formulations, International Generics, and Active Pharmaceutical Ingredients (APIs) across the globe. It delivers a diverse and expanding range of generics across chronic segments. Its therapies include Dermatology, Anti-Infective, Cold &amp; Cough, Gastrology, Cardiology, Anti-Diabetic, Ophthalmology, Nephro/Uro, Animal Health, Orthopedic and Gynecology. Its products under International Generics are manufactured across its facilities in Panelav, Karkhadi and Jarod in Gujarat. It also has research and development facilities in Vadodara (Gujarat), Hyderabad (Telangana), and New Jersey (United States). Its APIs are manufactured at its three plants in Panelav and Karkhadi in Gujarat. The manufacturing facility in Sikkim is for manufacturing its Indian Formulations.</v>
    <v>16571</v>
    <v>National Stock Exchange of India</v>
    <v>XNSE</v>
    <v>XNSE</v>
    <v>Alembic Road, VADODARA, GUJARAT, 390003 IN</v>
    <v>863.2</v>
    <v>Pharmaceuticals</v>
    <v>Stock</v>
    <v>46017.49287037037</v>
    <v>629</v>
    <v>851</v>
    <v>168493900000</v>
    <v>ALEMBIC PHARMACEUTICALS LIMITED</v>
    <v>ALEMBIC PHARMACEUTICALS LIMITED</v>
    <v>863.2</v>
    <v>26.53</v>
    <v>857.2</v>
    <v>852.2</v>
    <v>196563100</v>
    <v>APLLTD</v>
    <v>ALEMBIC PHARMACEUTICALS LIMITED (XNSE:APLLTD)</v>
    <v>17310</v>
    <v>54600</v>
    <v>2010</v>
  </rv>
  <rv s="2">
    <v>630</v>
  </rv>
  <rv s="0">
    <v>https://www.bing.com/financeapi/forcetrigger?t=ahgua2&amp;q=XNSE%3aALKEM&amp;form=skydnc</v>
    <v>Learn more on Bing</v>
  </rv>
  <rv s="1">
    <v>en-US</v>
    <v>ahgua2</v>
    <v>268435456</v>
    <v>1</v>
    <v>Powered by Refinitiv</v>
    <v>0</v>
    <v>ALKEM LABORATORIES LIMITED (XNSE:ALKEM)</v>
    <v>2</v>
    <v>3</v>
    <v>Finance</v>
    <v>4</v>
    <v>5868</v>
    <v>4491.6499999999996</v>
    <v>0.80120000000000002</v>
    <v>-31</v>
    <v>-5.5700000000000003E-3</v>
    <v>INR</v>
    <v>Alkem Laboratories Ltd. is an India-based pharmaceutical company engaged in the development, manufacturing, and sale of pharmaceutical products. The Company operates in a single business segment-Pharmaceuticals. It produces branded generics, generic drugs, active pharmaceutical ingredients (APIs), and nutraceuticals, which it markets in India and international markets. It has a portfolio of approximately 800 brands in India and maintains a presence in over 40 international markets, with the United States being its key focus market. Its offerings include therapies, prescription (Rx) products, and Alkem generics. Its therapy offerings cover multiple medical fields, including anti-infectives, anti-osteoporosis, cardiology, neurology, dermatology, diabetology, gastroenterology, gynecology, oncology, ophthalmology, respiratory care, rheumatology, and urology. The Company’s subsidiaries include Ascend Laboratories (Pty) Ltd, Pharmacor Pty Limited, Alkem Laboratories Corporation, and others.</v>
    <v>18642</v>
    <v>National Stock Exchange of India</v>
    <v>XNSE</v>
    <v>XNSE</v>
    <v>Devashish Building, Alkem House, Senapati Bapat Road, Lower Parel, MUMBAI, MAHARASHTRA, 400013 IN</v>
    <v>5581</v>
    <v>Pharmaceuticals</v>
    <v>Stock</v>
    <v>46017.49287037037</v>
    <v>632</v>
    <v>5508</v>
    <v>665498800000</v>
    <v>ALKEM LABORATORIES LIMITED</v>
    <v>ALKEM LABORATORIES LIMITED</v>
    <v>5539</v>
    <v>28.03</v>
    <v>5566</v>
    <v>5535</v>
    <v>119565000</v>
    <v>ALKEM</v>
    <v>ALKEM LABORATORIES LIMITED (XNSE:ALKEM)</v>
    <v>40414</v>
    <v>48940</v>
    <v>1973</v>
  </rv>
  <rv s="2">
    <v>633</v>
  </rv>
  <rv s="0">
    <v>https://www.bing.com/financeapi/forcetrigger?t=ahgucw&amp;q=XNSE%3aALKYLAMINE&amp;form=skydnc</v>
    <v>Learn more on Bing</v>
  </rv>
  <rv s="1">
    <v>en-US</v>
    <v>ahgucw</v>
    <v>268435456</v>
    <v>1</v>
    <v>Powered by Refinitiv</v>
    <v>0</v>
    <v>ALKYL AMINES CHEMICALS LIMITED (XNSE:ALKYLAMINE)</v>
    <v>2</v>
    <v>3</v>
    <v>Finance</v>
    <v>4</v>
    <v>2438.8000000000002</v>
    <v>1508</v>
    <v>0.89359999999999995</v>
    <v>-22.2</v>
    <v>-1.3846000000000001E-2</v>
    <v>INR</v>
    <v>Alkyl Amines Chemicals Limited is an India-based company, which is engaged in the business of manufacturing and supply of aliphatic amines, amine derivatives and other specialty chemicals. The Company manufactures aliphatic amines, specialty amines and amine derivatives and supply to pharmaceutical, agrochemical, water treatment, rubber chemical to a variety of industries. Its aliphatic amines products include Methylamine, Ethylamine, Isopropylamine, Propylamines, Cyclohexylamines, Butylamines, Ethylhexylamines and Furfurylamine. Its amine derivatives products include Dimethylamine hydrochloride, Triethylamine hydrochloride, Diisopropylethylamine, and Diethyl toluamide. Its specialty chemical products include acetonitrile, 1,8-Diazabicyclo [5.4.0] undec-7-ene (DBU), Diethyleketone or 3-Pentanone, ALCHAN 100, ALCHAN 300, 2-aminoethoxy ethano (DGA), 2-ethoxy ethylamine (EOEA), tempo, free radical, Monomethylamine 30% in MeOH, Tetramethyl ethylenediamine, and Monomethylamine 25% in MeOH.</v>
    <v>643</v>
    <v>National Stock Exchange of India</v>
    <v>XNSE</v>
    <v>XNSE</v>
    <v>401-407, Nirman Vyapar Kendra,, Sector 17, Vashi,, NAVI MUMBAI, MAHARASHTRA, 400703 IN</v>
    <v>1605</v>
    <v>Chemicals</v>
    <v>Stock</v>
    <v>46017.49287037037</v>
    <v>635</v>
    <v>1580</v>
    <v>80868980000</v>
    <v>ALKYL AMINES CHEMICALS LIMITED</v>
    <v>ALKYL AMINES CHEMICALS LIMITED</v>
    <v>1605</v>
    <v>45</v>
    <v>1603.4</v>
    <v>1581.2</v>
    <v>51144050</v>
    <v>ALKYLAMINE</v>
    <v>ALKYL AMINES CHEMICALS LIMITED (XNSE:ALKYLAMINE)</v>
    <v>28223</v>
    <v>21400</v>
    <v>1979</v>
  </rv>
  <rv s="2">
    <v>636</v>
  </rv>
  <rv s="0">
    <v>https://www.bing.com/financeapi/forcetrigger?t=ahguoc&amp;q=XNSE%3aALOKINDS&amp;form=skydnc</v>
    <v>Learn more on Bing</v>
  </rv>
  <rv s="1">
    <v>en-US</v>
    <v>ahguoc</v>
    <v>268435456</v>
    <v>1</v>
    <v>Powered by Refinitiv</v>
    <v>0</v>
    <v>ALOK INDUSTRIES LIMITED (XNSE:ALOKINDS)</v>
    <v>2</v>
    <v>3</v>
    <v>Finance</v>
    <v>4</v>
    <v>23.5</v>
    <v>14.01</v>
    <v>0.67490000000000006</v>
    <v>-0.3</v>
    <v>-1.8093999999999999E-2</v>
    <v>INR</v>
    <v>Alok Industries Limited is an India-based vertically integrated textile company with integration in both cotton and polyester segments. In the cotton segment, the Company is integrated right from spinning to weaving, processing, finished fabrics, bedsheets, towels and garments. In the polyester segment, the integration is from continuous polymerization where PTA and MEG are used to make melt to produce polyester chips to partially oriented yarn (POY), fully drawn yarn (FDY), drawn texturized yarn (DTY) and polyester staple fiber (PSF). Its products include polyester, spun yarns, apparel fabrics, home textiles, garments, textile accessories, technical textiles and corrugated packaging. Its plants are situated at Vapi (in Gujarat) and Silvassa (part of a Union Territory near Vapi). The Company has a customer base across the world that includes global retail brands, textile importers, private labels, and domestic retailers, garment and textile manufacturers and traders.</v>
    <v>21037</v>
    <v>National Stock Exchange of India</v>
    <v>XNSE</v>
    <v>XNSE</v>
    <v>Peninsula Business Park, Tower-B, 2nd &amp; 3rd Floor, G.K.Marg,, MUMBAI, MAHARASHTRA, 400013 IN</v>
    <v>16.55</v>
    <v>Textiles &amp; Apparel</v>
    <v>Stock</v>
    <v>46017.49287037037</v>
    <v>638</v>
    <v>16.21</v>
    <v>80834120000</v>
    <v>ALOK INDUSTRIES LIMITED</v>
    <v>ALOK INDUSTRIES LIMITED</v>
    <v>16.55</v>
    <v>0</v>
    <v>16.579999999999998</v>
    <v>16.28</v>
    <v>4965240000</v>
    <v>ALOKINDS</v>
    <v>ALOK INDUSTRIES LIMITED (XNSE:ALOKINDS)</v>
    <v>2995405</v>
    <v>6755510</v>
    <v>1986</v>
  </rv>
  <rv s="2">
    <v>639</v>
  </rv>
  <rv s="0">
    <v>https://www.bing.com/financeapi/forcetrigger?t=aysetc&amp;q=XNSE%3aAMBER&amp;form=skydnc</v>
    <v>Learn more on Bing</v>
  </rv>
  <rv s="1">
    <v>en-US</v>
    <v>aysetc</v>
    <v>268435456</v>
    <v>1</v>
    <v>Powered by Refinitiv</v>
    <v>0</v>
    <v>AMBER ENTERPRISES INDIA LIMITED (XNSE:AMBER)</v>
    <v>2</v>
    <v>3</v>
    <v>Finance</v>
    <v>4</v>
    <v>8626</v>
    <v>5235</v>
    <v>0.3503</v>
    <v>-8</v>
    <v>-1.201E-3</v>
    <v>INR</v>
    <v>Amber Enterprises India Limited is engaged in the manufacturing of consumer durable products. The Company is a manufacturer of room air conditioners and its components for the original equipment manufacturer (OEM) /original design manufacturer (ODM) industry, including scrap. Its segments include consumer durables, electronics and railway subsystem &amp; defense. Its business division includes consumer durable, mobility, and electronics. Its consumer durable offers room air conditioner (RAC) products and heating, ventilation, and air conditioning (HVAC) components. It manufactures all types of room and mobile air conditioners and its components, such as heat exchangers, motors, multi-flow condensers, sheet metal components, copper tubing, plastic extrusion, vacuum forming and injection molding for OEM/ ODM industries in India. It also manufactures non-air conditioner components such as case liners for refrigerators, plastic extrusion sheets, and sheet metal components for microwaves.</v>
    <v>3994</v>
    <v>National Stock Exchange of India</v>
    <v>XNSE</v>
    <v>XNSE</v>
    <v>Universal Trade Tower, 1st Floor, Sector 49, Sohna Road, GURGAON, HARYANA, 122018 IN</v>
    <v>6733</v>
    <v>Machinery, Equipment &amp; Components</v>
    <v>Stock</v>
    <v>46017.49287037037</v>
    <v>641</v>
    <v>6618</v>
    <v>233964400000</v>
    <v>AMBER ENTERPRISES INDIA LIMITED</v>
    <v>AMBER ENTERPRISES INDIA LIMITED</v>
    <v>6689</v>
    <v>100.56</v>
    <v>6660</v>
    <v>6652</v>
    <v>35172040</v>
    <v>AMBER</v>
    <v>AMBER ENTERPRISES INDIA LIMITED (XNSE:AMBER)</v>
    <v>90381</v>
    <v>202410</v>
    <v>1990</v>
  </rv>
  <rv s="2">
    <v>642</v>
  </rv>
  <rv s="0">
    <v>https://www.bing.com/financeapi/forcetrigger?t=c4etk2&amp;q=XNSE%3aANANDRATHI&amp;form=skydnc</v>
    <v>Learn more on Bing</v>
  </rv>
  <rv s="1">
    <v>en-US</v>
    <v>c4etk2</v>
    <v>268435456</v>
    <v>1</v>
    <v>Powered by Refinitiv</v>
    <v>0</v>
    <v>Anand Rathi Wealth Ltd (XNSE:ANANDRATHI)</v>
    <v>2</v>
    <v>3</v>
    <v>Finance</v>
    <v>4</v>
    <v>3321.4</v>
    <v>1594</v>
    <v>-0.2056</v>
    <v>-29</v>
    <v>-9.469E-3</v>
    <v>INR</v>
    <v>Anand Rathi Wealth Limited is an India-based wealth solutions provider. The Company is engaged in the business of services for the distribution and sale of financial products. It works with high and ultra-high net worth individuals (HNIs and UHNIs) to facilitate their investments in financial instruments using its solutions. Its flagship Private Wealth (PW) vertical is engaged in providing solutions to its clients by facilitating investments in financial instruments. Its Digital Wealth (DW) vertical focuses on integrating financial technology (fintech) and providing wealth solutions to the mass affluent sector through a physical plus digital (phygital) channel, or a blend of human contact and technology. Omni Financial Advisors (OFA) is a technology platform that is designed specifically for Mutual Fund Distributors (MFDs) and Independent Financial Advisors. It offers business dashboards, online mutual fund transactions, goal planning, and post sales services.</v>
    <v>1161</v>
    <v>National Stock Exchange of India</v>
    <v>XNSE</v>
    <v>XNSE</v>
    <v>Floor No 2nd &amp; 3rd, Block B &amp; C, E, Wing, Trade Link, Kamala Mills Compound,, Senapati Bapat Marg, Lower Parel, MUMBAI, MAHARASHTRA, 400013 IN</v>
    <v>3108.9</v>
    <v>Investment Banking &amp; Investment Services</v>
    <v>Stock</v>
    <v>46017.49287037037</v>
    <v>644</v>
    <v>3012.5</v>
    <v>251843100000</v>
    <v>Anand Rathi Wealth Ltd</v>
    <v>Anand Rathi Wealth Ltd</v>
    <v>3070</v>
    <v>73.86</v>
    <v>3062.5</v>
    <v>3033.5</v>
    <v>83020630</v>
    <v>ANANDRATHI</v>
    <v>Anand Rathi Wealth Ltd (XNSE:ANANDRATHI)</v>
    <v>314680</v>
    <v>277930</v>
    <v>1995</v>
  </rv>
  <rv s="2">
    <v>645</v>
  </rv>
  <rv s="0">
    <v>https://www.bing.com/financeapi/forcetrigger?t=ahgvhw&amp;q=XNSE%3aANANTRAJ&amp;form=skydnc</v>
    <v>Learn more on Bing</v>
  </rv>
  <rv s="1">
    <v>en-US</v>
    <v>ahgvhw</v>
    <v>268435456</v>
    <v>1</v>
    <v>Powered by Refinitiv</v>
    <v>0</v>
    <v>Anant Raj Limited (XNSE:ANANTRAJ)</v>
    <v>2</v>
    <v>3</v>
    <v>Finance</v>
    <v>4</v>
    <v>947.9</v>
    <v>376.15</v>
    <v>1.0611999999999999</v>
    <v>-12.15</v>
    <v>-2.1436E-2</v>
    <v>INR</v>
    <v>Anant Raj Limited is an India-based real estate and infrastructure company. The Company is engaged in the construction and development of residential townships, group housing, commercial developments, information and technology parks, malls, office complexes, affordable housing, data centers, hospitality and serviced apartments. In addition to its real estate ventures, it has expanded into high-tech infrastructure, including the development of cutting-edge data center facilities, including digital cloud services. Its residential projects include Anant Raj Estate Township, Birla Navya - JV with Birla Estates, Ashok Estate, Estate Residences, Affordable Housing and Hospitality and Commercia. Its projects include Anant Raj Aashray II, Tirupati, Andhra Pradesh; Anant Raj Center 1, Chattarpur, South Delhi; Anant Raj Center 2, NH-8, Delhi, and others. Anant Raj Estate is its flagship integrated township spread across 220 acres at Sector 63A, Golf Course Extension Road, Gurugram.</v>
    <v>213</v>
    <v>National Stock Exchange of India</v>
    <v>XNSE</v>
    <v>XNSE</v>
    <v>H-65,Connuught Circus, NEW DELHI, DELHI, 110001 IN</v>
    <v>565</v>
    <v>Real Estate Operations</v>
    <v>Stock</v>
    <v>46017.49287037037</v>
    <v>647</v>
    <v>551.6</v>
    <v>203978300000</v>
    <v>Anant Raj Limited</v>
    <v>Anant Raj Limited</v>
    <v>565</v>
    <v>39.42</v>
    <v>566.79999999999995</v>
    <v>554.65</v>
    <v>359876900</v>
    <v>ANANTRAJ</v>
    <v>Anant Raj Limited (XNSE:ANANTRAJ)</v>
    <v>1343631</v>
    <v>3896660</v>
    <v>1985</v>
  </rv>
  <rv s="2">
    <v>648</v>
  </rv>
  <rv s="0">
    <v>https://www.bing.com/financeapi/forcetrigger?t=bwd9u2&amp;q=XNSE%3aANGELONE&amp;form=skydnc</v>
    <v>Learn more on Bing</v>
  </rv>
  <rv s="1">
    <v>en-US</v>
    <v>bwd9u2</v>
    <v>268435456</v>
    <v>1</v>
    <v>Powered by Refinitiv</v>
    <v>0</v>
    <v>ANGEL ONE LIMITED (XNSE:ANGELONE)</v>
    <v>2</v>
    <v>3</v>
    <v>Finance</v>
    <v>4</v>
    <v>3285</v>
    <v>1941</v>
    <v>1.5892999999999999</v>
    <v>-28</v>
    <v>-1.1094E-2</v>
    <v>INR</v>
    <v>Angel One Limited is a retail full-service broking house. The Company is engaged in the business of stock, currency, and commodity broking, providing margin trading facilities, depository services and distribution of mutual funds to its clients. The Company operates through the Broking and related services segment. Broking and related services segment is engaged in broking, advisory, third-party product distribution, margin trade facility and other fee-based services. Its digital platforms include Angel One Super App, Angel One Trade, and Smart API. It offers various investment options, such as stocks, mutual funds, upcoming initial public offering (IPO), futures, options, United States stocks, exchange-traded funds (ETF), currencies, commodities, and more. The Company's subsidiaries include Angel Financial Advisors Private Limited, Angel Fincap Private Limited, Angel Securities Limited, Angel DigiTech Services Private Limited, Mimansa Software Systems Private Limited, and others.</v>
    <v>3823</v>
    <v>National Stock Exchange of India</v>
    <v>XNSE</v>
    <v>XNSE</v>
    <v>6th Floor, Ackruti Star, Central Road - MIDC, Andheri (E), MUMBAI, MAHARASHTRA, 400093 IN</v>
    <v>2547.1</v>
    <v>Investment Banking &amp; Investment Services</v>
    <v>Stock</v>
    <v>46017.49287037037</v>
    <v>650</v>
    <v>2484.6999999999998</v>
    <v>229260300000</v>
    <v>ANGEL ONE LIMITED</v>
    <v>ANGEL ONE LIMITED</v>
    <v>2521.8000000000002</v>
    <v>29.1</v>
    <v>2523.8000000000002</v>
    <v>2495.8000000000002</v>
    <v>90839340</v>
    <v>ANGELONE</v>
    <v>ANGEL ONE LIMITED (XNSE:ANGELONE)</v>
    <v>454602</v>
    <v>456520</v>
    <v>1996</v>
  </rv>
  <rv s="2">
    <v>651</v>
  </rv>
  <rv s="0">
    <v>https://www.bing.com/financeapi/forcetrigger?t=ahgwbh&amp;q=XNSE%3aAPARINDS&amp;form=skydnc</v>
    <v>Learn more on Bing</v>
  </rv>
  <rv s="1">
    <v>en-US</v>
    <v>ahgwbh</v>
    <v>268435456</v>
    <v>1</v>
    <v>Powered by Refinitiv</v>
    <v>0</v>
    <v>APAR INDUSTRIES LIMITED (XNSE:APARINDS)</v>
    <v>2</v>
    <v>3</v>
    <v>Finance</v>
    <v>4</v>
    <v>11779.9</v>
    <v>4308.05</v>
    <v>0.71919999999999995</v>
    <v>-65</v>
    <v>-7.4799999999999997E-3</v>
    <v>INR</v>
    <v>Apar Industries Limited (Apar) is an India-based manufacturer and supplier of conductors, a variety of cables, specialty oils, polymers, and lubricants. The Company’s segments include Conductor; Transformer &amp; Specialties Oils; Power/Telecom Cables, and others. It provides diverse fields of electrical and metallurgical engineering offering value-added products and services in Power Transmission Conductors, Petroleum Specialty Oils, Power &amp; Telecom Cables, and House wires. The Company's specialty oil business has a range of products, which falls under approximately four categories, such as transformer oils, white oils (liquid paraffins), petroleum jelly, and process oils. Its lubricants serve diverse equipment, including rotating machinery, metalworking and quenching applications. It also provides CTC/PICC conductors, railway overhead conductors, T&amp;D overhead conductors, optical ground wires, aluminum and alloy rods, specialty wires, turnkey solutions, among others.</v>
    <v>2155</v>
    <v>National Stock Exchange of India</v>
    <v>XNSE</v>
    <v>XNSE</v>
    <v>APAR house, Bldg no. 4 &amp; 5, Corporate Park, V.N. Purav marg, Chembur, MUMBAI, MAHARASHTRA, 400071 IN</v>
    <v>8688</v>
    <v>Machinery, Equipment &amp; Components</v>
    <v>Stock</v>
    <v>46017.49287037037</v>
    <v>653</v>
    <v>8592</v>
    <v>349062700000</v>
    <v>APAR INDUSTRIES LIMITED</v>
    <v>APAR INDUSTRIES LIMITED</v>
    <v>8688</v>
    <v>37.159999999999997</v>
    <v>8690</v>
    <v>8625</v>
    <v>40168310</v>
    <v>APARINDS</v>
    <v>APAR INDUSTRIES LIMITED (XNSE:APARINDS)</v>
    <v>33155</v>
    <v>47300</v>
    <v>1989</v>
  </rv>
  <rv s="2">
    <v>654</v>
  </rv>
  <rv s="0">
    <v>https://www.bing.com/financeapi/forcetrigger?t=ahgwvh&amp;q=XNSE%3aAPOLLOTYRE&amp;form=skydnc</v>
    <v>Learn more on Bing</v>
  </rv>
  <rv s="1">
    <v>en-US</v>
    <v>ahgwvh</v>
    <v>268435456</v>
    <v>1</v>
    <v>Powered by Refinitiv</v>
    <v>0</v>
    <v>APOLLO TYRES LIMITED. (XNSE:APOLLOTYRE)</v>
    <v>2</v>
    <v>3</v>
    <v>Finance</v>
    <v>4</v>
    <v>546</v>
    <v>370.9</v>
    <v>1.1969000000000001</v>
    <v>-5.9</v>
    <v>-1.153E-2</v>
    <v>INR</v>
    <v>Apollo Tyres Limited is engaged in the manufacturing and sale of automotive tires. The Company operates through the automobile tires, automobile tubes and automobile flaps segment. Its geographical segments include Asia Pacific, Middle East, and Africa (APMEA), Europe and Others. It caters to specific consumer segments through its brands, Apollo and Vredestein. The Apollo brand is available across various categories, including commercial, passenger vehicles, two-wheelers, farm, and industrial. The Vredestein brand products include car tires, tires for agricultural and industrial applications and bicycle tires. The Company’s product portfolio includes the entire range of passenger car, light truck, passenger vehicle, truck and bus, and two-wheeler. Its operations are in India and comprises five tire manufacturing plants, two located in Cochin and one each at Vadodara, Chennai, and Andhra Pradesh. The Company's subsidiaries include Apollo Tyres (NL) B.V., Apollo Tyres AG, and others.</v>
    <v>15681</v>
    <v>National Stock Exchange of India</v>
    <v>XNSE</v>
    <v>XNSE</v>
    <v>Apollo House, 7 Institutional Area, Sector 32, GURGAON, HARYANA, 122001 IN</v>
    <v>511.7</v>
    <v>Automobiles &amp; Auto Parts</v>
    <v>Stock</v>
    <v>46017.49287037037</v>
    <v>656</v>
    <v>504.1</v>
    <v>324129900000</v>
    <v>APOLLO TYRES LIMITED.</v>
    <v>APOLLO TYRES LIMITED.</v>
    <v>511.7</v>
    <v>40.508699999999997</v>
    <v>511.7</v>
    <v>505.8</v>
    <v>633437400</v>
    <v>APOLLOTYRE</v>
    <v>APOLLO TYRES LIMITED. (XNSE:APOLLOTYRE)</v>
    <v>343635</v>
    <v>579090</v>
    <v>1972</v>
  </rv>
  <rv s="2">
    <v>657</v>
  </rv>
  <rv s="0">
    <v>https://www.bing.com/financeapi/forcetrigger?t=c37fvh&amp;q=XNSE%3aAPTUS&amp;form=skydnc</v>
    <v>Learn more on Bing</v>
  </rv>
  <rv s="1">
    <v>en-US</v>
    <v>c37fvh</v>
    <v>268435456</v>
    <v>1</v>
    <v>Powered by Refinitiv</v>
    <v>0</v>
    <v>APTUS VALUE HOUSING FINANCE INDIA LIMITED (XNSE:APTUS)</v>
    <v>2</v>
    <v>3</v>
    <v>Finance</v>
    <v>4</v>
    <v>364</v>
    <v>267.95</v>
    <v>0.77180000000000004</v>
    <v>-1.35</v>
    <v>-4.7829999999999999E-3</v>
    <v>INR</v>
    <v>Aptus Value Housing Finance India Limited is an India-based home loan company. The Company is primarily engaged in the business of housing finance and all other activities. It is also engaged in providing loans for non-housing finance activities in the form of loans against properties (LAP). The Company operates through a single segment, namely providing long term housing finance, loans against property and refinance loans. Its products include home loans, LAP, and insurance services. Its primary product, home loans, is focused on the construction or purchase of houses/ flats and for house renovation/extension. LAPs are loans given for refinancing of funds used for the purpose of construction/purchase of a house. LAP has two products, namely, LAP-Construction and LAP-Purchase. Its subsidiary, Aptus Finance India Private Limited, provides finance in the form of loans against immovable properties to individuals for business enhancement purposes.</v>
    <v>3351</v>
    <v>National Stock Exchange of India</v>
    <v>XNSE</v>
    <v>XNSE</v>
    <v>No. 8B, Doshi Towers, 8th Floor,, No: 205, Poonamallee High Road,, Kilpauk,, CHENNAI, TAMIL NADU, 600010 IN</v>
    <v>283.5</v>
    <v>Banking Services</v>
    <v>Stock</v>
    <v>46017.49287037037</v>
    <v>659</v>
    <v>280</v>
    <v>141329000000</v>
    <v>APTUS VALUE HOUSING FINANCE INDIA LIMITED</v>
    <v>APTUS VALUE HOUSING FINANCE INDIA LIMITED</v>
    <v>283.3</v>
    <v>16.71</v>
    <v>282.25</v>
    <v>280.89999999999998</v>
    <v>500722700</v>
    <v>APTUS</v>
    <v>APTUS VALUE HOUSING FINANCE INDIA LIMITED (XNSE:APTUS)</v>
    <v>474869</v>
    <v>643020</v>
    <v>2009</v>
  </rv>
  <rv s="2">
    <v>660</v>
  </rv>
  <rv s="0">
    <v>https://www.bing.com/financeapi/forcetrigger?t=ahgyfr&amp;q=XNSE%3aASAHIINDIA&amp;form=skydnc</v>
    <v>Learn more on Bing</v>
  </rv>
  <rv s="1">
    <v>en-US</v>
    <v>ahgyfr</v>
    <v>268435456</v>
    <v>1</v>
    <v>Powered by Refinitiv</v>
    <v>0</v>
    <v>ASAHI INDIA GLASS LIMITED (XNSE:ASAHIINDIA)</v>
    <v>2</v>
    <v>3</v>
    <v>Finance</v>
    <v>4</v>
    <v>1074</v>
    <v>576.79999999999995</v>
    <v>0.57750000000000001</v>
    <v>25.6</v>
    <v>2.6394000000000001E-2</v>
    <v>INR</v>
    <v>Asahi India Glass Limited (AIS) is an India-based integrated glass and windows solutions company. The Company is engaged in the business of manufacturing of auto glass, float glass and other value-added glasses. Its segments include Automotive Glass and Float Glass. Its auto glass products are used in the manufacturing of passenger and commercial vehicles, including trucks, buses, railways, metros, tractors, and off-highway vehicles. Its automotive glass includes windscreen, sidelites, backlite, sunroof, and bullet resistant glass. Its architectural glass includes float glass, super specialty glass, energy-efficiency glass, value-added glass, AIS windows, and designer glass. Its industrial glass includes consumer durable glass products and construction and farm equipment. It provides customized solutions to home and car owners through its consumer brands, AIS Windows, AIS Glasxperts, AIS Windshield Experts and Car fit Experts.</v>
    <v>2149</v>
    <v>National Stock Exchange of India</v>
    <v>XNSE</v>
    <v>XNSE</v>
    <v>Unit No 301-308, 1101-1104, Tower D, Global Business, Park Mehrauli-Gurugram Road, GURGAON, HARYANA, 122002 IN</v>
    <v>1002.8</v>
    <v>Automobiles &amp; Auto Parts</v>
    <v>Stock</v>
    <v>46017.49287037037</v>
    <v>662</v>
    <v>962.8</v>
    <v>247253900000</v>
    <v>ASAHI INDIA GLASS LIMITED</v>
    <v>ASAHI INDIA GLASS LIMITED</v>
    <v>973</v>
    <v>76.53</v>
    <v>969.9</v>
    <v>995.5</v>
    <v>254927200</v>
    <v>ASAHIINDIA</v>
    <v>ASAHI INDIA GLASS LIMITED (XNSE:ASAHIINDIA)</v>
    <v>108886</v>
    <v>156680</v>
    <v>1984</v>
  </rv>
  <rv s="2">
    <v>663</v>
  </rv>
  <rv s="0">
    <v>https://www.bing.com/financeapi/forcetrigger?t=ahgyzr&amp;q=XNSE%3aASHOKLEY&amp;form=skydnc</v>
    <v>Learn more on Bing</v>
  </rv>
  <rv s="1">
    <v>en-US</v>
    <v>ahgyzr</v>
    <v>268435456</v>
    <v>1</v>
    <v>Powered by Refinitiv</v>
    <v>0</v>
    <v>ASHOK LEYLAND LIMITED (XNSE:ASHOKLEY)</v>
    <v>2</v>
    <v>3</v>
    <v>Finance</v>
    <v>4</v>
    <v>178.3</v>
    <v>95.93</v>
    <v>0.39950000000000002</v>
    <v>-0.63</v>
    <v>-3.594E-3</v>
    <v>INR</v>
    <v>Ashok Leyland Limited is an India-based company engaged in automobile manufacturing. The main activities of the Company relate to manufacturing, sales, vehicle and housing finance, Information Technology (IT) services, and services related to a wide range of commercial vehicles. The Company is also engaged in manufacturing engines for industrial and marine applications, forgings and castings. Its segments include Commercial vehicles and Financial service. Its truck product categories include haulage, ICV, tippers and tractors. It offers buses under various brands including, Garud 12m, Viking, cheetah, and Garud 13.5. The Company's light vehicle product categories include light commercial vehicle, small commercial vehicle, goods carrier, and passenger. Its power solutions include agricultural engines, diesel generators, industrial engines, marine engines and gas gensets. Its defense products include armored, high mobility, light tactical, logistics, simulator and tracked vehicles.</v>
    <v>9695</v>
    <v>National Stock Exchange of India</v>
    <v>XNSE</v>
    <v>XNSE</v>
    <v>No. 1, Sardar Patel Road, Guindy, CHENNAI, TAMIL NADU, 600032 IN</v>
    <v>175.99</v>
    <v>Machinery, Equipment &amp; Components</v>
    <v>Stock</v>
    <v>46017.49287037037</v>
    <v>665</v>
    <v>173.27</v>
    <v>1029745000000</v>
    <v>ASHOK LEYLAND LIMITED</v>
    <v>ASHOK LEYLAND LIMITED</v>
    <v>175.21</v>
    <v>31.58</v>
    <v>175.31</v>
    <v>174.68</v>
    <v>5873854000</v>
    <v>ASHOKLEY</v>
    <v>ASHOK LEYLAND LIMITED (XNSE:ASHOKLEY)</v>
    <v>5686108</v>
    <v>14031730</v>
    <v>1948</v>
  </rv>
  <rv s="2">
    <v>666</v>
  </rv>
  <rv s="0">
    <v>https://www.bing.com/financeapi/forcetrigger?t=az66u2&amp;q=XNSE%3aASTERDM&amp;form=skydnc</v>
    <v>Learn more on Bing</v>
  </rv>
  <rv s="1">
    <v>en-US</v>
    <v>az66u2</v>
    <v>268435456</v>
    <v>1</v>
    <v>Powered by Refinitiv</v>
    <v>0</v>
    <v>ASTER DM HEALTHCARE LIMITED (XNSE:ASTERDM)</v>
    <v>2</v>
    <v>3</v>
    <v>Finance</v>
    <v>4</v>
    <v>732.2</v>
    <v>387.1</v>
    <v>1.0381</v>
    <v>20.75</v>
    <v>3.4744999999999998E-2</v>
    <v>INR</v>
    <v>Aster DM Healthcare Limited is an India-based healthcare service provider. The Company is operating in India with a presence across primary, secondary, tertiary, and quaternary healthcare through approximately 19 hospitals with 5,159 beds, 10 clinics, 203 pharmacies (Operated by Alfaone Retail Pharmacies Private Limited under brand license from Aster), and 262 labs and patient experience centers across five states in India. Its center of excellence includes oncology (AIIO), cardiac sciences, neurosciences, gastro sciences, integrated liver care, multi-organ transplant, orthopedics, obstetrics and gynecology, and pediatrics and neonatology. Its pharmacy offers various product categories, including prescription, OTC drugs, personal care and hygiene, feminine care, baby care, wellness, sports nutrition, surgical and disposables, and medical devices. Its labs deliver diagnostic services covering biochemistry, microbiology, hematology, clinical pathology, histopathology and cytogenetics.</v>
    <v>15291</v>
    <v>National Stock Exchange of India</v>
    <v>XNSE</v>
    <v>XNSE</v>
    <v>Awfis, 2nd Floor, Renaissance Centra, 27 &amp; 27/1, Mission Road, Sampangi Rama Nagar, BANGALORE, KARNATAKA, 560027 IN</v>
    <v>626.29999999999995</v>
    <v>Healthcare Providers &amp; Services</v>
    <v>Stock</v>
    <v>46017.49287037037</v>
    <v>668</v>
    <v>597.15</v>
    <v>308704000000</v>
    <v>ASTER DM HEALTHCARE LIMITED</v>
    <v>ASTER DM HEALTHCARE LIMITED</v>
    <v>597.20000000000005</v>
    <v>91.5</v>
    <v>597.20000000000005</v>
    <v>617.95000000000005</v>
    <v>516918900</v>
    <v>ASTERDM</v>
    <v>ASTER DM HEALTHCARE LIMITED (XNSE:ASTERDM)</v>
    <v>953892</v>
    <v>554150</v>
    <v>2008</v>
  </rv>
  <rv s="2">
    <v>669</v>
  </rv>
  <rv s="0">
    <v>https://www.bing.com/financeapi/forcetrigger?t=ahgztc&amp;q=XNSE%3aASTRAZEN&amp;form=skydnc</v>
    <v>Learn more on Bing</v>
  </rv>
  <rv s="1">
    <v>en-US</v>
    <v>ahgztc</v>
    <v>268435456</v>
    <v>1</v>
    <v>Powered by Refinitiv</v>
    <v>0</v>
    <v>ASTRAZENECA PHARMA INDIA LIMITED (XNSE:ASTRAZEN)</v>
    <v>2</v>
    <v>3</v>
    <v>Finance</v>
    <v>4</v>
    <v>10691</v>
    <v>6312.75</v>
    <v>0.51239999999999997</v>
    <v>-289</v>
    <v>-3.1522999999999995E-2</v>
    <v>INR</v>
    <v>AstraZeneca Pharma India Limited is an India-based biopharmaceutical company. Its therapeutic areas include cardiovascular, renal and metabolism; oncology, and respiratory diseases. The Company operates through Healthcare segment. The Company is engaged in the business of manufacturing, distribution and marketing of pharmaceutical products and also provides clinical trial services to an overseas group company. Its therapeutic offerings in CVRM business include heart failure, and chronic kidney disease indications for Forxiga (Dapagliflozin). Its approvals in oncology business include the use of Imfinzi (Durvalumab) in Biliary Tract Carcinoma, and use of Lynparza (Olaparib) in early breast cancer. The Company has a portfolio of oral antidiabetic drugs with presence in two drug classes: SGLT2 inhibitors and DPP4 inhibitors. The Company’s DPP4 offering comprises of the brands of Onglyza (Saxagliptin) and Kombiglzye (Saxagliptin/Metformin).</v>
    <v>802</v>
    <v>National Stock Exchange of India</v>
    <v>XNSE</v>
    <v>XNSE</v>
    <v>Block N1, 12th Floor,, Manyata Empassy Business Park, Rachenahalli, Outer Ring Road,, BANGALORE, KARNATAKA, 560045 IN</v>
    <v>9199</v>
    <v>Pharmaceuticals</v>
    <v>Stock</v>
    <v>46017.49287037037</v>
    <v>671</v>
    <v>8800</v>
    <v>229200000000</v>
    <v>ASTRAZENECA PHARMA INDIA LIMITED</v>
    <v>ASTRAZENECA PHARMA INDIA LIMITED</v>
    <v>9199</v>
    <v>115.09</v>
    <v>9168</v>
    <v>8879</v>
    <v>25000000</v>
    <v>ASTRAZEN</v>
    <v>ASTRAZENECA PHARMA INDIA LIMITED (XNSE:ASTRAZEN)</v>
    <v>26353</v>
    <v>3730</v>
    <v>1979</v>
  </rv>
  <rv s="2">
    <v>672</v>
  </rv>
  <rv s="10">
    <v>en-US</v>
    <v>cgof5r</v>
    <v>268435456</v>
    <v>1</v>
    <v>Powered by Refinitiv</v>
    <v>18</v>
    <v>ATHER ENERGY LIMITED (XNSE:ATHERENERG)</v>
    <v>6</v>
    <v>3</v>
    <v>Finance</v>
    <v>4</v>
    <v>790</v>
    <v>288.14999999999998</v>
    <v>1.534</v>
    <v>-11.8</v>
    <v>-1.6348999999999999E-2</v>
    <v>INR</v>
    <v>Ather Energy Limited is an India-based pure play electric vehicle (EV) company. The Company specializes in Indian electric two-wheeler (E2W) market. The Company sells E2Ws and the associated product ecosystem, comprised of its software, charging infrastructure and smart accessories, all of which are conceptualized and designed by it in India. Its E2W portfolio comprises two product lines: the Ather 450 line, which caters to customers seeking performance scooters, and the Ather Rizta line, which is targeted at customers seeking convenience scooters for their family. The Company’s software, Atherstack, is developed in-house and powers all Ather products. Atherstack offers approximately 69 features related to navigation, analytics, ride assistance, safety and productivity, as well as integration with its charging infrastructure and smart accessories. Upon purchase of an E2W, its customers have the option to purchase advanced Atherstack software features through the Atherstack Pro.</v>
    <v>1617</v>
    <v>National Stock Exchange of India</v>
    <v>XNSE</v>
    <v>XNSE</v>
    <v>3rd Floor Tower D, Ibc Knowledge Park, Bannerghatta Main Road, BANGALORE, KARNATAKA, 560029 IN</v>
    <v>727.8</v>
    <v>Leisure Products</v>
    <v>Stock</v>
    <v>46017.49287037037</v>
    <v>705</v>
    <v>275280700000</v>
    <v>ATHER ENERGY LIMITED</v>
    <v>ATHER ENERGY LIMITED</v>
    <v>721.7</v>
    <v>0</v>
    <v>721.75</v>
    <v>709.95</v>
    <v>381407300</v>
    <v>ATHERENERG</v>
    <v>ATHER ENERGY LIMITED (XNSE:ATHERENERG)</v>
    <v>1678326</v>
    <v>2278920</v>
    <v>2013</v>
  </rv>
  <rv s="2">
    <v>674</v>
  </rv>
  <rv s="3">
    <v>en-US</v>
    <v>cczr7w</v>
    <v>268435456</v>
    <v>1</v>
    <v>Powered by Refinitiv</v>
    <v>5</v>
    <v>AUTHUM INVESTMENT &amp; INFRASTRUCTURE LIMITED (XNSE:AIIL)</v>
    <v>6</v>
    <v>7</v>
    <v>Finance</v>
    <v>4</v>
    <v>3318.7</v>
    <v>1325.5</v>
    <v>-38.5</v>
    <v>-1.3177000000000001E-2</v>
    <v>INR</v>
    <v>Authum Investment &amp; Infrastructure Limited is an India-based non-deposit taking systemically important non-banking financial company. The Company offers a combination of an investment business and a credit cum alternative assets business, capable of providing financial solutions across the entire spectrum of capital structure. Its segments include Investment activity, Lending activity, Rental Business and ARC. It is primarily engaged in the business of providing loans and making investments/trading in shares and securities. Its subsidiaries include Open Elite Developers Limited, Authum Asset Management Company Pvt. Ltd., India SME Asset Reconstruction Company Limited (ISARC), BIC Cello (India) Private Limited and Billion Dream Sports Pvt. Ltd. ISARC is an asset reconstruction company engaged in the business of inter alia securitization/asset reconstruction. BIC Cello (India) Private Limited is engaged in the manufacturing and distribution of writing instruments and other stationery.</v>
    <v>326</v>
    <v>National Stock Exchange of India</v>
    <v>XNSE</v>
    <v>XNSE</v>
    <v>707, Raheja Centre, Free Press Journal Marg, Nariman Point, MUMBAI, MAHARASHTRA, 400021 IN</v>
    <v>2949.9</v>
    <v>Investment Banking &amp; Investment Services</v>
    <v>Stock</v>
    <v>46017.49287037037</v>
    <v>2870</v>
    <v>496253400000</v>
    <v>AUTHUM INVESTMENT &amp; INFRASTRUCTURE LIMITED</v>
    <v>AUTHUM INVESTMENT &amp; INFRASTRUCTURE LIMITED</v>
    <v>2915</v>
    <v>12.36</v>
    <v>2921.8</v>
    <v>2883.3</v>
    <v>169845100</v>
    <v>AIIL</v>
    <v>AUTHUM INVESTMENT &amp; INFRASTRUCTURE LIMITED (XNSE:AIIL)</v>
    <v>41485</v>
    <v>141490</v>
    <v>1982</v>
  </rv>
  <rv s="2">
    <v>676</v>
  </rv>
  <rv s="0">
    <v>https://www.bing.com/financeapi/forcetrigger?t=ahh52w&amp;q=XNSE%3aBASF&amp;form=skydnc</v>
    <v>Learn more on Bing</v>
  </rv>
  <rv s="1">
    <v>en-US</v>
    <v>ahh52w</v>
    <v>268435456</v>
    <v>1</v>
    <v>Powered by Refinitiv</v>
    <v>0</v>
    <v>BASF INDIA LIMITED (XNSE:BASF)</v>
    <v>2</v>
    <v>3</v>
    <v>Finance</v>
    <v>4</v>
    <v>5799.6</v>
    <v>3785.8</v>
    <v>1.4648000000000001</v>
    <v>-16.100000000000001</v>
    <v>-4.1180000000000001E-3</v>
    <v>INR</v>
    <v>BASF India Limited is an India-based company, which is primarily engaged in the manufacturing and selling of chemicals and chemical products. The Company operates through six segments: Agricultural Solutions, Materials, Industrial Solutions, Surface Technologies, Nutrition &amp; Care and Chemicals. The Agricultural Solutions segment consists of the crop protection division and its agricultural solutions are seasonal in nature. The Materials segment includes the performance materials and monomers businesses. The Industrial Solutions segment comprises of dispersions, resins, additives, and performance chemicals businesses. The Surface Technologies segment comprises of catalysts and coatings solutions and construction chemicals businesses. The Nutrition &amp; Care segment comprises of care chemicals, nutrition, and healthcare businesses. The Chemicals segment consists of the petrochemicals and intermediates businesses. BASF India Coatings Private Ltd is a subsidiary of the Company.</v>
    <v>1367</v>
    <v>National Stock Exchange of India</v>
    <v>XNSE</v>
    <v>XNSE</v>
    <v>Unit No.10A,10B &amp; 10C (part), 10th Floor, Godrej One, Pirojsha Nagar, Eastern Express Highway, Vikhroli (East), MUMBAI, MAHARASHTRA, 400079 IN</v>
    <v>3918.2</v>
    <v>Chemicals</v>
    <v>Stock</v>
    <v>46017.49287037037</v>
    <v>678</v>
    <v>3862.2</v>
    <v>169233900000</v>
    <v>BASF INDIA LIMITED</v>
    <v>BASF INDIA LIMITED</v>
    <v>3885</v>
    <v>45.12</v>
    <v>3909.7</v>
    <v>3893.6</v>
    <v>43285640</v>
    <v>BASF</v>
    <v>BASF INDIA LIMITED (XNSE:BASF)</v>
    <v>14270</v>
    <v>15070</v>
    <v>1943</v>
  </rv>
  <rv s="2">
    <v>679</v>
  </rv>
  <rv s="0">
    <v>https://www.bing.com/financeapi/forcetrigger?t=ahh8nm&amp;q=XNSE%3aBLS&amp;form=skydnc</v>
    <v>Learn more on Bing</v>
  </rv>
  <rv s="1">
    <v>en-US</v>
    <v>ahh8nm</v>
    <v>268435456</v>
    <v>1</v>
    <v>Powered by Refinitiv</v>
    <v>0</v>
    <v>BLS INTERNATIONAL SERVICES LIMITED (XNSE:BLS)</v>
    <v>2</v>
    <v>3</v>
    <v>Finance</v>
    <v>4</v>
    <v>521.79999999999995</v>
    <v>276.95</v>
    <v>1.0684</v>
    <v>-3.65</v>
    <v>-1.1271E-2</v>
    <v>INR</v>
    <v>BLS International Services Limited is an India-based global tech-enabled services partner for governments and citizens. The Company’s services include visa processing services, citizen and front-end services, consular services, e-visas, biometrics and identity management services, verification and attestation services. It operates through two segments: Visa and Consular Services and Digital Services. Its Digital Services segment includes e-Governance, business correspondent and allied services. Its consular services include accepting passport applications, replacement passports and associated travel documents, national identification cards, consular appointments, renunciation of citizenships, and notarial services, including witnessing and authenticating documents. The Company also provides assisted applications, registration, and biometric solutions. It provides services to state and provincial governments, including Embassies and Consulates.</v>
    <v>737</v>
    <v>National Stock Exchange of India</v>
    <v>XNSE</v>
    <v>XNSE</v>
    <v>912, Indra Prakash Building,, 21, Barakhamba Road,, NEW DELHI, DELHI, 110001 IN</v>
    <v>326.05</v>
    <v>Professional &amp; Commercial Services</v>
    <v>Stock</v>
    <v>46017.49287037037</v>
    <v>681</v>
    <v>318.8</v>
    <v>133326200000</v>
    <v>BLS INTERNATIONAL SERVICES LIMITED</v>
    <v>BLS INTERNATIONAL SERVICES LIMITED</v>
    <v>324.85000000000002</v>
    <v>22.15</v>
    <v>323.85000000000002</v>
    <v>320.2</v>
    <v>411691100</v>
    <v>BLS</v>
    <v>BLS INTERNATIONAL SERVICES LIMITED (XNSE:BLS)</v>
    <v>598761</v>
    <v>1850390</v>
    <v>1983</v>
  </rv>
  <rv s="2">
    <v>682</v>
  </rv>
  <rv s="0">
    <v>https://www.bing.com/financeapi/forcetrigger?t=ahh3ww&amp;q=XNSE%3aBALKRISIND&amp;form=skydnc</v>
    <v>Learn more on Bing</v>
  </rv>
  <rv s="1">
    <v>en-US</v>
    <v>ahh3ww</v>
    <v>268435456</v>
    <v>1</v>
    <v>Powered by Refinitiv</v>
    <v>0</v>
    <v>BALKRISHNA INDUSTRIES LIMITED (XNSE:BALKRISIND)</v>
    <v>2</v>
    <v>3</v>
    <v>Finance</v>
    <v>4</v>
    <v>2928</v>
    <v>2152.0500000000002</v>
    <v>0.80820000000000003</v>
    <v>-5.8</v>
    <v>-2.5230000000000001E-3</v>
    <v>INR</v>
    <v>Balkrishna Industries Limited is an India-based company that is engaged in the business of manufacturing and selling of off-highway tires (OHT) in the specialist segments, such as agricultural, industrial and construction, earthmovers and port, mining, forestry, lawn and garden and all-terrain vehicles (ATV) and Turf care applications in both cross ply and radial construction. The Company’s agricultural applications include tractor, harvester, implements, telehandler, agro truck, go-kart, golf kart, mower, fertilizer truck, compact loader, backhoe loader, mobile home, universal vehicle, and others. Its industrial applications include compactors, container handler, reach stacker, excavator, forklift, skid steer, grader, straddle carrier, RTG crane, mobile crane, terminal tractor, tow tractor, light truck, and others. Its off-the-road applications include articulated dump truck, rigid dump truck, load haul dump, low profile dump truck, underground mining vehicle, scraper, and others.</v>
    <v>3758</v>
    <v>National Stock Exchange of India</v>
    <v>XNSE</v>
    <v>XNSE</v>
    <v>BKT HOUSE, C/15, Trade World,, Kamala Mills Compound, Senapati Bapat Marg, Lower Parel, MUMBAI, MAHARASHTRA, 400013 IN</v>
    <v>2308</v>
    <v>Automobiles &amp; Auto Parts</v>
    <v>Stock</v>
    <v>46017.49287037037</v>
    <v>684</v>
    <v>2290</v>
    <v>444474900000</v>
    <v>BALKRISHNA INDUSTRIES LIMITED</v>
    <v>BALKRISHNA INDUSTRIES LIMITED</v>
    <v>2300.9</v>
    <v>32.22</v>
    <v>2299.1999999999998</v>
    <v>2293.4</v>
    <v>193317200</v>
    <v>BALKRISIND</v>
    <v>BALKRISHNA INDUSTRIES LIMITED (XNSE:BALKRISIND)</v>
    <v>36589</v>
    <v>81830</v>
    <v>1961</v>
  </rv>
  <rv s="2">
    <v>685</v>
  </rv>
  <rv s="0">
    <v>https://www.bing.com/financeapi/forcetrigger?t=ahh49c&amp;q=XNSE%3aBALRAMCHIN&amp;form=skydnc</v>
    <v>Learn more on Bing</v>
  </rv>
  <rv s="1">
    <v>en-US</v>
    <v>ahh49c</v>
    <v>268435456</v>
    <v>1</v>
    <v>Powered by Refinitiv</v>
    <v>0</v>
    <v>BALRAMPUR CHINI MILLS LTD (XNSE:BALRAMCHIN)</v>
    <v>2</v>
    <v>3</v>
    <v>Finance</v>
    <v>4</v>
    <v>627.79999999999995</v>
    <v>407.8</v>
    <v>0.93879999999999997</v>
    <v>-1.7</v>
    <v>-3.8609999999999998E-3</v>
    <v>INR</v>
    <v>Balrampur Chini Mills Limited is an India-based sugar manufacturing company. The Company is engaged in the manufacturing and sale of sugar. Its allied business activities consist of the manufacturing and sale of ethanol, ethyl alcohol, generation and sale of co-generated power, and manufacturing and sale of agricultural fertilizers. Its segments include Sugar, Distillery, Polylactic Acid, and Others. The Sugar segment is engaged in the sale of sugar and its by-products. The Distillery segment includes the sale of industrial alcohol, which constitutes ethanol sold under contracts with public and private oil marketing companies, and other products to institutional buyers. The Company is also engaged in the manufacturing of polylactic acid (PLA), a biodegradable polymer. The Others segment is principally engaged in the sale of agricultural fertilizers such as granulated potash. Its Agri-inputs products include PAUDH-SHAKTI, JAIV-SHAKI AND DEVDOOT.</v>
    <v>6020</v>
    <v>National Stock Exchange of India</v>
    <v>XNSE</v>
    <v>XNSE</v>
    <v>FMC Fortuna, 2nd Floor, 234/3A, A.J.C. Bose Road, KOLKATA, WEST BENGAL, 700020 IN</v>
    <v>441.7</v>
    <v>Food &amp; Tobacco</v>
    <v>Stock</v>
    <v>46017.49287037037</v>
    <v>687</v>
    <v>437.2</v>
    <v>88918770000</v>
    <v>BALRAMPUR CHINI MILLS LTD</v>
    <v>BALRAMPUR CHINI MILLS LTD</v>
    <v>441</v>
    <v>21.872</v>
    <v>440.3</v>
    <v>438.6</v>
    <v>201950400</v>
    <v>BALRAMCHIN</v>
    <v>BALRAMPUR CHINI MILLS LTD (XNSE:BALRAMCHIN)</v>
    <v>101179</v>
    <v>419720</v>
    <v>1975</v>
  </rv>
  <rv s="2">
    <v>688</v>
  </rv>
  <rv s="0">
    <v>https://www.bing.com/financeapi/forcetrigger?t=azhlcw&amp;q=XNSE%3aBANDHANBNK&amp;form=skydnc</v>
    <v>Learn more on Bing</v>
  </rv>
  <rv s="1">
    <v>en-US</v>
    <v>azhlcw</v>
    <v>268435456</v>
    <v>1</v>
    <v>Powered by Refinitiv</v>
    <v>0</v>
    <v>BANDHAN BANK LIMITED (XNSE:BANDHANBNK)</v>
    <v>2</v>
    <v>3</v>
    <v>Finance</v>
    <v>4</v>
    <v>192.48</v>
    <v>128.16</v>
    <v>0.93910000000000005</v>
    <v>-1.45</v>
    <v>-9.9089999999999994E-3</v>
    <v>INR</v>
    <v>Bandhan Bank Limited (the Bank) is an India-based banking company. Its segments include Treasury, Retail Banking, Corporate/Wholesale Banking, and Other Banking Business. The Treasury segment includes investments in sovereign securities and trading operations and also includes the central funding unit. The Retail Banking segment includes lending to individuals/small businesses through the branch network. It also includes liability products, card services, Internet banking, mobile banking, Automated Teller Machine (ATM) services, and Non-Resident Indian (NRI) services. The Other Banking Business segment includes para-banking activities, such as third-party product distribution and other banking transactions. The Bank offers various loans, such as Subriddhi, Suraksha, Sushiksha, Sahayata, Suyog, Bazaar, Small Enterprise Loan, and Micro Home. It also offers Saving Account, Demat and Trading, Recurring Deposit, Mutual Funds, and Bill Payment and Recharge services.</v>
    <v>75032</v>
    <v>National Stock Exchange of India</v>
    <v>XNSE</v>
    <v>XNSE</v>
    <v>Floors 12-14, Adventz Infinity@5, BN 5, Sector V, Salt Lake City, Kolkata, WEST BENGAL, 700091 IN</v>
    <v>146.62</v>
    <v>Banking Services</v>
    <v>Stock</v>
    <v>46017.49287037037</v>
    <v>690</v>
    <v>144.49</v>
    <v>235733500000</v>
    <v>BANDHAN BANK LIMITED</v>
    <v>BANDHAN BANK LIMITED</v>
    <v>146.51</v>
    <v>19.006900000000002</v>
    <v>146.33000000000001</v>
    <v>144.88</v>
    <v>1610971000</v>
    <v>BANDHANBNK</v>
    <v>BANDHAN BANK LIMITED (XNSE:BANDHANBNK)</v>
    <v>3776615</v>
    <v>6427420</v>
    <v>2014</v>
  </rv>
  <rv s="2">
    <v>691</v>
  </rv>
  <rv s="0">
    <v>https://www.bing.com/financeapi/forcetrigger?t=ahh4tc&amp;q=XNSE%3aBANKINDIA&amp;form=skydnc</v>
    <v>Learn more on Bing</v>
  </rv>
  <rv s="1">
    <v>en-US</v>
    <v>ahh4tc</v>
    <v>268435456</v>
    <v>1</v>
    <v>Powered by Refinitiv</v>
    <v>0</v>
    <v>BANK OF INDIA LIMITED (XNSE:BANKINDIA)</v>
    <v>2</v>
    <v>3</v>
    <v>Finance</v>
    <v>4</v>
    <v>151.43</v>
    <v>90.05</v>
    <v>1.5839000000000001</v>
    <v>-0.01</v>
    <v>-7.1539999999999996E-5</v>
    <v>INR</v>
    <v>Bank of India Limited (the Bank) is an India-based company, which is engaged in the business of banking and related services activities. The Bank's segments include treasury, wholesale banking and retail banking. The treasury segment includes investment portfolio that comprises dealing in government and other securities, money market operations and forex operations, including derivative contracts. The wholesale banking segment includes all lending activities which are not included under retail banking. The retail banking segment comprises of digital banking and other retail banking. The Bank's products include personal and business. The Bank offers various accounts, such as saving accounts, salary accounts, current account and Rera plus account. The Bank offers various loans, such as personal loan, vehicle loan, education loan and star reverse mortgage loan. The Bank provides corporates with credit, trade finance and cash management services. The Bank has approximately 5328 branches.</v>
    <v>50564</v>
    <v>National Stock Exchange of India</v>
    <v>XNSE</v>
    <v>XNSE</v>
    <v>Star House, C - 5, G Block,, Bandra Kurla Complex, Bandra (East),, MUMBAI, MAHARASHTRA, 400051 IN</v>
    <v>140.68</v>
    <v>Banking Services</v>
    <v>Stock</v>
    <v>46017.49287037037</v>
    <v>693</v>
    <v>139.15</v>
    <v>636326400000</v>
    <v>BANK OF INDIA LIMITED</v>
    <v>BANK OF INDIA LIMITED</v>
    <v>140</v>
    <v>6.6</v>
    <v>139.78</v>
    <v>139.77000000000001</v>
    <v>4552668000</v>
    <v>BANKINDIA</v>
    <v>BANK OF INDIA LIMITED (XNSE:BANKINDIA)</v>
    <v>2470349</v>
    <v>4993390</v>
    <v>1906</v>
  </rv>
  <rv s="2">
    <v>694</v>
  </rv>
  <rv s="0">
    <v>https://www.bing.com/financeapi/forcetrigger?t=ahitnm&amp;q=XNSE%3aMAHABANK&amp;form=skydnc</v>
    <v>Learn more on Bing</v>
  </rv>
  <rv s="1">
    <v>en-US</v>
    <v>ahitnm</v>
    <v>268435456</v>
    <v>1</v>
    <v>Powered by Refinitiv</v>
    <v>0</v>
    <v>THE BANK OF MAHARASHTRA LIMITED (XNSE:MAHABANK)</v>
    <v>2</v>
    <v>3</v>
    <v>Finance</v>
    <v>4</v>
    <v>61.56</v>
    <v>42</v>
    <v>0.95020000000000004</v>
    <v>-0.27</v>
    <v>-4.7149999999999996E-3</v>
    <v>INR</v>
    <v>The Bank of Maharashtra Limited (the Bank) is engaged in providing banking services. The Bank's segments include Treasury, Corporate/Wholesale Banking, Retail Banking, and Other Banking Operations. The Treasury segment includes investment, balances with banks outside India, interest accrued on investments and related income. The Corporate/Wholesale Banking Segment includes all advances to trusts, partnership firms, companies, and statutory bodies. The Retail Banking Segment includes exposure to the individual person/persons or to a small business. The Other Banking Operations segment includes all other banking transactions. Its products and services include e-payment taxes, credit cards, doorstep banking, and a new pension scheme, among others. The services of the Bank include corporate banking, deposits, loans, digital banking, and government schemes. The subsidiary of the Bank is The Maharashtra Executor &amp; Trustee Co. Pvt. Limited.</v>
    <v>14591</v>
    <v>National Stock Exchange of India</v>
    <v>XNSE</v>
    <v>XNSE</v>
    <v>Central Office, Lokmangal, 1501, Shivajinagar, PUNE, MAHARASHTRA, 411005 IN</v>
    <v>57.65</v>
    <v>Banking Services</v>
    <v>Stock</v>
    <v>46017.492893518516</v>
    <v>696</v>
    <v>56.89</v>
    <v>440418400000</v>
    <v>THE BANK OF MAHARASHTRA LIMITED</v>
    <v>THE BANK OF MAHARASHTRA LIMITED</v>
    <v>57.25</v>
    <v>7.1902999999999997</v>
    <v>57.26</v>
    <v>56.99</v>
    <v>7691555000</v>
    <v>MAHABANK</v>
    <v>THE BANK OF MAHARASHTRA LIMITED (XNSE:MAHABANK)</v>
    <v>7175248</v>
    <v>8247230</v>
    <v>1935</v>
  </rv>
  <rv s="2">
    <v>697</v>
  </rv>
  <rv s="0">
    <v>https://www.bing.com/financeapi/forcetrigger?t=ahh58m&amp;q=XNSE%3aBATAINDIA&amp;form=skydnc</v>
    <v>Learn more on Bing</v>
  </rv>
  <rv s="1">
    <v>en-US</v>
    <v>ahh58m</v>
    <v>268435456</v>
    <v>1</v>
    <v>Powered by Refinitiv</v>
    <v>0</v>
    <v>BATA INDIA LTD (XNSE:BATAINDIA)</v>
    <v>2</v>
    <v>3</v>
    <v>Finance</v>
    <v>4</v>
    <v>1479</v>
    <v>931.1</v>
    <v>1.0509999999999999</v>
    <v>1.05</v>
    <v>1.106E-3</v>
    <v>INR</v>
    <v>Bata India Limited is an India-based company, which is primarily engaged in the business of manufacturing and trading of footwear and accessories through its retail and wholesale network. Its brands include Bata, Hush Puppies, NINE WEST, North Star, Power, Bata Red Label, BATA COMFIT, Bubblegummers, Disney, Naturalizer, Marie Claire, Scholl, Floatz By Bata and Weinbrenner. The Company offers products for women, men and kids. Its sneaker studio offers various shoes, including all days casuals, running, training and walking. It offers various types of shoes for women, including ballerina, casual shoes, sandals and sports. It offers various types of shoes for men, including casual shoes, chappal &amp; flipflop and formal shoes. Its apparel includes joggers &amp; bottoms, shorts, t-shirt &amp; polos and tights. It retails through a presence across nation (PAN) India network of over 1962 company owned company operated (COCO) and franchise stores, its own Website (www.bata.in), and other marketplaces.</v>
    <v>3961</v>
    <v>National Stock Exchange of India</v>
    <v>XNSE</v>
    <v>XNSE</v>
    <v>418/02, Bata house, Sector 17, Opposite MDI, Gurugram, GURGAON, HARYANA, 122001 IN</v>
    <v>952.2</v>
    <v>Textiles &amp; Apparel</v>
    <v>Stock</v>
    <v>46017.49287037037</v>
    <v>699</v>
    <v>944.1</v>
    <v>122184700000</v>
    <v>BATA INDIA LTD</v>
    <v>BATA INDIA LTD</v>
    <v>947</v>
    <v>71.540000000000006</v>
    <v>949.6</v>
    <v>950.65</v>
    <v>128527500</v>
    <v>BATAINDIA</v>
    <v>BATA INDIA LTD (XNSE:BATAINDIA)</v>
    <v>43780</v>
    <v>68700</v>
    <v>1931</v>
  </rv>
  <rv s="2">
    <v>700</v>
  </rv>
  <rv s="0">
    <v>https://www.bing.com/financeapi/forcetrigger?t=ahh5bh&amp;q=XNSE%3aBAYERCROP&amp;form=skydnc</v>
    <v>Learn more on Bing</v>
  </rv>
  <rv s="1">
    <v>en-US</v>
    <v>ahh5bh</v>
    <v>268435456</v>
    <v>1</v>
    <v>Powered by Refinitiv</v>
    <v>0</v>
    <v>BAYER CROPSCIENCE LIMITED (XNSE:BAYERCROP)</v>
    <v>2</v>
    <v>3</v>
    <v>Finance</v>
    <v>4</v>
    <v>6511</v>
    <v>4217.45</v>
    <v>0.81130000000000002</v>
    <v>23.8</v>
    <v>5.2569999999999995E-3</v>
    <v>INR</v>
    <v>Bayer CropScience Limited is an India-based company, which is engaged in the manufacturing, sale and distribution of insecticides, fungicides, herbicides and various other agrochemical products and corn seeds. The Company operates through the Agri Care segment. The Company’s operations include three business areas: Crop Protection, Seeds &amp; Traits and Digital Farming. Its Crop Protection portfolio comprises a wide range of chemical and biological pest management solutions. Its Seeds &amp; Traits develops seeds and traits that provide farmers with new solutions. Its Digital Farming consists of modern farming methods that use technology to improve crop yield and efficiency while reducing waste and environmental impact. The Company offers various brands, such as Alion Plus, Movento Energy, Solomon, Lesenta, Nativo, Permethrin, Sectin, Topstar, and others.</v>
    <v>1169</v>
    <v>National Stock Exchange of India</v>
    <v>XNSE</v>
    <v>XNSE</v>
    <v>Bayer House, Central Avenue, Hiranandani Estate, Thane (West), THANE, MAHARASHTRA, 400607 IN</v>
    <v>4562</v>
    <v>Chemicals</v>
    <v>Stock</v>
    <v>46017.49287037037</v>
    <v>702</v>
    <v>4390</v>
    <v>204518000000</v>
    <v>BAYER CROPSCIENCE LIMITED</v>
    <v>BAYER CROPSCIENCE LIMITED</v>
    <v>4546.8999999999996</v>
    <v>33.409999999999997</v>
    <v>4526.8999999999996</v>
    <v>4550.7</v>
    <v>44942090</v>
    <v>BAYERCROP</v>
    <v>BAYER CROPSCIENCE LIMITED (XNSE:BAYERCROP)</v>
    <v>23427</v>
    <v>36680</v>
    <v>1958</v>
  </rv>
  <rv s="2">
    <v>703</v>
  </rv>
  <rv s="10">
    <v>en-US</v>
    <v>ccwhu2</v>
    <v>268435456</v>
    <v>1</v>
    <v>Powered by Refinitiv</v>
    <v>18</v>
    <v>BHARTI HEXACOM LIMITED (XNSE:BHARTIHEXA)</v>
    <v>6</v>
    <v>3</v>
    <v>Finance</v>
    <v>4</v>
    <v>2052.9</v>
    <v>1234</v>
    <v>0.98399999999999999</v>
    <v>11.5</v>
    <v>6.3309999999999998E-3</v>
    <v>INR</v>
    <v>Bharti Hexacom Limited is a communications solutions provider. It offers consumer mobile services, fixed-line telephone and broadband services to customers in the Rajasthan and the Northeast telecommunication circles in India, which comprises the states of Arunachal Pradesh, Manipur, Meghalaya, Mizoram, Nagaland, and Tripura. It offers services under the brand Airtel. Its business divisions include Mobile Services and Homes and Office Services. The Mobile Services division offers postpaid, pre-paid, roaming, high-speed Internet access and a host of services like Airtel television (TV), video calls, live-streaming videos, gaming, and buffer-less High Definition (HD). The Homes and Office Services division offers fixed-line telephone and broadband services for homes. Its digital services include Airtel Payments Bank, Airtel Xstream, Airtel Thanks, Airtel Wynk (music streaming) and Direct-to-Home (Digital TV). It offers local, national, and international long-distance telephone services.</v>
    <v>569</v>
    <v>National Stock Exchange of India</v>
    <v>XNSE</v>
    <v>XNSE</v>
    <v>Bharti Crescent, 1, Nelson Mandela Road, Vasant Kunj, NEW DELHI, DELHI, 110070 IN</v>
    <v>1832</v>
    <v>Telecommunications Services</v>
    <v>Stock</v>
    <v>46017.49287037037</v>
    <v>1791.2</v>
    <v>908250000000</v>
    <v>BHARTI HEXACOM LIMITED</v>
    <v>BHARTI HEXACOM LIMITED</v>
    <v>1792.3</v>
    <v>58.89</v>
    <v>1816.5</v>
    <v>1828</v>
    <v>500000000</v>
    <v>BHARTIHEXA</v>
    <v>BHARTI HEXACOM LIMITED (XNSE:BHARTIHEXA)</v>
    <v>60971</v>
    <v>152410</v>
    <v>1995</v>
  </rv>
  <rv s="2">
    <v>705</v>
  </rv>
  <rv s="10">
    <v>en-US</v>
    <v>c839c7</v>
    <v>268435456</v>
    <v>1</v>
    <v>Powered by Refinitiv</v>
    <v>18</v>
    <v>BIKAJI FOODS INTERNATIONAL LIMITED (XNSE:BIKAJI)</v>
    <v>6</v>
    <v>3</v>
    <v>Finance</v>
    <v>4</v>
    <v>818.7</v>
    <v>558.79999999999995</v>
    <v>0.88600000000000001</v>
    <v>7.8</v>
    <v>1.0518000000000001E-2</v>
    <v>INR</v>
    <v>Bikaji Foods International Limited is an India-based ethnic snacking company. It is primarily involved in the manufacturing, purchase, and sale of snacks. The Company's products category includes frozen food, bhujia, namkeen, packed sweets, papad, western snacks, and other snacks. Its western snacks include chips, extruded products and pellets. Its other snacks include gift packs (assortment), frozen food, mathri range and cookies. Its namkeen products include Roasted Crushed Peanuts, Crusty Nuts, Murukku Sticks, Masala Boondi, Classic Salted Peanuts, Chowpati Bhelpuri, Chowpati Bhelpuri (Mobile Pack), and Punjabi Tadka. Its sweets products include Coconut Soanpapdi, Kaju Katli, Rajbhog, Cham Cham, Rasgulla Gol Matol, Gol M Gol Gulab Jamun, and Mango Chocolate Burfee. It exports snacks, sweets, frozen food, and savories to approximately 31 countries, including North America, Asia Pacific, the Middle East, the European Union, Africa, and the United Kingdom.</v>
    <v>2589</v>
    <v>National Stock Exchange of India</v>
    <v>XNSE</v>
    <v>XNSE</v>
    <v>Plot No.E-558-561, C-569-572, E-573-577,F-585-592, Karni Extension, Riico Industrial Area, BIKANER, RAJASTHAN, 334004 IN</v>
    <v>750.9</v>
    <v>Food &amp; Tobacco</v>
    <v>Stock</v>
    <v>46017.49287037037</v>
    <v>735</v>
    <v>187794200000</v>
    <v>BIKAJI FOODS INTERNATIONAL LIMITED</v>
    <v>BIKAJI FOODS INTERNATIONAL LIMITED</v>
    <v>735</v>
    <v>87.31</v>
    <v>741.6</v>
    <v>749.4</v>
    <v>250592700</v>
    <v>BIKAJI</v>
    <v>BIKAJI FOODS INTERNATIONAL LIMITED (XNSE:BIKAJI)</v>
    <v>96664</v>
    <v>150940</v>
    <v>1995</v>
  </rv>
  <rv s="2">
    <v>707</v>
  </rv>
  <rv s="0">
    <v>https://www.bing.com/financeapi/forcetrigger?t=ahh7zr&amp;q=XNSE%3aBIOCON&amp;form=skydnc</v>
    <v>Learn more on Bing</v>
  </rv>
  <rv s="1">
    <v>en-US</v>
    <v>ahh7zr</v>
    <v>268435456</v>
    <v>1</v>
    <v>Powered by Refinitiv</v>
    <v>0</v>
    <v>BIOCON LIMITED (XNSE:BIOCON)</v>
    <v>2</v>
    <v>3</v>
    <v>Finance</v>
    <v>4</v>
    <v>424.95</v>
    <v>291</v>
    <v>1.016</v>
    <v>-2.9</v>
    <v>-7.28E-3</v>
    <v>INR</v>
    <v>Biocon Limited is an India-based biopharmaceutical company, engaged in the manufacture of biotechnology products and research services. The Company is in the business of manufacturing active pharmaceutical ingredients (APIs) and formulations, including biosimilar drugs for diabetics, oncology and autoimmune diseases. The Company’s segment includes Generics, Biosimilars, Novel Biologics and Research Services. It focuses on three key therapeutic areas - Diabetes, Oncology and Immunology. Its APIs pipeline includes cardiovascular, anti-diabetics, immunosuppressants, and specialty molecules. Its products include Tacrolimus, Rosuvastatin, Simvastatin, Atorvastatin, Pravastatin, Fingolimod and others. Its APIs manufacturing facilities with capabilities in microbial fermentation, downstream process, including chromatographic purification, chemical synthesis, peptide synthesis and Highly Potent APIs (HPAPIs). It has over five facilities in Bangalore, Hyderabad and Visakhapatnam in India.</v>
    <v>3442</v>
    <v>National Stock Exchange of India</v>
    <v>XNSE</v>
    <v>XNSE</v>
    <v>20th KM, Hosur Road, Electronic City,, BANGALORE, KARNATAKA, 560100 IN</v>
    <v>401.2</v>
    <v>Biotechnology &amp; Medical Research</v>
    <v>Stock</v>
    <v>46017.49287037037</v>
    <v>709</v>
    <v>394.05</v>
    <v>531827500000</v>
    <v>BIOCON LIMITED</v>
    <v>BIOCON LIMITED</v>
    <v>398.3</v>
    <v>99.34</v>
    <v>398.35</v>
    <v>395.45</v>
    <v>1335076000</v>
    <v>BIOCON</v>
    <v>BIOCON LIMITED (XNSE:BIOCON)</v>
    <v>1962359</v>
    <v>2163860</v>
    <v>1978</v>
  </rv>
  <rv s="2">
    <v>710</v>
  </rv>
  <rv s="0">
    <v>https://www.bing.com/financeapi/forcetrigger?t=ahioa2&amp;q=XNSE%3aBSOFT&amp;form=skydnc</v>
    <v>Learn more on Bing</v>
  </rv>
  <rv s="1">
    <v>en-US</v>
    <v>ahioa2</v>
    <v>268435456</v>
    <v>1</v>
    <v>Powered by Refinitiv</v>
    <v>0</v>
    <v>BIRLASOFT LIMITED (XNSE:BSOFT)</v>
    <v>2</v>
    <v>3</v>
    <v>Finance</v>
    <v>4</v>
    <v>586.25</v>
    <v>331</v>
    <v>1.0045999999999999</v>
    <v>-0.65</v>
    <v>-1.446E-3</v>
    <v>INR</v>
    <v>Birlasoft Limited is an India-based company, which provides cloud, artificial intelligence (AI), and digital technologies, combining domain expertise with enterprise solutions. The Company provides software development, global information technology (IT) consulting to its clients, predominantly in banking, financial services and insurance, life sciences and services, energy resources and utilities and manufacturing (which mainly includes discrete manufacturing, hi-tech &amp; media, auto and consumer packaged goods) verticals. The Company's services include digital, enterprise technologies and services, and cloud and infrastructure. Its digital services include customer experience, data analytics, connected products, intelligent automation, cloud, blockchain and generative AI. Its enterprise technologies and services include Oracle and JD Edwards, SAP, Infor, Microsoft, PTC, AWS and Google Cloud. Its Cloud and Infrastructure services include OneCloud, Anywhere Workplace and Cybersecurity.</v>
    <v>10882</v>
    <v>National Stock Exchange of India</v>
    <v>XNSE</v>
    <v>XNSE</v>
    <v>35 &amp; 36, Rajiv Gandhi Infotech Park,, Phase - I, MIDC ,Hinjawadi, PUNE, MAHARASHTRA, 411057 IN</v>
    <v>457.5</v>
    <v>Software &amp; IT Services</v>
    <v>Stock</v>
    <v>46017.49287037037</v>
    <v>712</v>
    <v>447.15</v>
    <v>125234400000</v>
    <v>BIRLASOFT LIMITED</v>
    <v>BIRLASOFT LIMITED</v>
    <v>450</v>
    <v>27.08</v>
    <v>449.4</v>
    <v>448.75</v>
    <v>278670200</v>
    <v>BSOFT</v>
    <v>BIRLASOFT LIMITED (XNSE:BSOFT)</v>
    <v>806248</v>
    <v>1472400</v>
    <v>1990</v>
  </rv>
  <rv s="2">
    <v>713</v>
  </rv>
  <rv s="0">
    <v>https://www.bing.com/financeapi/forcetrigger?t=ahh8z2&amp;q=XNSE%3aBLUEDART&amp;form=skydnc</v>
    <v>Learn more on Bing</v>
  </rv>
  <rv s="1">
    <v>en-US</v>
    <v>ahh8z2</v>
    <v>268435456</v>
    <v>1</v>
    <v>Powered by Refinitiv</v>
    <v>0</v>
    <v>BLUE DART EXPRESS LIMITED (XNSE:BLUEDART)</v>
    <v>2</v>
    <v>3</v>
    <v>Finance</v>
    <v>4</v>
    <v>7725</v>
    <v>5242.5</v>
    <v>0.98440000000000005</v>
    <v>3</v>
    <v>5.5150000000000002E-4</v>
    <v>INR</v>
    <v>Blue Dart Express Limited is engaged in the business of integrated air and ground transportation and distribution of time-sensitive packages to various destinations, primarily within India. The Company offers various track tools, such as TrackDart, InternetDart, MailDart, MobileDart, ShopTrack, and PackTrack. Its Service Guide includes Domestic Priority, Dart Apex, Dart Surfaceline, Bharat Dart, Smart Box, Express Pallet, Airport-to-Airport, Interline, International Services, and Fuel Surcharge. It accesses an express and logistics network covering over 220 countries and territories, and offers various distribution services including air express, freight forwarding, supply chain solutions, and customs clearance. Its subsidiaries include Concorde Air Logistics Limited and Blue Dart Aviation Limited.</v>
    <v>12681</v>
    <v>National Stock Exchange of India</v>
    <v>XNSE</v>
    <v>XNSE</v>
    <v>Blue Dart Centre, Sahar Airport Road, Andheri (East), MUMBAI, MAHARASHTRA, 400099 IN</v>
    <v>5499</v>
    <v>Freight &amp; Logistics Services</v>
    <v>Stock</v>
    <v>46017.49287037037</v>
    <v>715</v>
    <v>5410</v>
    <v>129080000000</v>
    <v>BLUE DART EXPRESS LIMITED</v>
    <v>BLUE DART EXPRESS LIMITED</v>
    <v>5499</v>
    <v>48.485100000000003</v>
    <v>5440</v>
    <v>5443</v>
    <v>23727930</v>
    <v>BLUEDART</v>
    <v>BLUE DART EXPRESS LIMITED (XNSE:BLUEDART)</v>
    <v>13880</v>
    <v>17860</v>
    <v>1991</v>
  </rv>
  <rv s="2">
    <v>716</v>
  </rv>
  <rv s="10">
    <v>en-US</v>
    <v>cbdru2</v>
    <v>268435456</v>
    <v>1</v>
    <v>Powered by Refinitiv</v>
    <v>18</v>
    <v>BLUE JET HEALTHCARE LIMITED (XNSE:BLUEJET)</v>
    <v>6</v>
    <v>3</v>
    <v>Finance</v>
    <v>4</v>
    <v>1027.8</v>
    <v>512.4</v>
    <v>0.98599999999999999</v>
    <v>-9.4</v>
    <v>-1.7455999999999999E-2</v>
    <v>INR</v>
    <v>Blue Jet Healthcare Limited is an India-based company, specializing in manufacturing integrated contrast media, artificial sweeteners and its salts, as well as niche pharmaceutical intermediaries and active pharmaceutical ingredients (APIs). The Company serves as a business-to-business (B2B) company. Its integrated contrast media intermediate product categories include x-ray contrast media intermediates and MRI contrast media intermediates. Its x-ray contrast media intermediates include non-ionic APIs and ionic APIs. It manufactures saccharin and supplies to healthcare, pharma, animal feed, food and beverages industries globally. The Company's offerings include insoluble saccharin, saccharin sodium and insoluble saccharin. Its advance pharmaceutical intermediates and API products include Vanillic Acid, Docusate Sodium and TosMIC. It offers end-to-end integrated solutions from process development to commercialization of NCEs, advance intermediates, APIs and building blocks.</v>
    <v>491</v>
    <v>National Stock Exchange of India</v>
    <v>XNSE</v>
    <v>XNSE</v>
    <v>701, 702, 7th Floor, Plot No. 1 &amp; 2, Bhumiraj Costarica, Sector 18, Sanpada, MUMBAI, MAHARASHTRA, 400705 IN</v>
    <v>539.65</v>
    <v>Pharmaceuticals</v>
    <v>Stock</v>
    <v>46017.49287037037</v>
    <v>528</v>
    <v>91780550000</v>
    <v>BLUE JET HEALTHCARE LIMITED</v>
    <v>BLUE JET HEALTHCARE LIMITED</v>
    <v>538.5</v>
    <v>26.5</v>
    <v>538.5</v>
    <v>529.1</v>
    <v>173465400</v>
    <v>BLUEJET</v>
    <v>BLUE JET HEALTHCARE LIMITED (XNSE:BLUEJET)</v>
    <v>155802</v>
    <v>324770</v>
    <v>1968</v>
  </rv>
  <rv s="2">
    <v>718</v>
  </rv>
  <rv s="0">
    <v>https://www.bing.com/financeapi/forcetrigger?t=ahh92w&amp;q=XNSE%3aBLUESTARCO&amp;form=skydnc</v>
    <v>Learn more on Bing</v>
  </rv>
  <rv s="1">
    <v>en-US</v>
    <v>ahh92w</v>
    <v>268435456</v>
    <v>1</v>
    <v>Powered by Refinitiv</v>
    <v>0</v>
    <v>BLUE STAR LIMITED (XNSE:BLUESTARCO)</v>
    <v>2</v>
    <v>3</v>
    <v>Finance</v>
    <v>4</v>
    <v>2417</v>
    <v>1521</v>
    <v>0.378</v>
    <v>-13.5</v>
    <v>-7.5949999999999993E-3</v>
    <v>INR</v>
    <v>Blue Star Limited offers a wide range of room air conditioning and commercial refrigeration &amp; air conditioning products, as well as a comprehensive range of air purifiers, air coolers, storage water coolers, water purifiers, cold chain equipment and specialty products. It operates through three segments: Electro-Mechanical Projects and Commercial Air Conditioning Systems, Unitary Products and Professional Electronics and Industrial Systems. Its Electro-Mechanical Projects and Commercial Air-conditioning Systems segment include central air-conditioning projects, electrical contracting business, and packaged air-conditioning businesses, including manufacturing and after-sales service. Its Unitary Products segments include cooling appliances, cold storage products, including manufacturing and after-sales service. Its Professional Electronics and Industrial Systems segments include trading and services for testing machines, analytical, test and measuring, industrial products, and systems.</v>
    <v>3523</v>
    <v>National Stock Exchange of India</v>
    <v>XNSE</v>
    <v>XNSE</v>
    <v>Kasturi Buildings, Mohan T Advani Chowk, Jamshedji Tata Road, MUMBAI, MAHARASHTRA, 400020 IN</v>
    <v>1797.2</v>
    <v>Machinery, Equipment &amp; Components</v>
    <v>Stock</v>
    <v>46017.49287037037</v>
    <v>720</v>
    <v>1759.5</v>
    <v>365415300000</v>
    <v>BLUE STAR LIMITED</v>
    <v>BLUE STAR LIMITED</v>
    <v>1777.1</v>
    <v>66.91</v>
    <v>1777.4</v>
    <v>1763.9</v>
    <v>205589800</v>
    <v>BLUESTARCO</v>
    <v>BLUE STAR LIMITED (XNSE:BLUESTARCO)</v>
    <v>64530</v>
    <v>274260</v>
    <v>1949</v>
  </rv>
  <rv s="2">
    <v>721</v>
  </rv>
  <rv s="0">
    <v>https://www.bing.com/financeapi/forcetrigger?t=ahh5h7&amp;q=XNSE%3aBBTC&amp;form=skydnc</v>
    <v>Learn more on Bing</v>
  </rv>
  <rv s="1">
    <v>en-US</v>
    <v>ahh5h7</v>
    <v>268435456</v>
    <v>1</v>
    <v>Powered by Refinitiv</v>
    <v>0</v>
    <v>THE BOMBAY BURMAH TRADING CORPORATION LIMITED (XNSE:BBTC)</v>
    <v>2</v>
    <v>3</v>
    <v>Finance</v>
    <v>4</v>
    <v>2345.25</v>
    <v>1607.05</v>
    <v>1.3386</v>
    <v>-25.8</v>
    <v>-1.3851E-2</v>
    <v>INR</v>
    <v>The Bombay Burmah Trading Corporation, Limited is an India-based multi-product and multi-divisional company with diverse business interests. The Company's segments include Plantations (Tea), Auto electrical components, Investments, Healthcare, Horticulture, Food-bakery and dairy product, and Others. The Plantations (Tea) segment produces/trades in tea business. The Auto electrical components segment manufactures solenoids, switches, valves, slip rings and others for automobile and other industries. The Company's electromags products include brake system parts, engine system parts, and starter motor and alternator parts. The Investments segment invests in various securities listed as well as unlisted mainly on a long-term basis. The Healthcare segment manufactures/trades in dental products. The Horticulture segment deals with decorative plants and landscaping services. The Others segment manufactures/trades in analytical, precision balances and weighing scales and property development.</v>
    <v>1794</v>
    <v>National Stock Exchange of India</v>
    <v>XNSE</v>
    <v>XNSE</v>
    <v>9, Wallace Street, Fort, MUMBAI, MAHARASHTRA, 400001 IN</v>
    <v>1884</v>
    <v>Food &amp; Tobacco</v>
    <v>Stock</v>
    <v>46017.49287037037</v>
    <v>723</v>
    <v>1824.1</v>
    <v>128164000000</v>
    <v>THE BOMBAY BURMAH TRADING CORPORATION LIMITED</v>
    <v>THE BOMBAY BURMAH TRADING CORPORATION LIMITED</v>
    <v>1884</v>
    <v>11.5</v>
    <v>1862.7</v>
    <v>1836.9</v>
    <v>69771900</v>
    <v>BBTC</v>
    <v>THE BOMBAY BURMAH TRADING CORPORATION LIMITED (XNSE:BBTC)</v>
    <v>53996</v>
    <v>46150</v>
    <v>1863</v>
  </rv>
  <rv s="2">
    <v>724</v>
  </rv>
  <rv s="10">
    <v>en-US</v>
    <v>ceehu2</v>
    <v>268435456</v>
    <v>1</v>
    <v>Powered by Refinitiv</v>
    <v>18</v>
    <v>BRAINBEES SOLUTIONS LIMITED (XNSE:FIRSTCRY)</v>
    <v>6</v>
    <v>3</v>
    <v>Finance</v>
    <v>4</v>
    <v>664.65</v>
    <v>277.10000000000002</v>
    <v>1.123</v>
    <v>-11.5</v>
    <v>-3.8759999999999996E-2</v>
    <v>INR</v>
    <v>Brainbees Solutions Limited provides multi-channel retailing platform for mothers’, babies’ and kids’ products, in terms of gross merchandise value. It sells mothers’, babies’ and kids’ products through its online platform, Company-owned modern stores, franchisee-owned modern stores and general trade retail distribution. Its segments include India multi-channel, International, Globalbees and Others. India multi-channel segment includes business of manufacturing, buying, selling, advertising, promoting baby and kids’ products in India. International segment includes the business of buying, selling, advertising, promoting baby and kids’ products outside India, which includes United Arab Emirates and Kingdom of Saudi Arabia. Globalbees segment is a direct-to-consumer venture that aggregates and invests in e-commerce brands and helps the brands scale and transform their digital impression. The FirstCry platform is a multi-channel retail destination for mothers’, babies’ and kids’ products.</v>
    <v>3752</v>
    <v>National Stock Exchange of India</v>
    <v>XNSE</v>
    <v>XNSE</v>
    <v>Rajashree Business Park, Plot No 114, Survey No 338, Tadiwala Road, Nr. Sohrab Hall, PUNE, MAHARASHTRA, 411001 IN</v>
    <v>295</v>
    <v>Specialty Retailers</v>
    <v>Stock</v>
    <v>46017.492881944447</v>
    <v>284</v>
    <v>137991300000</v>
    <v>BRAINBEES SOLUTIONS LIMITED</v>
    <v>BRAINBEES SOLUTIONS LIMITED</v>
    <v>295</v>
    <v>0</v>
    <v>296.7</v>
    <v>285.2</v>
    <v>483840300</v>
    <v>FIRSTCRY</v>
    <v>BRAINBEES SOLUTIONS LIMITED (XNSE:FIRSTCRY)</v>
    <v>2055041</v>
    <v>909740</v>
    <v>2010</v>
  </rv>
  <rv s="2">
    <v>726</v>
  </rv>
  <rv s="0">
    <v>https://www.bing.com/financeapi/forcetrigger?t=ahh9pr&amp;q=XNSE%3aBRIGADE&amp;form=skydnc</v>
    <v>Learn more on Bing</v>
  </rv>
  <rv s="1">
    <v>en-US</v>
    <v>ahh9pr</v>
    <v>268435456</v>
    <v>1</v>
    <v>Powered by Refinitiv</v>
    <v>0</v>
    <v>BRIGADE ENTERPRISES LIMITED (XNSE:BRIGADE)</v>
    <v>2</v>
    <v>3</v>
    <v>Finance</v>
    <v>4</v>
    <v>1338.7</v>
    <v>838.5</v>
    <v>1.1646000000000001</v>
    <v>0.55000000000000004</v>
    <v>6.2540000000000002E-4</v>
    <v>INR</v>
    <v>Brigade Enterprises Limited is an India-based property developer. The Company is engaged in the business of real estate development, leasing and hospitality, and related services. The Company's segments include Real Estate, Lease Rentals and Hospitality. The Real Estate segment is involved in the property development of residential, commercial-office spaces and mixed-use projects. The Lease Rentals segment develops commercial - office and retail spaces and leases out the same to third parties. The Hospitality segment develops hotel projects which are operated by international operators. Its real estate portfolio includes offices, special economic zone (SEZ), retail, hospitality, townships, clubs, conference centers, senior housing, schools, and a real estate technology accelerator program. It has a range of hospitality assets, including clubs, convention centers, and hotels. Its retail portfolio includes Orion Malls, neighborhood malls, standalone retail, and multiplex/support retail.</v>
    <v>1138</v>
    <v>National Stock Exchange of India</v>
    <v>XNSE</v>
    <v>XNSE</v>
    <v>29th &amp; 30th Floor,, World Trade Center, Brigade Gateway Campus,, 26/1, Dr Rajkumar Road, Malleswaram-Rajajinagar,, BANGALORE, KARNATAKA, 560055 IN</v>
    <v>884</v>
    <v>Real Estate Operations</v>
    <v>Stock</v>
    <v>46017.49287037037</v>
    <v>728</v>
    <v>870.05</v>
    <v>215036200000</v>
    <v>BRIGADE ENTERPRISES LIMITED</v>
    <v>BRIGADE ENTERPRISES LIMITED</v>
    <v>878.75</v>
    <v>26.773900000000001</v>
    <v>879.5</v>
    <v>880.05</v>
    <v>244498300</v>
    <v>BRIGADE</v>
    <v>BRIGADE ENTERPRISES LIMITED (XNSE:BRIGADE)</v>
    <v>80841</v>
    <v>158110</v>
    <v>1995</v>
  </rv>
  <rv s="2">
    <v>729</v>
  </rv>
  <rv s="0">
    <v>https://www.bing.com/financeapi/forcetrigger?t=c4jlqh&amp;q=XNSE%3aMAPMYINDIA&amp;form=skydnc</v>
    <v>Learn more on Bing</v>
  </rv>
  <rv s="1">
    <v>en-US</v>
    <v>c4jlqh</v>
    <v>268435456</v>
    <v>1</v>
    <v>Powered by Refinitiv</v>
    <v>0</v>
    <v>C.E. INFO SYSTEMS LIMITED (XNSE:MAPMYINDIA)</v>
    <v>2</v>
    <v>3</v>
    <v>Finance</v>
    <v>4</v>
    <v>2166.6999999999998</v>
    <v>1540</v>
    <v>0.45229999999999998</v>
    <v>-22.7</v>
    <v>-1.3346E-2</v>
    <v>INR</v>
    <v>C.E. Info Systems Limited is an India-based provider of digital maps, geospatial software and location-based Internet of things (IoT) technologies. The Company's segment is Map data and Map data related services. Its business mainly consists of products like digital map data, global positioning system (GPS) navigation and location-based services, licensing, royalty, annuity, subscription and customizing its products for customers. It offers digital maps as a service (MaaS), software as a service (SaaS) and platform as a service (PaaS), including its digital map data, software products, platforms, application programming interfaces (APIs), IoT and solutions to tech companies, automotive original equipment manufacturers, government organizations, developers, and consumers. It offers products for the Indian market under the MapmyIndia brand and for the global market under the Mappls brand. It also offers mappls gadgets for four-wheeler and two-wheeler vehicles.</v>
    <v>551</v>
    <v>National Stock Exchange of India</v>
    <v>XNSE</v>
    <v>XNSE</v>
    <v>237, Okhla Industrial Estate Phase 3, Near Modi Mill, NEW DELHI, DELHI, 110020 IN</v>
    <v>1711.7</v>
    <v>Software &amp; IT Services</v>
    <v>Stock</v>
    <v>46017.492893518516</v>
    <v>731</v>
    <v>1673</v>
    <v>91833900000</v>
    <v>C.E. INFO SYSTEMS LIMITED</v>
    <v>C.E. INFO SYSTEMS LIMITED</v>
    <v>1692</v>
    <v>63.75</v>
    <v>1700.9</v>
    <v>1678.2</v>
    <v>54721670</v>
    <v>MAPMYINDIA</v>
    <v>C.E. INFO SYSTEMS LIMITED (XNSE:MAPMYINDIA)</v>
    <v>21516</v>
    <v>40080</v>
    <v>1995</v>
  </rv>
  <rv s="2">
    <v>732</v>
  </rv>
  <rv s="0">
    <v>https://www.bing.com/financeapi/forcetrigger?t=ahhcc7&amp;q=XNSE%3aCCL&amp;form=skydnc</v>
    <v>Learn more on Bing</v>
  </rv>
  <rv s="1">
    <v>en-US</v>
    <v>ahhcc7</v>
    <v>268435456</v>
    <v>1</v>
    <v>Powered by Refinitiv</v>
    <v>0</v>
    <v>CCL PRODUCTS (INDIA) LIMITED (XNSE:CCL)</v>
    <v>2</v>
    <v>3</v>
    <v>Finance</v>
    <v>4</v>
    <v>1074.4000000000001</v>
    <v>525</v>
    <v>0.6</v>
    <v>-11.6</v>
    <v>-1.2149E-2</v>
    <v>INR</v>
    <v>CCL Products (India) Limited is an India-based company, which is engaged in the production, trading and distribution of coffee. The Company offers its coffee in various forms, including roasted, blended, and processed. Its Arabica and Robusta green coffee are hand-picked from different parts of the world. Its range of offerings includes instant coffee, roast and ground coffee, premix coffee and flavored Coffee. Its products include Spray Dried Coffee Powder, Spray-Dried Agglomerated Coffee, Freeze Dried Coffee, Freeze Concentrated Liquid Coffee, Roast &amp; Ground Coffee, Roasted Coffee Beans and Premix Coffee. The Company has business operations mainly in India, Vietnam and Switzerland. Its subsidiaries include Continental Coffee Private Limited, Jayanti Pte. Limited (Singapore), Continental Coffee SA (Switzerland) and Ngon Coffee Company Limited (Vietnam).</v>
    <v>1358</v>
    <v>National Stock Exchange of India</v>
    <v>XNSE</v>
    <v>XNSE</v>
    <v>7-1-24/2/D, Greendale, Ameerpet, HYDERABAD, TELANGANA, 500016 IN</v>
    <v>956.4</v>
    <v>Food &amp; Tobacco</v>
    <v>Stock</v>
    <v>46017.49287037037</v>
    <v>734</v>
    <v>935.2</v>
    <v>127175100000</v>
    <v>CCL PRODUCTS (INDIA) LIMITED</v>
    <v>CCL PRODUCTS (INDIA) LIMITED</v>
    <v>954.8</v>
    <v>37.590000000000003</v>
    <v>954.8</v>
    <v>943.2</v>
    <v>133195600</v>
    <v>CCL</v>
    <v>CCL PRODUCTS (INDIA) LIMITED (XNSE:CCL)</v>
    <v>167511</v>
    <v>227030</v>
    <v>1961</v>
  </rv>
  <rv s="2">
    <v>735</v>
  </rv>
  <rv s="0">
    <v>https://www.bing.com/financeapi/forcetrigger?t=ahhdh7&amp;q=XNSE%3aCESC&amp;form=skydnc</v>
    <v>Learn more on Bing</v>
  </rv>
  <rv s="1">
    <v>en-US</v>
    <v>ahhdh7</v>
    <v>268435456</v>
    <v>1</v>
    <v>Powered by Refinitiv</v>
    <v>0</v>
    <v>CESC LTD (XNSE:CESC)</v>
    <v>2</v>
    <v>3</v>
    <v>Finance</v>
    <v>4</v>
    <v>192.27</v>
    <v>119</v>
    <v>1.2159</v>
    <v>-1.74</v>
    <v>-1.0337000000000001E-2</v>
    <v>INR</v>
    <v>CESC Limited is an India-based integrated power utility company engaged in the generation and distribution of electricity. Its business consists of Kolkata operations as well as other generation and distribution ventures. Its Kolkata operations include distribution of electricity, with its own generation facilities, across its licensed area in Kolkata, Howrah, Hooghly, North and South 24 Parganas, West Bengal. Its generation projects include operational thermal and renewables projects, which are owned and operated by its subsidiaries. The Company has a distribution license for Greater Noida, Uttar Pradesh; three distribution franchisees (DFs) in Kota, Bharatpur and Bikaner in Rajasthan; and THE DF in Malegaon, Maharashtra. Its subsidiaries include Bhadla Three SKP Green Ventures Private Limited, Purvah Hybrid Power Private Limited, Purvah Renewable Power Private Limited, ANP Renewables Private Limited, and SHN Green Power Private Limited.</v>
    <v>5688</v>
    <v>National Stock Exchange of India</v>
    <v>XNSE</v>
    <v>XNSE</v>
    <v>CESC House, Chowringhee Square, Kolkata, KOLKATA, WEST BENGAL, 700001 IN</v>
    <v>168.61</v>
    <v>Electrical Utilities &amp; IPPs</v>
    <v>Stock</v>
    <v>46017.49287037037</v>
    <v>737</v>
    <v>166.25</v>
    <v>223133300000</v>
    <v>CESC LTD</v>
    <v>CESC LTD</v>
    <v>168.33</v>
    <v>15.39</v>
    <v>168.33</v>
    <v>166.59</v>
    <v>1325570000</v>
    <v>CESC</v>
    <v>CESC LTD (XNSE:CESC)</v>
    <v>785502</v>
    <v>1034580</v>
    <v>1978</v>
  </rv>
  <rv s="2">
    <v>738</v>
  </rv>
  <rv s="0">
    <v>https://www.bing.com/financeapi/forcetrigger?t=ahhgf2&amp;q=XNSE%3aCRISIL&amp;form=skydnc</v>
    <v>Learn more on Bing</v>
  </rv>
  <rv s="1">
    <v>en-US</v>
    <v>ahhgf2</v>
    <v>268435456</v>
    <v>1</v>
    <v>Powered by Refinitiv</v>
    <v>0</v>
    <v>CRISIL Limited (XNSE:CRISIL)</v>
    <v>2</v>
    <v>3</v>
    <v>Finance</v>
    <v>4</v>
    <v>6950</v>
    <v>3973.6</v>
    <v>0.1095</v>
    <v>-31.9</v>
    <v>-7.4350000000000006E-3</v>
    <v>INR</v>
    <v>CRISIL Limited is a global analytics company. It is engaged in providing ratings, research, and risk and policy advisory services. Its segments include Ratings services and Research, Analytics &amp; Solutions. The Ratings services segment includes credit ratings for corporates, banks, bank loans, credit analysis services, grading services and global analytical services. The Research, Analytics and solutions segment includes global research and risk solutions, industry reports, customized research assignments, subscription to data services, independent equity research (IER), initial public offerings (IPO) gradings, training, credit ratings for small and medium enterprises, advisory services and a comprehensive range of risk management tools, analytics and solutions to financial institutions, banks and corporates in India. It also offers insights, consulting, technology-driven risk solutions and advanced data analytics, serving clients across the government, private and public enterprises.</v>
    <v>4666</v>
    <v>National Stock Exchange of India</v>
    <v>XNSE</v>
    <v>XNSE</v>
    <v>CRISIL House, Central Avenue, Hiranandani Business Park, Powai, MUMBAI, MAHARASHTRA, 400076 IN</v>
    <v>4316.8</v>
    <v>Professional &amp; Commercial Services</v>
    <v>Stock</v>
    <v>46017.492881944447</v>
    <v>740</v>
    <v>4254</v>
    <v>311453400000</v>
    <v>CRISIL Limited</v>
    <v>CRISIL Limited</v>
    <v>4303</v>
    <v>41.88</v>
    <v>4290.8</v>
    <v>4258.8999999999996</v>
    <v>73130020</v>
    <v>CRISIL</v>
    <v>CRISIL Limited (XNSE:CRISIL)</v>
    <v>34150</v>
    <v>57800</v>
    <v>1987</v>
  </rv>
  <rv s="2">
    <v>741</v>
  </rv>
  <rv s="0">
    <v>https://www.bing.com/financeapi/forcetrigger?t=c64up2&amp;q=XNSE%3aCAMPUS&amp;form=skydnc</v>
    <v>Learn more on Bing</v>
  </rv>
  <rv s="1">
    <v>en-US</v>
    <v>c64up2</v>
    <v>268435456</v>
    <v>1</v>
    <v>Powered by Refinitiv</v>
    <v>0</v>
    <v>CAMPUS ACTIVEWEAR LIMITED (XNSE:CAMPUS)</v>
    <v>2</v>
    <v>3</v>
    <v>Finance</v>
    <v>4</v>
    <v>337.6</v>
    <v>210</v>
    <v>1.0003</v>
    <v>0</v>
    <v>0</v>
    <v>INR</v>
    <v>Campus Activewear Limited is an India-based sports and athleisure footwear company. The Company is primarily engaged in the business of manufacturing and trading of footwear and accessories through its retail and wholesale network. The Company has established an Indian sports and athleisure brand. The Company's product categories include men, women and kids. It offers various shoes, such as running shoes, walking shoes, casual shoes, sports shoes and sneakers. It offers various sandals &amp; floaters, such as casual, sports and clogs. Its slipper products include flip-flops and slides. The Company's feature collections include retro kicks, air-capsule, nitrofly, nitro boost, ball-tech, Ogs, motomania, yoga flex and chunky sneakers. The Company also offers socks. The Company's kids feature collections include Tom and Jerry, Justice League and Ben 10.</v>
    <v>980</v>
    <v>National Stock Exchange of India</v>
    <v>XNSE</v>
    <v>XNSE</v>
    <v>D1, Udyog Nagar, Main Rohtak Road, NEW DELHI, DELHI, 110041 IN</v>
    <v>262.95</v>
    <v>Textiles &amp; Apparel</v>
    <v>Stock</v>
    <v>46017.49287037037</v>
    <v>743</v>
    <v>259.2</v>
    <v>79896180000</v>
    <v>CAMPUS ACTIVEWEAR LIMITED</v>
    <v>CAMPUS ACTIVEWEAR LIMITED</v>
    <v>261.5</v>
    <v>64.42</v>
    <v>261.5</v>
    <v>261.5</v>
    <v>305530300</v>
    <v>CAMPUS</v>
    <v>CAMPUS ACTIVEWEAR LIMITED (XNSE:CAMPUS)</v>
    <v>141911</v>
    <v>372270</v>
    <v>2008</v>
  </rv>
  <rv s="2">
    <v>744</v>
  </rv>
  <rv s="0">
    <v>https://www.bing.com/financeapi/forcetrigger?t=ahhbcw&amp;q=XNSE%3aCANFINHOME&amp;form=skydnc</v>
    <v>Learn more on Bing</v>
  </rv>
  <rv s="1">
    <v>en-US</v>
    <v>ahhbcw</v>
    <v>268435456</v>
    <v>1</v>
    <v>Powered by Refinitiv</v>
    <v>0</v>
    <v>CAN FIN HOMES LIMITED (XNSE:CANFINHOME)</v>
    <v>2</v>
    <v>3</v>
    <v>Finance</v>
    <v>4</v>
    <v>971.5</v>
    <v>558.5</v>
    <v>1.7996000000000001</v>
    <v>-21.7</v>
    <v>-2.2913000000000003E-2</v>
    <v>INR</v>
    <v>Can Fin Homes Limited is an India-based housing finance company. The Company offers various types of housing loans, such as Individual Housing Loans, Affordable Housing Loans, Composite Loans, and Composite Housing Loan. It also offers various types of non-housing loans, such as Mortgage Loans (LAP and Flexi-LAP), Site Loans, Loan Against Rent Receivables (LRR) &amp; Loans for Commercial Properties (LCP), Top-up Loans Personal Loans, Loans for Children’s Education, Nischint Loan for Pensioners, Isecure Loans (for insurance expenses), and Rooftop Solar Loans. The Company also accepts two types of deposits, such as fixed deposits and cumulative deposits.</v>
    <v>1108</v>
    <v>National Stock Exchange of India</v>
    <v>XNSE</v>
    <v>XNSE</v>
    <v>No. 29/1 1st Floor, Sir. M N Krishna Rao Road, Lalbagh West, Basavanagudi, BANGALORE, KARNATAKA, 560004 IN</v>
    <v>971.5</v>
    <v>Banking Services</v>
    <v>Stock</v>
    <v>46017.49287037037</v>
    <v>746</v>
    <v>916.9</v>
    <v>126103600000</v>
    <v>CAN FIN HOMES LIMITED</v>
    <v>CAN FIN HOMES LIMITED</v>
    <v>945</v>
    <v>13.69</v>
    <v>947.05</v>
    <v>925.35</v>
    <v>133154100</v>
    <v>CANFINHOME</v>
    <v>CAN FIN HOMES LIMITED (XNSE:CANFINHOME)</v>
    <v>449654</v>
    <v>155810</v>
    <v>1987</v>
  </rv>
  <rv s="2">
    <v>747</v>
  </rv>
  <rv s="0">
    <v>https://www.bing.com/financeapi/forcetrigger?t=ahhboc&amp;q=XNSE%3aCAPLIPOINT&amp;form=skydnc</v>
    <v>Learn more on Bing</v>
  </rv>
  <rv s="1">
    <v>en-US</v>
    <v>ahhboc</v>
    <v>268435456</v>
    <v>1</v>
    <v>Powered by Refinitiv</v>
    <v>0</v>
    <v>CAPLIN POINT LABORATORIES LIMITED (XNSE:CAPLIPOINT)</v>
    <v>2</v>
    <v>3</v>
    <v>Finance</v>
    <v>4</v>
    <v>2641</v>
    <v>1599</v>
    <v>0.76519999999999999</v>
    <v>-54.3</v>
    <v>-2.7562000000000003E-2</v>
    <v>INR</v>
    <v>Caplin Point Laboratories Limited is an India-based pharmaceutical company with a business model catering predominantly to emerging markets of Latin America and Africa. The Company has also entered regulated markets such as the United States through its Subsidiary, Caplin Steriles Limited. The Company's operations include research &amp; development and manufacturing of finished formulations, active pharmaceutical ingredients (APIs), clinical research, front-end generic presence in Latin America, brand marketing in Francophone Africa and a USFDA/EU-GMP approved injectable facility. In the Regulated Markets, its products include liquid &amp; lyophilized vials, pre-filled syringes, three-pc ophthalmic droppers and pre-mix bags. In the Emerging Markets, its products include tablets, dry syrups - bottles, soft gels, capsules, suppositories, liquid syrups - bottles, liquid injectables in ampoules &amp; vials, lyophilized vials, prefilled syringes (PFS), and emulsion injection in ampoules &amp; vials.</v>
    <v>990</v>
    <v>National Stock Exchange of India</v>
    <v>XNSE</v>
    <v>XNSE</v>
    <v>3rd Floor, Ashvich Towers, No 3,, Developed Plots Industrial Estate, Perungudi, CHENNAI, TAMIL NADU, 600096 IN</v>
    <v>1992.1</v>
    <v>Pharmaceuticals</v>
    <v>Stock</v>
    <v>46017.49287037037</v>
    <v>749</v>
    <v>1901</v>
    <v>145623200000</v>
    <v>CAPLIN POINT LABORATORIES LIMITED</v>
    <v>CAPLIN POINT LABORATORIES LIMITED</v>
    <v>1970.1</v>
    <v>25.44</v>
    <v>1970.1</v>
    <v>1915.8</v>
    <v>76011700</v>
    <v>CAPLIPOINT</v>
    <v>CAPLIN POINT LABORATORIES LIMITED (XNSE:CAPLIPOINT)</v>
    <v>124906</v>
    <v>29270</v>
    <v>1990</v>
  </rv>
  <rv s="2">
    <v>750</v>
  </rv>
  <rv s="0">
    <v>https://www.bing.com/financeapi/forcetrigger?t=ahhdk2&amp;q=XNSE%3aCGCL&amp;form=skydnc</v>
    <v>Learn more on Bing</v>
  </rv>
  <rv s="1">
    <v>en-US</v>
    <v>ahhdk2</v>
    <v>268435456</v>
    <v>1</v>
    <v>Powered by Refinitiv</v>
    <v>0</v>
    <v>Capri Global Capital Limited (XNSE:CGCL)</v>
    <v>2</v>
    <v>3</v>
    <v>Finance</v>
    <v>4</v>
    <v>231.35</v>
    <v>150.51</v>
    <v>5.3199999999999997E-2</v>
    <v>0.61</v>
    <v>3.4250000000000001E-3</v>
    <v>INR</v>
    <v>Capri Global Capital Limited is an India-based Non-Banking Financial Company (NBFC) with a primary presence across two verticals: micro, small and medium enterprises (MSME) loans and home loans. It is also engaged in providing long term finance for the construction of residential houses in India, indirect lending, gold loans in India and in providing ancillary services related to the said business activities. It provides customized financial solutions for small business owners, such as provision store owners, retail outlet owners, handicraft manufacturers and those providing necessary services, such as education, transportation and healthcare. It offers home loans in tier 2 and tier 3 cities to the middle and lower-middle-income population. It also offers financing options to small and mid-sized real estate developers and Micro Loan Against Property (LAP) solutions to small businesses and individuals. It provides credit to other NBFCs engaging in MSME lending and microfinance.</v>
    <v>8084</v>
    <v>National Stock Exchange of India</v>
    <v>XNSE</v>
    <v>XNSE</v>
    <v>502, Tower A, Peninsula Business Park, Senapati Bapat Marg, Lower Parel West Mumbai 400013, MUMBAI, MAHARASHTRA, 400013 IN</v>
    <v>180.32</v>
    <v>Banking Services</v>
    <v>Stock</v>
    <v>46017.49287037037</v>
    <v>752</v>
    <v>178.15</v>
    <v>171340400000</v>
    <v>Capri Global Capital Limited</v>
    <v>Capri Global Capital Limited</v>
    <v>179.39</v>
    <v>21.72</v>
    <v>178.08</v>
    <v>178.69</v>
    <v>962153900</v>
    <v>CGCL</v>
    <v>Capri Global Capital Limited (XNSE:CGCL)</v>
    <v>467231</v>
    <v>676440</v>
    <v>1994</v>
  </rv>
  <rv s="2">
    <v>753</v>
  </rv>
  <rv s="0">
    <v>https://www.bing.com/financeapi/forcetrigger?t=ahhbu2&amp;q=XNSE%3aCARBORUNIV&amp;form=skydnc</v>
    <v>Learn more on Bing</v>
  </rv>
  <rv s="1">
    <v>en-US</v>
    <v>ahhbu2</v>
    <v>268435456</v>
    <v>1</v>
    <v>Powered by Refinitiv</v>
    <v>0</v>
    <v>CARBORUNDUM UNIVERSAL LIMITED (XNSE:CARBORUNIV)</v>
    <v>2</v>
    <v>3</v>
    <v>Finance</v>
    <v>4</v>
    <v>1322.7</v>
    <v>809.1</v>
    <v>1.2755000000000001</v>
    <v>-0.9</v>
    <v>-1.06E-3</v>
    <v>INR</v>
    <v>Carborundum Universal Limited is an India-based materials sciences engineering solutions provider. The Company's segments include Abrasives, Ceramics, Electro minerals, Power, IT Services and Others. Abrasive segment comprises bonded, coated, processed cloth, polymers, power tools and coolants. Ceramics segment includes technical ceramics and super-refractory solutions to address wear protection, corrosion resistance, electrical resistance, heat protection and ballistic protection. Electro minerals segment includes deals with the materials-fused alumina’s, its variants, and silicon carbide - used in abrasives and refractories globally. The Company also provides information technology (IT) services, including IT infrastructure facility management services, software application development services and others. The Company serves both retail and industrial customers through multiple channels across India.</v>
    <v>6260</v>
    <v>National Stock Exchange of India</v>
    <v>XNSE</v>
    <v>XNSE</v>
    <v>Parry House, 43 Moore Street, CHENNAI, TAMIL NADU, 600001 IN</v>
    <v>857.95</v>
    <v>Chemicals</v>
    <v>Stock</v>
    <v>46017.49287037037</v>
    <v>755</v>
    <v>842</v>
    <v>161499800000</v>
    <v>CARBORUNDUM UNIVERSAL LIMITED</v>
    <v>CARBORUNDUM UNIVERSAL LIMITED</v>
    <v>848.9</v>
    <v>79.61</v>
    <v>848.9</v>
    <v>848</v>
    <v>190447900</v>
    <v>CARBORUNIV</v>
    <v>CARBORUNDUM UNIVERSAL LIMITED (XNSE:CARBORUNIV)</v>
    <v>106174</v>
    <v>75460</v>
    <v>1954</v>
  </rv>
  <rv s="2">
    <v>756</v>
  </rv>
  <rv s="0">
    <v>https://www.bing.com/financeapi/forcetrigger?t=ahhc6h&amp;q=XNSE%3aCASTROLIND&amp;form=skydnc</v>
    <v>Learn more on Bing</v>
  </rv>
  <rv s="1">
    <v>en-US</v>
    <v>ahhc6h</v>
    <v>268435456</v>
    <v>1</v>
    <v>Powered by Refinitiv</v>
    <v>0</v>
    <v>CASTROL INDIA LIMITED (XNSE:CASTROLIND)</v>
    <v>2</v>
    <v>3</v>
    <v>Finance</v>
    <v>4</v>
    <v>247.15</v>
    <v>159.5</v>
    <v>0.83989999999999998</v>
    <v>4.09</v>
    <v>2.1596000000000001E-2</v>
    <v>INR</v>
    <v>Castrol India Limited is an India-based lubricant company. The Company is engaged in manufacturing and marketing of automotive and industrial lubricants and related services. The Company's brands include Castrol CRB, Castrol GTX, Castrol Activ, Castrol POWER1, Castrol MAGNATEC and Castrol VECTON, Castrol EDGE, Castrol Go!, Castrol On and Castrol RX. The Company also operates in high performance lubricants and metalworking fluids used in a variety of industries, such as automotive manufacturing, mining, machinery and wind energy. Its services include Castrol Pitshop and Castrol Bike Point. Its commercial vehicle products include engine oils, transmission fluids, coolants, greases, diesel exhaust fluid (DEF) and hydraulic fluids. It produces a range of advanced electric vehicle (EV) transmission fluids, thermal fluids and EV greases. It has a manufacturing and distribution network with around three blending plants and a distribution network of 350 distributors and 100,000 retail outlets.</v>
    <v>574</v>
    <v>National Stock Exchange of India</v>
    <v>XNSE</v>
    <v>XNSE</v>
    <v>1st Floor, Technopolis Knowledge Park,, Mahakali Caves Road, Andheri (East),, MUMBAI, MAHARASHTRA, 400093 IN</v>
    <v>198.13</v>
    <v>Oil &amp; Gas</v>
    <v>Stock</v>
    <v>46017.49287037037</v>
    <v>758</v>
    <v>191.35</v>
    <v>187329900000</v>
    <v>CASTROL INDIA LIMITED</v>
    <v>CASTROL INDIA LIMITED</v>
    <v>193.89</v>
    <v>19.594100000000001</v>
    <v>189.39</v>
    <v>193.48</v>
    <v>989122400</v>
    <v>CASTROLIND</v>
    <v>CASTROL INDIA LIMITED (XNSE:CASTROLIND)</v>
    <v>16924568</v>
    <v>5699480</v>
    <v>1979</v>
  </rv>
  <rv s="2">
    <v>759</v>
  </rv>
  <rv s="0">
    <v>https://www.bing.com/financeapi/forcetrigger?t=ahhchw&amp;q=XNSE%3aCEATLTD&amp;form=skydnc</v>
    <v>Learn more on Bing</v>
  </rv>
  <rv s="1">
    <v>en-US</v>
    <v>ahhchw</v>
    <v>268435456</v>
    <v>1</v>
    <v>Powered by Refinitiv</v>
    <v>0</v>
    <v>CEAT LIMITED (XNSE:CEATLTD)</v>
    <v>2</v>
    <v>3</v>
    <v>Finance</v>
    <v>4</v>
    <v>4438</v>
    <v>2343.0500000000002</v>
    <v>1.4131</v>
    <v>-20.2</v>
    <v>-5.2090000000000001E-3</v>
    <v>INR</v>
    <v>CEAT Limited is an India-based tire company. The Company’s principal business is the manufacturing of automotive tires, tubes and flaps. The Company manufactures tires for a broad range of vehicles, including passenger cars, two-wheelers, trucks and buses, light commercial and off-highway tires. The Company's tire categories include car, bike, scooter tires, and commercial tires. It offers tires for various cars such as Maruti Alto, Maruti Alto K10, Maruti Swift, Maruti Swift Dzire and Maruti Wagon R. It offers tires for various bikes such as Hero Splendor, Hero Passion, Honda Shine, Honda Dream, Honda Unicorn, TVS Apache, Yamaha FZ, Royal Enfield, Bajaj CT 100/110, Bajaj KTM 200, Bajaj Platina and Bajaj Dominar. It offers tires for various scooters, such as Honda Activa, Suzuki Access, TVS Jupiter, Hero Destini, and Hero Duet. The Company’s CAMSO’s brand expertise in compact construction equipment tracks and tires.</v>
    <v>9428</v>
    <v>National Stock Exchange of India</v>
    <v>XNSE</v>
    <v>XNSE</v>
    <v>463,Dr. Annie Besant Road, Worli, MUMBAI, MAHARASHTRA, 400030 IN</v>
    <v>3894.7</v>
    <v>Automobiles &amp; Auto Parts</v>
    <v>Stock</v>
    <v>46017.49287037037</v>
    <v>761</v>
    <v>3825.5</v>
    <v>156632800000</v>
    <v>CEAT LIMITED</v>
    <v>CEAT LIMITED</v>
    <v>3875</v>
    <v>31.521799999999999</v>
    <v>3878</v>
    <v>3857.8</v>
    <v>40390090</v>
    <v>CEATLTD</v>
    <v>CEAT LIMITED (XNSE:CEATLTD)</v>
    <v>57903</v>
    <v>109270</v>
    <v>1958</v>
  </rv>
  <rv s="2">
    <v>762</v>
  </rv>
  <rv s="0">
    <v>https://www.bing.com/financeapi/forcetrigger?t=ahhcz2&amp;q=XNSE%3aCENTRALBK&amp;form=skydnc</v>
    <v>Learn more on Bing</v>
  </rv>
  <rv s="1">
    <v>en-US</v>
    <v>ahhcz2</v>
    <v>268435456</v>
    <v>1</v>
    <v>Powered by Refinitiv</v>
    <v>0</v>
    <v>CENTRAL BANK OF INDIA LIMITED (XNSE:CENTRALBK)</v>
    <v>2</v>
    <v>3</v>
    <v>Finance</v>
    <v>4</v>
    <v>56.47</v>
    <v>32.75</v>
    <v>0.92410000000000003</v>
    <v>-0.15</v>
    <v>-4.0530000000000002E-3</v>
    <v>INR</v>
    <v>Central Bank of India Limited is an India-based commercial bank. The Company offers various banking services, including digital banking; deposits; retail loans; agriculture; services for micro, small and medium enterprises; corporate loans; services for non-resident Indians; services for pensioners. Its digital banking services include Internet banking, mobile banking, Cent M-Passbook, debit cards, credit cards, missed call facility, railways ticket booking, centpay, automated teller machine. Its deposits services include savings bank accounts, current accounts, time deposits, recurring deposit scheme, small saving scheme and interest rate on deposits. Its Retail Banking services include housing loans, vehicle loans, education loans, personal/gold loans, loans to senior citizens, and loan against property-personal needs. Its agriculture services include Central Kisan Credit Card, Cent Agri Gold Loan Scheme, Cent SHG Bank Linkage Scheme, CENT AGRI INFRA Scheme, and others.</v>
    <v>33081</v>
    <v>National Stock Exchange of India</v>
    <v>XNSE</v>
    <v>XNSE</v>
    <v>Chandermukhi, Nariman Point, MUMBAI, MAHARASHTRA, 400021 IN</v>
    <v>37.200000000000003</v>
    <v>Banking Services</v>
    <v>Stock</v>
    <v>46017.49287037037</v>
    <v>764</v>
    <v>36.76</v>
    <v>333634700000</v>
    <v>CENTRAL BANK OF INDIA LIMITED</v>
    <v>CENTRAL BANK OF INDIA LIMITED</v>
    <v>37.14</v>
    <v>7.17</v>
    <v>37.01</v>
    <v>36.86</v>
    <v>9051401000</v>
    <v>CENTRALBK</v>
    <v>CENTRAL BANK OF INDIA LIMITED (XNSE:CENTRALBK)</v>
    <v>2841717</v>
    <v>4183140</v>
    <v>1911</v>
  </rv>
  <rv s="2">
    <v>765</v>
  </rv>
  <rv s="0">
    <v>https://www.bing.com/financeapi/forcetrigger?t=ahhd5r&amp;q=XNSE%3aCENTURYPLY&amp;form=skydnc</v>
    <v>Learn more on Bing</v>
  </rv>
  <rv s="1">
    <v>en-US</v>
    <v>ahhd5r</v>
    <v>268435456</v>
    <v>1</v>
    <v>Powered by Refinitiv</v>
    <v>0</v>
    <v>CENTURY PLYBOARDS (INDIA) LTD. (XNSE:CENTURYPLY)</v>
    <v>2</v>
    <v>3</v>
    <v>Finance</v>
    <v>4</v>
    <v>897.1</v>
    <v>650</v>
    <v>0.92269999999999996</v>
    <v>-2.1</v>
    <v>-2.5330000000000001E-3</v>
    <v>INR</v>
    <v>Century Plyboards (India) Limited is an India-based company. The Company is primarily engaged in manufacturing and selling plywood, laminates, decorative veneers, medium density fiber boards (MDF), pre-laminated boards, particle boards and flush doors. The Company’s segments include Plywood, Laminate, MDF, Plain Particle Board (PPB), CFS Services, and Others. Plywood segment provides plywood, block-board, veneer and timber. Laminate segment provides decorative Laminates. MDF segment offers plain and pre-laminated medium density fiber boards. PPB segment provides plain &amp; pre-laminated particle boards. CFS Services segment provides container freight stations services. Others segment provides mainly trading of chemicals and new age panel products. It has manufacturing facilities near Kolkata, Karnal, Guwahati, Hoshiarpur, Kandla and Chennai. The Company's subsidiaries include Century Panels Ltd, Century MDF Ltd., Century Infra Ltd., and others.</v>
    <v>7396</v>
    <v>National Stock Exchange of India</v>
    <v>XNSE</v>
    <v>XNSE</v>
    <v>Century House P15/1, Taratala Road, KOLKATA, WEST BENGAL, 700088 IN</v>
    <v>834.9</v>
    <v>Paper &amp; Forest Products</v>
    <v>Stock</v>
    <v>46017.49287037037</v>
    <v>767</v>
    <v>820.1</v>
    <v>184181400000</v>
    <v>CENTURY PLYBOARDS (INDIA) LTD.</v>
    <v>CENTURY PLYBOARDS (INDIA) LTD.</v>
    <v>832.25</v>
    <v>79.348600000000005</v>
    <v>829</v>
    <v>826.9</v>
    <v>222173000</v>
    <v>CENTURYPLY</v>
    <v>CENTURY PLYBOARDS (INDIA) LTD. (XNSE:CENTURYPLY)</v>
    <v>25112</v>
    <v>101520</v>
    <v>1982</v>
  </rv>
  <rv s="2">
    <v>768</v>
  </rv>
  <rv s="0">
    <v>https://www.bing.com/financeapi/forcetrigger?t=ahhdbh&amp;q=XNSE%3aCERA&amp;form=skydnc</v>
    <v>Learn more on Bing</v>
  </rv>
  <rv s="1">
    <v>en-US</v>
    <v>ahhdbh</v>
    <v>268435456</v>
    <v>1</v>
    <v>Powered by Refinitiv</v>
    <v>0</v>
    <v>CERA SANITARYWARE LIMITED (XNSE:CERA)</v>
    <v>2</v>
    <v>3</v>
    <v>Finance</v>
    <v>4</v>
    <v>7739.5</v>
    <v>5060.05</v>
    <v>0.82830000000000004</v>
    <v>-69</v>
    <v>-1.3143E-2</v>
    <v>INR</v>
    <v>Cera Sanitaryware Limited is engaged in the business of manufacturing, selling, and trading of building products and is having nonconventional wind &amp; solar power for captive use in the State of Gujarat. Its products and services include sanitaryware, faucets and showers, tiles, and wellness. Its Sanitaryware products include EWCs, wash basins, cisterns, seat covers, urinals, electronic flushing systems, special needs range, and bath accessories. Its Faucets &amp; Showers products include foot operated faucets, single lever faucets, quarter turn faucets, half turn faucets, sensor and touch faucets, special-needed products, other allied products, health faucets, bathroom accessories and Cera auxiliaries. Its tile products include wall and floor tiles. Its Wellness products include a freestanding bathtub, a drop-in bathtub, air and water massage bathtub, shower panels, and others. Its kitchen sink products include handmade sinks, 304 grade SS sinks, and 202 grade SS sinks.</v>
    <v>2474</v>
    <v>National Stock Exchange of India</v>
    <v>XNSE</v>
    <v>XNSE</v>
    <v>7th &amp; 8th Floor, B Wing, Privilon,, Ambli BRTS Road,, ISKCON Crossroads, AHMEDABAD, GUJARAT, 380059 IN</v>
    <v>5270</v>
    <v>Homebuilding &amp; Construction Supplies</v>
    <v>Stock</v>
    <v>46017.49287037037</v>
    <v>770</v>
    <v>5151</v>
    <v>66809200000</v>
    <v>CERA SANITARYWARE LIMITED</v>
    <v>CERA SANITARYWARE LIMITED</v>
    <v>5260</v>
    <v>28.86</v>
    <v>5250</v>
    <v>5181</v>
    <v>12895040</v>
    <v>CERA</v>
    <v>CERA SANITARYWARE LIMITED (XNSE:CERA)</v>
    <v>24533</v>
    <v>22700</v>
    <v>1998</v>
  </rv>
  <rv s="2">
    <v>771</v>
  </rv>
  <rv s="0">
    <v>https://www.bing.com/financeapi/forcetrigger?t=bov6ur&amp;q=XNSE%3aCHALET&amp;form=skydnc</v>
    <v>Learn more on Bing</v>
  </rv>
  <rv s="1">
    <v>en-US</v>
    <v>bov6ur</v>
    <v>268435456</v>
    <v>1</v>
    <v>Powered by Refinitiv</v>
    <v>0</v>
    <v>CHALET HOTELS LIMITED (XNSE:CHALET)</v>
    <v>2</v>
    <v>3</v>
    <v>Finance</v>
    <v>4</v>
    <v>1082</v>
    <v>634.04999999999995</v>
    <v>0.58979999999999999</v>
    <v>-6.5</v>
    <v>-7.4450000000000002E-3</v>
    <v>INR</v>
    <v>Chalet Hotels Limited is an India-based owner, developer, asset manager and operator of hotels and a hotel led mixed-use developer across India. Its segments include Hospitality (Hotels), Real Estate and Rental / Annuity Business. The Hospitality (Hotels) segment includes hotel operations. The Real Estate segment includes the sale of residential flats. The Company’s portfolio comprises over 10 fully operational hotels across mainstream and luxury segments, and commercial spaces, representing 1.2 mn square foot. in close proximity to the hospitality assets. Its portfolio includes JW Marriott Mumbai Sahar; the Westin Mumbai Powai Lake, Lakeside Chalet Marriott Executive Apartments; Four Points by Sheraton Navi Mumbai; the Westin Hyderabad Mindspace; the Westin Hyderabad HITEC City; Bengaluru Marriott Hotel Whitefield; Novotel Pune Nagar Road; the Dukes Retreat, and Courtyard by Marriott Aravali Resort.</v>
    <v>2161</v>
    <v>National Stock Exchange of India</v>
    <v>XNSE</v>
    <v>XNSE</v>
    <v>Raheja Tower, 4th Floor,, Block G, Plot No. C-30,, Bandra Kurla Complex (BKC), Bandra (E),, MUMBAI, MAHARASHTRA, 400051 IN</v>
    <v>875.7</v>
    <v>Hotels &amp; Entertainment Services</v>
    <v>Stock</v>
    <v>46017.49287037037</v>
    <v>773</v>
    <v>865</v>
    <v>190982700000</v>
    <v>CHALET HOTELS LIMITED</v>
    <v>CHALET HOTELS LIMITED</v>
    <v>869.5</v>
    <v>33.03</v>
    <v>873.05</v>
    <v>866.55</v>
    <v>218753400</v>
    <v>CHALET</v>
    <v>CHALET HOTELS LIMITED (XNSE:CHALET)</v>
    <v>63260</v>
    <v>121310</v>
    <v>1986</v>
  </rv>
  <rv s="2">
    <v>774</v>
  </rv>
  <rv s="0">
    <v>https://www.bing.com/financeapi/forcetrigger?t=ahhdpr&amp;q=XNSE%3aCHAMBLFERT&amp;form=skydnc</v>
    <v>Learn more on Bing</v>
  </rv>
  <rv s="1">
    <v>en-US</v>
    <v>ahhdpr</v>
    <v>268435456</v>
    <v>1</v>
    <v>Powered by Refinitiv</v>
    <v>0</v>
    <v>CHAMBAL FERTILISERS AND CHEMICALS LIMITED (XNSE:CHAMBLFERT)</v>
    <v>2</v>
    <v>3</v>
    <v>Finance</v>
    <v>4</v>
    <v>742.2</v>
    <v>410.2</v>
    <v>1.6438999999999999</v>
    <v>0</v>
    <v>0</v>
    <v>INR</v>
    <v>Chambal Fertilisers and Chemicals Limited is an India-based company, which is engaged in the production of urea in its three plants located at Gadepan in Kota district of Rajasthan. The Company’s segments include Own Manufactured Fertilizers, Complex Fertilizers, and Crop Protection Chemicals and Specialty Nutrients. The Company is also engaged in marketing of other fertilizers and Agri-inputs, such as Di-Ammonium Phosphate (DAP), Muriate of Potash (MOP), NPK fertilizers, Crop Protection Chemicals and Specialty Nutrients. Its crop protection products include insecticides, fungicides, and herbicides. It caters to the needs of the farmers in approximately 10 states in northern, eastern, central, and western regions of India and is the fertilizer supplier in the states of Rajasthan, Madhya Pradesh, Punjab, and Haryana. Its subsidiaries include CFCL Ventures Limited, ISGN Corporation, Chambal Infrastructure Ventures Limited, and ISG Novasoft Technologies Limited.</v>
    <v>1102</v>
    <v>National Stock Exchange of India</v>
    <v>XNSE</v>
    <v>XNSE</v>
    <v>Corporate One, First Floor,, 5, Commercial Centre, Jasola,, NEW DELHI, DELHI, 110025 IN</v>
    <v>475.9</v>
    <v>Chemicals</v>
    <v>Stock</v>
    <v>46017.49287037037</v>
    <v>776</v>
    <v>466.85</v>
    <v>189708900000</v>
    <v>CHAMBAL FERTILISERS AND CHEMICALS LIMITED</v>
    <v>CHAMBAL FERTILISERS AND CHEMICALS LIMITED</v>
    <v>474.65</v>
    <v>10.19</v>
    <v>473.5</v>
    <v>473.5</v>
    <v>400652300</v>
    <v>CHAMBLFERT</v>
    <v>CHAMBAL FERTILISERS AND CHEMICALS LIMITED (XNSE:CHAMBLFERT)</v>
    <v>833975</v>
    <v>1593630</v>
    <v>1985</v>
  </rv>
  <rv s="2">
    <v>777</v>
  </rv>
  <rv s="0">
    <v>https://www.bing.com/financeapi/forcetrigger?t=ahhdsm&amp;q=XNSE%3aCHENNPETRO&amp;form=skydnc</v>
    <v>Learn more on Bing</v>
  </rv>
  <rv s="1">
    <v>en-US</v>
    <v>ahhdsm</v>
    <v>268435456</v>
    <v>1</v>
    <v>Powered by Refinitiv</v>
    <v>0</v>
    <v>CHENNAI PETROLEUM CORPORATION LIMITED (XNSE:CHENNPETRO)</v>
    <v>2</v>
    <v>3</v>
    <v>Finance</v>
    <v>4</v>
    <v>1103</v>
    <v>433.1</v>
    <v>0.83689999999999998</v>
    <v>-19.899999999999999</v>
    <v>-2.3460000000000002E-2</v>
    <v>INR</v>
    <v>Chennai Petroleum Corporation Limited is an India-based refining company, which is engaged in the processing of crude oil into refined petroleum products and other products. Its refineries include the Manali Refinery and Cauvery Basin Refinery. The Manali Refinery located at North Chennai has a capacity of 10.5 MMTPA. The main products of the refinery are liquefied petroleum gas (LPG), Motor Spirit, Superior Kerosene, Aviation Turbine Fuel, High Speed Diesel, Naphtha, Bitumen, Lube Base Stocks, Paraffin Wax, Fuel Oil, Hexane and Petrochemical feed stocks. Its second refinery is located at Cauvery Basin at Nagapattinam, which is set up with a capacity of approximately 1.0 MMTPA. Its specialty products include Hexane (Food Grade), Paraffin Wax, Micro Crystalline Wax, Sulphur, Pet coke (Fuel Grade), Mineral Turpentine Oil, Propylene, Poly Butene Feed Stock, Methyl Ethyl Ketone (MEK) Feed Stock, and others. Its fuel products include light diesel oil (LDO), Motor Gasoline, and others.</v>
    <v>1413</v>
    <v>National Stock Exchange of India</v>
    <v>XNSE</v>
    <v>XNSE</v>
    <v>No.536,, Anna Salai,, Teynampet, CHENNAI, TAMIL NADU, 600018 IN</v>
    <v>851.2</v>
    <v>Oil &amp; Gas</v>
    <v>Stock</v>
    <v>46017.492881944447</v>
    <v>779</v>
    <v>825</v>
    <v>126314100000</v>
    <v>CHENNAI PETROLEUM CORPORATION LIMITED</v>
    <v>CHENNAI PETROLEUM CORPORATION LIMITED</v>
    <v>850</v>
    <v>10.8</v>
    <v>848.25</v>
    <v>828.35</v>
    <v>148911400</v>
    <v>CHENNPETRO</v>
    <v>CHENNAI PETROLEUM CORPORATION LIMITED (XNSE:CHENNPETRO)</v>
    <v>826159</v>
    <v>726890</v>
    <v>1965</v>
  </rv>
  <rv s="2">
    <v>780</v>
  </rv>
  <rv s="0">
    <v>https://www.bing.com/financeapi/forcetrigger?t=c5titc&amp;q=XNSE%3aCHOICEIN&amp;form=skydnc</v>
    <v>Learn more on Bing</v>
  </rv>
  <rv s="1">
    <v>en-US</v>
    <v>c5titc</v>
    <v>268435456</v>
    <v>1</v>
    <v>Powered by Refinitiv</v>
    <v>0</v>
    <v>CHOICE INTERNATIONAL LIMITED (XNSE:CHOICEIN)</v>
    <v>2</v>
    <v>3</v>
    <v>Finance</v>
    <v>4</v>
    <v>841</v>
    <v>438.45</v>
    <v>0.4466</v>
    <v>8.0500000000000007</v>
    <v>9.8839999999999987E-3</v>
    <v>INR</v>
    <v>Choice International Limited is an India-based integrated and diversified financial services company. The Company's segments include Broking &amp; Distribution services, NBFC services, and Advisory Services. The Broking &amp; Distribution services segment includes stock broking, wealth and insurance. Its wealth products include mutual funds, fixed income, and structured products. Its wealth services include corporate treasury, private client group desk for High-net-worth Individual (HNI) clients, financial awareness sessions for affinity groups, and training for business partners. It offers vehicle insurance, Commercial Insurance, Health Insurance, and Life insurance. The NBFC services segment's products include Micro, Small, and Medium Enterprises (MSME) loans, solar finance, supply chain finance, vehicle finance and personal loans. The Advisory Services segment includes government infrastructure consulting, government advisory and investment banking.</v>
    <v>4610</v>
    <v>National Stock Exchange of India</v>
    <v>XNSE</v>
    <v>XNSE</v>
    <v>Sunil Patodia Tower, J.B. Nagar, Andheri (East), MUMBAI, MAHARASHTRA, 400099 IN</v>
    <v>826.5</v>
    <v>Investment Banking &amp; Investment Services</v>
    <v>Stock</v>
    <v>46017.492881944447</v>
    <v>782</v>
    <v>811.35</v>
    <v>181440300000</v>
    <v>CHOICE INTERNATIONAL LIMITED</v>
    <v>CHOICE INTERNATIONAL LIMITED</v>
    <v>815.9</v>
    <v>87.11</v>
    <v>814.45</v>
    <v>822.5</v>
    <v>222776500</v>
    <v>CHOICEIN</v>
    <v>CHOICE INTERNATIONAL LIMITED (XNSE:CHOICEIN)</v>
    <v>561313</v>
    <v>590340</v>
    <v>1993</v>
  </rv>
  <rv s="2">
    <v>783</v>
  </rv>
  <rv s="0">
    <v>https://www.bing.com/financeapi/forcetrigger?t=ahkcyc&amp;q=XNSE%3aCHOLAHLDNG&amp;form=skydnc</v>
    <v>Learn more on Bing</v>
  </rv>
  <rv s="1">
    <v>en-US</v>
    <v>ahkcyc</v>
    <v>268435456</v>
    <v>1</v>
    <v>Powered by Refinitiv</v>
    <v>0</v>
    <v>CHOLAMANDALAM FINANCIAL HOLDINGS LIMITED (XNSE:CHOLAHLDNG)</v>
    <v>2</v>
    <v>3</v>
    <v>Finance</v>
    <v>4</v>
    <v>2231.6</v>
    <v>1357.35</v>
    <v>1.2002999999999999</v>
    <v>-44.4</v>
    <v>-2.3334000000000001E-2</v>
    <v>INR</v>
    <v>Cholamandalam Financial Holdings Limited is a core investment company and all the activities of the Company revolve around the main business in India. The Company holds investments in financial services/risk management companies, which include Cholamandalam Investment and Finance Company Limited (CIFCL), Cholamandalam MS General Insurance Company Limited (CMSGICL) and Cholamandalam MS Risk Services Limited (CMSRSL). CIFCL is a non-banking finance company engaged in lending business offering vehicle finance, home loans, loans against property, SME loans, secured business and personal loans, consumer &amp; small enterprises loans and a variety of other financial services to customers. CMSGICL is engaged in the general insurance business offering a range of insurance products that include motor, health, property, accident, engineering, liability, marine, travel and crop insurance for individuals and corporates. CMSRSL offers comprehensive risk management and engineering solutions.</v>
    <v>48434</v>
    <v>National Stock Exchange of India</v>
    <v>XNSE</v>
    <v>XNSE</v>
    <v>Dare House, No. 234 N.S.C Bose Road, CHENNAI, TAMIL NADU, 600001 IN</v>
    <v>1917</v>
    <v>Banking Services</v>
    <v>Stock</v>
    <v>46017.492881944447</v>
    <v>785</v>
    <v>1853.1</v>
    <v>348965600000</v>
    <v>CHOLAMANDALAM FINANCIAL HOLDINGS LIMITED</v>
    <v>CHOLAMANDALAM FINANCIAL HOLDINGS LIMITED</v>
    <v>1902</v>
    <v>16.04</v>
    <v>1902.8</v>
    <v>1858.4</v>
    <v>187777500</v>
    <v>CHOLAHLDNG</v>
    <v>CHOLAMANDALAM FINANCIAL HOLDINGS LIMITED (XNSE:CHOLAHLDNG)</v>
    <v>46692</v>
    <v>148380</v>
    <v>1949</v>
  </rv>
  <rv s="2">
    <v>786</v>
  </rv>
  <rv s="0">
    <v>https://www.bing.com/financeapi/forcetrigger?t=ahhgtc&amp;q=XNSE%3aCUB&amp;form=skydnc</v>
    <v>Learn more on Bing</v>
  </rv>
  <rv s="1">
    <v>en-US</v>
    <v>ahhgtc</v>
    <v>268435456</v>
    <v>1</v>
    <v>Powered by Refinitiv</v>
    <v>0</v>
    <v>CITY UNION BANK LIMITED (XNSE:CUB)</v>
    <v>2</v>
    <v>3</v>
    <v>Finance</v>
    <v>4</v>
    <v>297.89999999999998</v>
    <v>142.91</v>
    <v>1.1560999999999999</v>
    <v>-3.7</v>
    <v>-1.2498E-2</v>
    <v>INR</v>
    <v>City Union Bank Limited (the Bank) is an India-based banking company. The Bank provides a range of banking and financial services, including commercial banking and treasury operations. The Bank's segments include Treasury, Corporate/wholesale banking, Retail banking and other banking operations. Its Retail banking segment includes digital banking and other retail banking. Its products and services include personal; gold loans; micro, small and medium enterprises, corporate, Agri &amp; rural, NRI and tech banking. It offers various bank accounts, including CUB general savings account, CUB salary savings account for individuals and CUB savings bank account for students - young India. The Bank offers various loans, including CUB gold-based overdraft, CUB working capital loans and CUB cash credit for working capital. Its deposits and investments include CUB fixed deposit and CUB flexifix deposit. It offers insurance products to its customers. The Bank has approximately 812 branches.</v>
    <v>7605</v>
    <v>National Stock Exchange of India</v>
    <v>XNSE</v>
    <v>XNSE</v>
    <v>Narayana,No.24-B,, Gandhi Nagar, KUMBAKONAM, TAMIL NADU, 612001 IN</v>
    <v>297.89999999999998</v>
    <v>Banking Services</v>
    <v>Stock</v>
    <v>46017.492881944447</v>
    <v>788</v>
    <v>290</v>
    <v>219698200000</v>
    <v>CITY UNION BANK LIMITED</v>
    <v>CITY UNION BANK LIMITED</v>
    <v>297.89999999999998</v>
    <v>18.149999999999999</v>
    <v>296.05</v>
    <v>292.35000000000002</v>
    <v>742098300</v>
    <v>CUB</v>
    <v>CITY UNION BANK LIMITED (XNSE:CUB)</v>
    <v>2311411</v>
    <v>2045440</v>
    <v>1904</v>
  </rv>
  <rv s="2">
    <v>789</v>
  </rv>
  <rv s="0">
    <v>https://www.bing.com/financeapi/forcetrigger?t=c2rtxm&amp;q=XNSE%3aCLEAN&amp;form=skydnc</v>
    <v>Learn more on Bing</v>
  </rv>
  <rv s="1">
    <v>en-US</v>
    <v>c2rtxm</v>
    <v>268435456</v>
    <v>1</v>
    <v>Powered by Refinitiv</v>
    <v>0</v>
    <v>CLEAN SCIENCE AND TECHNOLOGY LIMITED (XNSE:CLEAN)</v>
    <v>2</v>
    <v>3</v>
    <v>Finance</v>
    <v>4</v>
    <v>1600</v>
    <v>873.75</v>
    <v>1.0096000000000001</v>
    <v>-17.100000000000001</v>
    <v>-1.9066E-2</v>
    <v>INR</v>
    <v>Clean Science and Technology Limited is an India-based fine and specialty chemical manufacturing company. The Company is engaged in the business of manufacturing organic and inorganic chemicals. Its specialty chemical chemistry is diversified into three segments: performance chemicals, pharmaceutical chemicals, and fast-moving consumer goods (FMCG) chemical. Its FMCG chemicals include Anisole, 4-Methoxy Acetophenone, Guaiacol, Tertiary Butyl Hydroquinone, Ortho Methoxy Toluene, L-Ascorbyl Palmitate, and others. Its performance chemicals include Clean Light Stab 770, 4-Hydroxy Tempo, Monomethyl Ether of Hydroquinone, Tertiary Butyl Hydroquinone, Dimethyl Sebacate, and others. Its pharma and agro intermediates include Para Benzoquinone, Para Di-Methoxy Benzene (1,4-DMB), Dicyclohexylcarbodimide, and others. Its subsidiaries include Clean Science Private Limited, Clean Organics Private Limited, Clean Aromatics Private Limited, and Clean Fino-Chem Limited.</v>
    <v>460</v>
    <v>National Stock Exchange of India</v>
    <v>XNSE</v>
    <v>XNSE</v>
    <v>Plot No. D-28, MIDC, Kurkumbh, Tal. Daund, PUNE, MAHARASHTRA, 413802 IN</v>
    <v>899.6</v>
    <v>Chemicals</v>
    <v>Stock</v>
    <v>46017.492881944447</v>
    <v>791</v>
    <v>878.3</v>
    <v>95319390000</v>
    <v>CLEAN SCIENCE AND TECHNOLOGY LIMITED</v>
    <v>CLEAN SCIENCE AND TECHNOLOGY LIMITED</v>
    <v>898</v>
    <v>35.92</v>
    <v>896.9</v>
    <v>879.8</v>
    <v>106276500</v>
    <v>CLEAN</v>
    <v>CLEAN SCIENCE AND TECHNOLOGY LIMITED (XNSE:CLEAN)</v>
    <v>216018</v>
    <v>156750</v>
    <v>2003</v>
  </rv>
  <rv s="2">
    <v>792</v>
  </rv>
  <rv s="0">
    <v>https://www.bing.com/financeapi/forcetrigger?t=btyom7&amp;q=XNSE%3aSUVENPHAR&amp;form=skydnc</v>
    <v>Learn more on Bing</v>
  </rv>
  <rv s="1">
    <v>en-US</v>
    <v>btyom7</v>
    <v>268435456</v>
    <v>1</v>
    <v>Powered by Refinitiv</v>
    <v>0</v>
    <v>COHANCE LIFESCIENCES LIMITED (XNSE:COHANCE)</v>
    <v>2</v>
    <v>3</v>
    <v>Finance</v>
    <v>4</v>
    <v>1328</v>
    <v>518.15</v>
    <v>0.53749999999999998</v>
    <v>1.1499999999999999</v>
    <v>2.1449999999999998E-3</v>
    <v>INR</v>
    <v>Cohance Lifesciences Limited, formerly Suven Pharmaceuticals Limited, is an India-based technology-driven contract development and manufacturing organization (CDMO), providing integrated solutions in custom synthesis, process research and development (R&amp;D), and manufacturing. The Company’s business units include pharmaceutical CDMO, specialty chemical CDMO, and active pharmaceutical ingredient (API) (including formulations). Its integrated CDMO model enables comprehensive molecule development and life cycle management for both pharmaceutical and specialty chemical partners. Its custom synthesis services include design and synthesis, synthesis of complex molecules, synthesis of reference standards, synthesis of impurities and metabolites, scale-up of existing synthetic routes, and process optimization and backward integration. Its process research services include route scouting, process development, process safety evaluation, analytical method development, and regulatory support.</v>
    <v>1212</v>
    <v>National Stock Exchange of India</v>
    <v>XNSE</v>
    <v>XNSE</v>
    <v>202, A-Wing, Galaxy Towers, Plot No-1, Hyderabad Knowledge City,, TSIIC, Raidurg, Serilingampally,, RANGAREDDY, TELANGANA, 500081 IN</v>
    <v>538.35</v>
    <v>Pharmaceuticals</v>
    <v>Stock</v>
    <v>46017.492881944447</v>
    <v>794</v>
    <v>533.29999999999995</v>
    <v>205572500000</v>
    <v>COHANCE LIFESCIENCES LIMITED</v>
    <v>COHANCE LIFESCIENCES LIMITED</v>
    <v>536.20000000000005</v>
    <v>65.95</v>
    <v>536.20000000000005</v>
    <v>537.35</v>
    <v>382567100</v>
    <v>COHANCE</v>
    <v>COHANCE LIFESCIENCES LIMITED (XNSE:COHANCE)</v>
    <v>296242</v>
    <v>630500</v>
    <v>2018</v>
  </rv>
  <rv s="2">
    <v>795</v>
  </rv>
  <rv s="0">
    <v>https://www.bing.com/financeapi/forcetrigger?t=bwd9im&amp;q=XNSE%3aCAMS&amp;form=skydnc</v>
    <v>Learn more on Bing</v>
  </rv>
  <rv s="1">
    <v>en-US</v>
    <v>bwd9im</v>
    <v>268435456</v>
    <v>1</v>
    <v>Powered by Refinitiv</v>
    <v>0</v>
    <v>COMPUTER AGE MANAGEMENT SERVICES LIMITED (XNSE:CAMS)</v>
    <v>2</v>
    <v>3</v>
    <v>Finance</v>
    <v>4</v>
    <v>1057.57</v>
    <v>606.21</v>
    <v>0.74180000000000001</v>
    <v>-11.3</v>
    <v>-1.4865999999999999E-2</v>
    <v>INR</v>
    <v>Computer Age Management Services Limited is a technology-driven financial infrastructure and services provider for mutual funds and other financial institutions. It offers technology-enabled financial infrastructure and services to diverse financial institutions, including mutual funds (MFs), alternative investment funds (AIFs), insurance companies, and others. The Company is in the business of providing data processing and other services to clients, which is the primary segment. Its principal business activities include Mutual Fund Services Business, Insurance Repository Services Business, Electronic Payment Solutions and Payment Aggregator, Know Your Customer (KYC) Registration Agency Business, Alternative Investment Fund Services Business, Software Solutions Business, Analytical Services, and Account Aggregator. The Company’s subsidiaries include CAMS Insurance Repository Services Limited, CAMS Investor Services Private Limited, Sterling Software Private Limited, and others.</v>
    <v>7086</v>
    <v>National Stock Exchange of India</v>
    <v>XNSE</v>
    <v>XNSE</v>
    <v>No.158, Rayala Towers, Tower - I, 3rd Floor, Anna Salai,, CHENNAI, TAMIL NADU, 600 002 IN</v>
    <v>762</v>
    <v>Professional &amp; Commercial Services</v>
    <v>Stock</v>
    <v>46017.49287037037</v>
    <v>797</v>
    <v>746.7</v>
    <v>188239300000</v>
    <v>COMPUTER AGE MANAGEMENT SERVICES LIMITED</v>
    <v>COMPUTER AGE MANAGEMENT SERVICES LIMITED</v>
    <v>758</v>
    <v>40.5</v>
    <v>760.1</v>
    <v>748.8</v>
    <v>247650600</v>
    <v>CAMS</v>
    <v>COMPUTER AGE MANAGEMENT SERVICES LIMITED (XNSE:CAMS)</v>
    <v>725045</v>
    <v>873540</v>
    <v>1988</v>
  </rv>
  <rv s="2">
    <v>798</v>
  </rv>
  <rv s="10">
    <v>en-US</v>
    <v>cam5r7</v>
    <v>268435456</v>
    <v>1</v>
    <v>Powered by Refinitiv</v>
    <v>18</v>
    <v>CONCORD BIOTECH LIMITED (XNSE:CONCORDBIO)</v>
    <v>6</v>
    <v>3</v>
    <v>Finance</v>
    <v>4</v>
    <v>2451.6999999999998</v>
    <v>1314.9</v>
    <v>0.92100000000000004</v>
    <v>-7.7</v>
    <v>-5.7130000000000002E-3</v>
    <v>INR</v>
    <v>Concord Biotech Limited is an India-based research and development-driven biopharma company. The Company is engaged in the research and development, manufacturing, marketing, and selling of pharmaceutical products. Its business verticals include active pharmaceutical ingredients (API), finished formulations, and contract development and manufacturing services. It manufactures API through fermentation and semi-synthetic processes and finished formulations. The Company’s offerings span both biopharmaceutical APIs and formulations across therapeutic areas like immunosuppressants, oncology, anti-infectives nephrology, and critical care. Its portfolio also includes fermentation-based APIs in antibacterial, antifungal, and other therapeutic segments. Its API products include Mycophenolate Mofetil, Sirolimus, Pimecrolimus, Voclosporin, Mupirocin, Mupirocin Calcium, Vancomycin Hydrochloride, and Teicoplanin. Its API products under development include Daptomycin, Idarubicin, and Pirarubicin.</v>
    <v>1571</v>
    <v>National Stock Exchange of India</v>
    <v>XNSE</v>
    <v>XNSE</v>
    <v>16th Floor, B-Wing, Mondeal Heights,, Iscon Cross Road, S.G. Highway,, AHMEDABAD, GUJARAT, 380015 IN</v>
    <v>1345</v>
    <v>Pharmaceuticals</v>
    <v>Stock</v>
    <v>46017.492881944447</v>
    <v>1336.6</v>
    <v>140991300000</v>
    <v>CONCORD BIOTECH LIMITED</v>
    <v>CONCORD BIOTECH LIMITED</v>
    <v>1341.7</v>
    <v>43.63</v>
    <v>1347.7</v>
    <v>1340</v>
    <v>104616200</v>
    <v>CONCORDBIO</v>
    <v>CONCORD BIOTECH LIMITED (XNSE:CONCORDBIO)</v>
    <v>26331</v>
    <v>82180</v>
    <v>1984</v>
  </rv>
  <rv s="2">
    <v>800</v>
  </rv>
  <rv s="0">
    <v>https://www.bing.com/financeapi/forcetrigger?t=ahhfoc&amp;q=XNSE%3aCOROMANDEL&amp;form=skydnc</v>
    <v>Learn more on Bing</v>
  </rv>
  <rv s="1">
    <v>en-US</v>
    <v>ahhfoc</v>
    <v>268435456</v>
    <v>1</v>
    <v>Powered by Refinitiv</v>
    <v>0</v>
    <v>COROMANDEL INTERNATIONAL LIMITED (XNSE:COROMANDEL)</v>
    <v>2</v>
    <v>3</v>
    <v>Finance</v>
    <v>4</v>
    <v>2718.9</v>
    <v>1593.99</v>
    <v>0.56010000000000004</v>
    <v>-45.2</v>
    <v>-1.8832999999999999E-2</v>
    <v>INR</v>
    <v>Coromandel International Limited is engaged in the manufacturing and trading of farm inputs consisting of fertilizers, crop protection, specialty nutrients and organic compost. The Company's segments include Nutrient and other allied businesses, and Crop Protection. The Company’s fertilizers products include GroShakti Plus, Grosmart, Paramfos, Gromor 15-15-15-09, Godavari Ultra DAP, Gromor / Godavari DAP, Gromor MOP, Gromor Urea, and others. Its speciality nutrients products include Acumist Calcium, AcuMist Zinc, Sulphamax, and others. Its crop protection products consist of insecticides, fungicides, herbicides, plant growth regulators and bio-products. It offers organic fertilizers derived from natural sources like city waste (organic portion only), sugarcane molasses and its by-products, oil cakes and gypsum. The Company operates a network of over 900 rural retail outlets across India.</v>
    <v>5512</v>
    <v>National Stock Exchange of India</v>
    <v>XNSE</v>
    <v>XNSE</v>
    <v>Olympia Terraces, #15B(SP), SIDCO Industrial Estate, Guindy, CHENNAI, TAMIL NADU, 600032 IN</v>
    <v>2409.8000000000002</v>
    <v>Chemicals</v>
    <v>Stock</v>
    <v>46017.492881944447</v>
    <v>802</v>
    <v>2348.9</v>
    <v>707277900000</v>
    <v>COROMANDEL INTERNATIONAL LIMITED</v>
    <v>COROMANDEL INTERNATIONAL LIMITED</v>
    <v>2400</v>
    <v>29.42</v>
    <v>2400</v>
    <v>2354.8000000000002</v>
    <v>294699100</v>
    <v>COROMANDEL</v>
    <v>COROMANDEL INTERNATIONAL LIMITED (XNSE:COROMANDEL)</v>
    <v>120712</v>
    <v>296500</v>
    <v>1961</v>
  </rv>
  <rv s="2">
    <v>803</v>
  </rv>
  <rv s="0">
    <v>https://www.bing.com/financeapi/forcetrigger?t=c1c3rw&amp;q=XNSE%3aCRAFTSMAN&amp;form=skydnc</v>
    <v>Learn more on Bing</v>
  </rv>
  <rv s="14">
    <v>en-US</v>
    <v>c1c3rw</v>
    <v>268435456</v>
    <v>1</v>
    <v>Powered by Refinitiv</v>
    <v>25</v>
    <v>CRAFTSMAN AUTOMATION LIMITED (XNSE:CRAFTSMAN)</v>
    <v>2</v>
    <v>26</v>
    <v>Finance</v>
    <v>27</v>
    <v>7444</v>
    <v>3700</v>
    <v>1.1198999999999999</v>
    <v>323.5</v>
    <v>-3.2454999999999998E-2</v>
    <v>4.5848000000000007E-2</v>
    <v>-239.5</v>
    <v>INR</v>
    <v>Craftsman Automation Limited is a diversified engineering company with vertically integrated production capabilities. Its Powertrain segment develops, manufactures and sells goods and services of power trains and related products to the manufacturers of commercial/ passenger vehicles, farm equipment, mining and construction equipment. Its Aluminium Products segment develops, manufactures, and sells goods and services consisting of aluminum products to the manufacturers of two-wheelers, passenger vehicles and commercial vehicles and products for power transmission and other industrial usage. Its Industrial &amp; Engineering segment develops, manufactures, and sells goods and services, such as castings, gears, material handling equipment, special purpose machines, other general engineering products and storage products to various end user industries. The Company primarily offers pallet racking, shelving solutions and modular mezzanine under conventional storage.</v>
    <v>2893</v>
    <v>National Stock Exchange of India</v>
    <v>XNSE</v>
    <v>XNSE</v>
    <v>No.1087, 4th &amp; 5th Floor,, Krishna Towers, Avinashi Road,, COIMBATORE, TAMIL NADU, 641037 IN</v>
    <v>7444</v>
    <v>Machinery, Equipment &amp; Components</v>
    <v>Stock</v>
    <v>46017.492881944447</v>
    <v>805</v>
    <v>6941.5</v>
    <v>168325000000</v>
    <v>CRAFTSMAN AUTOMATION LIMITED</v>
    <v>CRAFTSMAN AUTOMATION LIMITED</v>
    <v>7000.5</v>
    <v>67.179299999999998</v>
    <v>7056</v>
    <v>7379.5</v>
    <v>7140</v>
    <v>23855580</v>
    <v>CRAFTSMAN</v>
    <v>CRAFTSMAN AUTOMATION LIMITED (XNSE:CRAFTSMAN)</v>
    <v>115817</v>
    <v>31970</v>
    <v>1986</v>
  </rv>
  <rv s="2">
    <v>806</v>
  </rv>
  <rv s="0">
    <v>https://www.bing.com/financeapi/forcetrigger?t=b9f927&amp;q=XNSE%3aCREDITACC&amp;form=skydnc</v>
    <v>Learn more on Bing</v>
  </rv>
  <rv s="1">
    <v>en-US</v>
    <v>b9f927</v>
    <v>268435456</v>
    <v>1</v>
    <v>Powered by Refinitiv</v>
    <v>0</v>
    <v>CREDITACCESS GRAMEEN LIMITED (XNSE:CREDITACC)</v>
    <v>2</v>
    <v>3</v>
    <v>Finance</v>
    <v>4</v>
    <v>1490.1</v>
    <v>750.2</v>
    <v>0.53979999999999995</v>
    <v>-41.5</v>
    <v>-3.1847E-2</v>
    <v>INR</v>
    <v>CreditAccess Grameen Limited is a microfinance company, which offers women entrepreneurs loans for various needs such as income generation, medical expenses, and education. It has a presence in approximately 16 states and one union territory of India, through 2,114 branches across 433 districts. Its products include Microfinance-Group Lending, which offers Emergency Loan, Family Welfare Loans, Home Improvement Loan, and Income Generation Loan; Retail Finance, which offers Grameen Vikas Loan, Grameen Two-Wheeler Loan, Grameen Housing Loan, and Unnati Loan; Digital lending, which includes Grameen MAHI, Pragathi Digital Loan, and Multi-Purpose Digital Loan, and Distributor products, which include Life Insurance, national pension scheme (NPS)- Swavalamban, and Grameen Suraksha. Its Grameen MAHI is a customer application. Its Pragathi Digital Loan is offered to women to support their business, working capital requirements, home improvement, education and family needs.</v>
    <v>20970</v>
    <v>National Stock Exchange of India</v>
    <v>XNSE</v>
    <v>XNSE</v>
    <v>#49, 46th Cross, 8th Block, Jayanagar (Next to Rajalakshmi Kalayana Mantap) Bengaluru, BANGALORE, KARNATAKA, 560070 IN</v>
    <v>1317.8</v>
    <v>Banking Services</v>
    <v>Stock</v>
    <v>46017.492881944447</v>
    <v>808</v>
    <v>1248.7</v>
    <v>208600300000</v>
    <v>CREDITACCESS GRAMEEN LIMITED</v>
    <v>CREDITACCESS GRAMEEN LIMITED</v>
    <v>1303.0999999999999</v>
    <v>154.24109999999999</v>
    <v>1303.0999999999999</v>
    <v>1261.5999999999999</v>
    <v>160080000</v>
    <v>CREDITACC</v>
    <v>CREDITACCESS GRAMEEN LIMITED (XNSE:CREDITACC)</v>
    <v>330781</v>
    <v>128610</v>
    <v>1991</v>
  </rv>
  <rv s="2">
    <v>809</v>
  </rv>
  <rv s="0">
    <v>https://www.bing.com/financeapi/forcetrigger?t=ahhgkr&amp;q=XNSE%3aCROMPTON&amp;form=skydnc</v>
    <v>Learn more on Bing</v>
  </rv>
  <rv s="1">
    <v>en-US</v>
    <v>ahhgkr</v>
    <v>268435456</v>
    <v>1</v>
    <v>Powered by Refinitiv</v>
    <v>0</v>
    <v>CROMPTON GREAVES CONSUMER ELECTRICALS LIMITED (XNSE:CROMPTON)</v>
    <v>2</v>
    <v>3</v>
    <v>Finance</v>
    <v>4</v>
    <v>401.95</v>
    <v>248</v>
    <v>0.39900000000000002</v>
    <v>-0.55000000000000004</v>
    <v>-2.137E-3</v>
    <v>INR</v>
    <v>Crompton Greaves Consumer Electricals Limited is an India-based consumer electrical company. The Company’s segments include Electric Consumer Durables (ECD), Lighting Products, and Butterfly Products. It is engaged in dealing in consumer electrical goods, home appliances, electronic equipment, and instruments including fans, water heaters, kitchen appliances, lighting luminaires and pumps (domestic/ agriculture/ industrial). Its product portfolio includes ceiling fans, table fans, pedestal fans, wall-mounted fans, heavy-duty exhaust fans, residential pumps, agricultural pumps, solar pumps, specialty pumps, water heaters, air coolers, mixer grinders, irons, light-emitting diode (LED) lamps, fabric care, dry iron, steam iron, room heaters, oil filled room heaters, heat convectors, halogen room heater, quartz heater, ceramic heater. Its product range caters to residential, commercial, and industrial sectors. The Company markets its products under the Crompton brand name in India.</v>
    <v>1893</v>
    <v>National Stock Exchange of India</v>
    <v>XNSE</v>
    <v>XNSE</v>
    <v>Tower 3, 1st Floor, East Wing, Equinox Business Park, LBS Marg, Kurla (West), Mumbai, MUMBAI, MAHARASHTRA, - 400 070 IN</v>
    <v>259.2</v>
    <v>Household Goods</v>
    <v>Stock</v>
    <v>46017.492881944447</v>
    <v>811</v>
    <v>255.75</v>
    <v>165743700000</v>
    <v>CROMPTON GREAVES CONSUMER ELECTRICALS LIMITED</v>
    <v>CROMPTON GREAVES CONSUMER ELECTRICALS LIMITED</v>
    <v>257.39999999999998</v>
    <v>35.03</v>
    <v>257.39999999999998</v>
    <v>256.85000000000002</v>
    <v>643914900</v>
    <v>CROMPTON</v>
    <v>CROMPTON GREAVES CONSUMER ELECTRICALS LIMITED (XNSE:CROMPTON)</v>
    <v>1421040</v>
    <v>3358330</v>
    <v>2015</v>
  </rv>
  <rv s="2">
    <v>812</v>
  </rv>
  <rv s="0">
    <v>https://www.bing.com/financeapi/forcetrigger?t=ahhgz2&amp;q=XNSE%3aCUMMINSIND&amp;form=skydnc</v>
    <v>Learn more on Bing</v>
  </rv>
  <rv s="1">
    <v>en-US</v>
    <v>ahhgz2</v>
    <v>268435456</v>
    <v>1</v>
    <v>Powered by Refinitiv</v>
    <v>0</v>
    <v>CUMMINS INDIA LIMITED (XNSE:CUMMINSIND)</v>
    <v>2</v>
    <v>3</v>
    <v>Finance</v>
    <v>4</v>
    <v>4615</v>
    <v>2580</v>
    <v>1.1313</v>
    <v>-71</v>
    <v>-1.6073E-2</v>
    <v>INR</v>
    <v>Cummins India Limited is a manufacturer of diesel and natural gas engines for power generation, industrial and automotive markets. The Company’s business units include engines, power systems, and distribution. Its engine business manufactures engines from 125 to 400 horsepower (HP) for low, medium and heavy-duty on-highway commercial vehicle markets and off-highway commercial equipment industries spanning construction and compressor (49HP to 430HP). Its power systems business designs and manufactures robust engines with a horsepower spectrum ranging from 700 HP to 4500 HP. These engines are tailored for various sectors, including marine, railways, defense, and mining. Its distribution business provides products, packages, services and solutions for the uptime of its equipment. Its digital products include Acumen, Incal and Inline. It serves end users, Original Equipment Manufacturers (OEMs), channel partners, dealers, distributors, and retailers.</v>
    <v>3025</v>
    <v>National Stock Exchange of India</v>
    <v>XNSE</v>
    <v>XNSE</v>
    <v>Cummins India Office Campus, Tower A, 5th Floor, Survey No. 21, Balewadi, PUNE, MAHARASHTRA, 411045 IN</v>
    <v>4433.6000000000004</v>
    <v>Automobiles &amp; Auto Parts</v>
    <v>Stock</v>
    <v>46017.492881944447</v>
    <v>814</v>
    <v>4339.1000000000004</v>
    <v>1224503000000</v>
    <v>CUMMINS INDIA LIMITED</v>
    <v>CUMMINS INDIA LIMITED</v>
    <v>4400.6000000000004</v>
    <v>52.91</v>
    <v>4417.3999999999996</v>
    <v>4346.3999999999996</v>
    <v>277200000</v>
    <v>CUMMINSIND</v>
    <v>CUMMINS INDIA LIMITED (XNSE:CUMMINSIND)</v>
    <v>388141</v>
    <v>369810</v>
    <v>1962</v>
  </rv>
  <rv s="2">
    <v>815</v>
  </rv>
  <rv s="0">
    <v>https://www.bing.com/financeapi/forcetrigger?t=ahhhec&amp;q=XNSE%3aCYIENT&amp;form=skydnc</v>
    <v>Learn more on Bing</v>
  </rv>
  <rv s="1">
    <v>en-US</v>
    <v>ahhhec</v>
    <v>268435456</v>
    <v>1</v>
    <v>Powered by Refinitiv</v>
    <v>0</v>
    <v>Cyient Limited (XNSE:CYIENT)</v>
    <v>2</v>
    <v>3</v>
    <v>Finance</v>
    <v>4</v>
    <v>1960</v>
    <v>1084.05</v>
    <v>1.0359</v>
    <v>-2.2000000000000002</v>
    <v>-1.9610000000000001E-3</v>
    <v>INR</v>
    <v>Cyient Limited is an India-based company, which delivers intelligent engineering solutions across products, plants, and networks for global customers. The Company's segments include Digital, Engineering &amp; Technology (DET); Design Led Manufacturing (DLM); Semiconductors, and Others. The DET segment consists of its business of engineering solutions across multiple industries including transportation and mobility (such as aerospace, rail and automotive), networks and infrastructure (such as connectivity and utilities) and strategic units (such as mining and minerals, energy, healthcare and life sciences). The DLM segment consists of its business of electronics manufacturing services. The Semiconductors segment consists of its business of design, development and supply chain management of semiconductor chips. The Others segment consists of its other business operations which include aerospace tooling division. Its products include Industry AI Advisor Platform, Coddy, CYFAST and CYTEXT.</v>
    <v>11884</v>
    <v>National Stock Exchange of India</v>
    <v>XNSE</v>
    <v>XNSE</v>
    <v>Plot No. 11, Software Units Layout, Infocity,Madhapur, HYDERABAD, TELANGANA, 500081 IN</v>
    <v>1128.5</v>
    <v>Software &amp; IT Services</v>
    <v>Stock</v>
    <v>46017.492881944447</v>
    <v>817</v>
    <v>1115</v>
    <v>123575800000</v>
    <v>Cyient Limited</v>
    <v>Cyient Limited</v>
    <v>1122.5</v>
    <v>21.54</v>
    <v>1121.5999999999999</v>
    <v>1119.4000000000001</v>
    <v>110394600</v>
    <v>CYIENT</v>
    <v>Cyient Limited (XNSE:CYIENT)</v>
    <v>706982</v>
    <v>439820</v>
    <v>1991</v>
  </rv>
  <rv s="2">
    <v>818</v>
  </rv>
  <rv s="0">
    <v>https://www.bing.com/financeapi/forcetrigger?t=ahhijc&amp;q=XNSE%3aDCMSHRIRAM&amp;form=skydnc</v>
    <v>Learn more on Bing</v>
  </rv>
  <rv s="1">
    <v>en-US</v>
    <v>ahhijc</v>
    <v>268435456</v>
    <v>1</v>
    <v>Powered by Refinitiv</v>
    <v>0</v>
    <v>DCM SHRIRAM LIMITED (XNSE:DCMSHRIRAM)</v>
    <v>2</v>
    <v>3</v>
    <v>Finance</v>
    <v>4</v>
    <v>1502.3</v>
    <v>902.6</v>
    <v>0.45600000000000002</v>
    <v>-14.9</v>
    <v>-1.1838999999999999E-2</v>
    <v>INR</v>
    <v>DCM Shriram Limited is an India-based company, which is focused on Agri-rural, chlor-vinyl and value-added business. The Company's segments include Chloro-Vinyl, Sugar, Shriram Farm Solutions, Bioseed, Fertiliser, Fenesta Building Systems and Others. The Chloro-Vinyl segment manufactures poly-vinyl chloride, carbide and chlor alkali products. Its chlor-alkali products include caustic soda lye/flakes, chlorine and stable bleaching powder. The Sugar segment manufactures sugar, molasses, ethanol and co-generation of power. The Shriram Farm solutions segment includes plant nutrients, seeds and pesticide products. The Bioseed segment produces hybrid seeds. The Fertilisers segment manufactures urea. The Fenesta building system segment provides solutions for made-to-order unplasticized polyvinyl chloride (uPVC) windows, system aluminum windows and wood plastic composite/engineered wooden doors. The Others segment includes various business, such as cement, rural retail and plaster of paris.</v>
    <v>6255</v>
    <v>National Stock Exchange of India</v>
    <v>XNSE</v>
    <v>XNSE</v>
    <v>World Mark 1, 2nd Floor (West Wing), Aerocity, NEW DELHI, DELHI, 110037 IN</v>
    <v>1277.9000000000001</v>
    <v>Chemicals</v>
    <v>Stock</v>
    <v>46017.492881944447</v>
    <v>820</v>
    <v>1239</v>
    <v>194881400000</v>
    <v>DCM SHRIRAM LIMITED</v>
    <v>DCM SHRIRAM LIMITED</v>
    <v>1264.8</v>
    <v>27.55</v>
    <v>1258.5999999999999</v>
    <v>1243.7</v>
    <v>154839800</v>
    <v>DCMSHRIRAM</v>
    <v>DCM SHRIRAM LIMITED (XNSE:DCMSHRIRAM)</v>
    <v>49031</v>
    <v>787870</v>
    <v>1989</v>
  </rv>
  <rv s="2">
    <v>821</v>
  </rv>
  <rv s="10">
    <v>en-US</v>
    <v>cbwvz2</v>
    <v>268435456</v>
    <v>1</v>
    <v>Powered by Refinitiv</v>
    <v>18</v>
    <v>DOMS INDUSTRIES LIMITED (XNSE:DOMS)</v>
    <v>6</v>
    <v>3</v>
    <v>Finance</v>
    <v>4</v>
    <v>3064.6</v>
    <v>2092.3000000000002</v>
    <v>1.5549999999999999</v>
    <v>-2.6</v>
    <v>-1.01E-3</v>
    <v>INR</v>
    <v>DOMS Industries Limited is an India-based company. The Company is primarily engaged in the manufacturing, marketing, trading and distribution of school stationery and art materials. The Company’s products are primarily sold under the flagship brand DOMS, as well as through other sub-brands, such as C3, Amariz, FixyFix and ClapJoy. Its products consist of erasers, graphite pencil, sharpeners, acrylic colors, color pencils, oil pastels, plastic crayons, poster colors, sketch pens, synthetic brushes, tube colors, watercolors, wax crayons, drawing instruments, geometry boxes, diaries, notebooks, ball pens, chalks, correction pens, drawing pads, writing pad, marker pen, among others. The Company has approximately 11 manufacturing facilities located in Umbergaon, Gujarat and Bari Brahma, Jammu &amp; Kashmir.</v>
    <v>8890</v>
    <v>National Stock Exchange of India</v>
    <v>XNSE</v>
    <v>XNSE</v>
    <v>Plot No -J/19,, Opp Elephone Exchange G.I.D.C. Industrial Estate, UMBERGAON, GUJARAT, 396171 IN</v>
    <v>2585</v>
    <v>Professional &amp; Commercial Services</v>
    <v>Stock</v>
    <v>46017.492881944447</v>
    <v>2545.8000000000002</v>
    <v>156246800000</v>
    <v>DOMS INDUSTRIES LIMITED</v>
    <v>DOMS INDUSTRIES LIMITED</v>
    <v>2574.6</v>
    <v>73.790000000000006</v>
    <v>2574.6</v>
    <v>2572</v>
    <v>60687810</v>
    <v>DOMS</v>
    <v>DOMS INDUSTRIES LIMITED (XNSE:DOMS)</v>
    <v>15855</v>
    <v>20090</v>
    <v>2006</v>
  </rv>
  <rv s="2">
    <v>823</v>
  </rv>
  <rv s="0">
    <v>https://www.bing.com/financeapi/forcetrigger?t=ahhhk2&amp;q=XNSE%3aDABUR&amp;form=skydnc</v>
    <v>Learn more on Bing</v>
  </rv>
  <rv s="1">
    <v>en-US</v>
    <v>ahhhk2</v>
    <v>268435456</v>
    <v>1</v>
    <v>Powered by Refinitiv</v>
    <v>0</v>
    <v>DABUR INDIA LIMITED (XNSE:DABUR)</v>
    <v>2</v>
    <v>3</v>
    <v>Finance</v>
    <v>4</v>
    <v>577</v>
    <v>433.3</v>
    <v>0.6321</v>
    <v>-2.35</v>
    <v>-4.7910000000000001E-3</v>
    <v>INR</v>
    <v>Dabur India Limited is a fast-moving consumer goods (FMCG) company. Its segments include Consumer care business, Food business, and Other segments. Its Consumer care business segment includes home care, personal care, and health care. Its Food business segment includes juices, beverages, and culinary. Its Other segments include Guar gum, pharma and others. Its product categories include hair care, oral care, health care, skin care, home care, energizers, cold and cough, digestives, and ethicals. Its health supplements portfolio includes Dabur Chyawanprash, Dabur Honey, Dabur Giloy Neem Juice with Tulsi, and others. Its oral care portfolio includes Dabur Red Paste, Dabur Meswak, Dabur Babool, and Dabur Herb'l. Its foods portfolio includes Real Fruit Power Juices, Real Activ 100% Juices, Hommade, and Real Milkshakes. Its skin care portfolio includes Fem, Oxylife, and Gulabari. Its ethicals portfolio includes Ashokarishta, Dashmularishta, Lavanbhaskar Churna, and Dabur Shwaasamrit.</v>
    <v>5343</v>
    <v>National Stock Exchange of India</v>
    <v>XNSE</v>
    <v>XNSE</v>
    <v>Dabur Corporate Office, Kaushambi, Sahibabad, GHAZIABAD, UTTAR PRADESH, 201010 IN</v>
    <v>492.95</v>
    <v>Personal &amp; Household Products &amp; Services</v>
    <v>Stock</v>
    <v>46017.492881944447</v>
    <v>825</v>
    <v>487.8</v>
    <v>865915600000</v>
    <v>DABUR INDIA LIMITED</v>
    <v>DABUR INDIA LIMITED</v>
    <v>490.7</v>
    <v>48.07</v>
    <v>490.55</v>
    <v>488.2</v>
    <v>1773690000</v>
    <v>DABUR</v>
    <v>DABUR INDIA LIMITED (XNSE:DABUR)</v>
    <v>518698</v>
    <v>1042030</v>
    <v>1975</v>
  </rv>
  <rv s="2">
    <v>826</v>
  </rv>
  <rv s="0">
    <v>https://www.bing.com/financeapi/forcetrigger?t=bptwfr&amp;q=XNSE%3aDALBHARAT&amp;form=skydnc</v>
    <v>Learn more on Bing</v>
  </rv>
  <rv s="1">
    <v>en-US</v>
    <v>bptwfr</v>
    <v>268435456</v>
    <v>1</v>
    <v>Powered by Refinitiv</v>
    <v>0</v>
    <v>DALMIA BHARAT LIMITED (XNSE:DALBHARAT)</v>
    <v>2</v>
    <v>3</v>
    <v>Finance</v>
    <v>4</v>
    <v>2496.3000000000002</v>
    <v>1601</v>
    <v>0.99199999999999999</v>
    <v>51.2</v>
    <v>2.4272000000000002E-2</v>
    <v>INR</v>
    <v>Dalmia Bharat Limited is an India-based cement manufacturing company. The Company is principally engaged in the business of manufacturing and selling cement and its related products. The Company is also engaged in providing management services. The Company’s products include Ordinary Portland Cement (OPC), Portland Slag Cement (PSC), Portland Pozzolana Cement (PPC), Portland Composite Cement (PCC), and other specialty cements. The Company’s brands include Dalmia DSP Cement, Dalmia Cement, Konark Cement, Dalmia Infra PRO, Dalmia Infra Green, Dalmia Insta Pro, and Dalmia Magic. The Company offers its products to individual consumers and institutional customers. It provides a range of cement-based surface finish solutions as an alternative to putty. Its subsidiaries include Dalmia Cement (Bharat) Limited, Dalmia Cement (North-East) Limited, and Dalmia Bharat Green Vision Limited.</v>
    <v>5763</v>
    <v>National Stock Exchange of India</v>
    <v>XNSE</v>
    <v>XNSE</v>
    <v>11th &amp; 12th Floors,, Hansalaya Building,, 15, Barakhamba Road,, NEW DELHI, DELHI, 110001 IN</v>
    <v>2169</v>
    <v>Construction Materials</v>
    <v>Stock</v>
    <v>46017.492881944447</v>
    <v>828</v>
    <v>2110</v>
    <v>395651600000</v>
    <v>DALMIA BHARAT LIMITED</v>
    <v>DALMIA BHARAT LIMITED</v>
    <v>2114.1999999999998</v>
    <v>35.17</v>
    <v>2109.4</v>
    <v>2160.6</v>
    <v>187565900</v>
    <v>DALBHARAT</v>
    <v>DALMIA BHARAT LIMITED (XNSE:DALBHARAT)</v>
    <v>726199</v>
    <v>234170</v>
    <v>2013</v>
  </rv>
  <rv s="2">
    <v>829</v>
  </rv>
  <rv s="0">
    <v>https://www.bing.com/financeapi/forcetrigger?t=ahhirw&amp;q=XNSE%3aDEEPAKFERT&amp;form=skydnc</v>
    <v>Learn more on Bing</v>
  </rv>
  <rv s="1">
    <v>en-US</v>
    <v>ahhirw</v>
    <v>268435456</v>
    <v>1</v>
    <v>Powered by Refinitiv</v>
    <v>0</v>
    <v>DEEPAK FERTILISERS AND PETROCHEMICALS CORPORATION LTD (XNSE:DEEPAKFERT)</v>
    <v>2</v>
    <v>3</v>
    <v>Finance</v>
    <v>4</v>
    <v>1778.6</v>
    <v>888.9</v>
    <v>1.1579999999999999</v>
    <v>2.2999999999999998</v>
    <v>1.8360000000000002E-3</v>
    <v>INR</v>
    <v>Deepak Fertilisers and Petrochemicals Corporation Limited is primarily engaged in the business of the manufacture, trading, and sale of bulk chemicals. It also has operations in value added real estate. It operates through three segments: Chemicals, Bulk Fertilizers, and Realty. Its Chemicals segment offers products, such as ammonia, methanol, dilute nitric acid, concentrated nitric acid, carbon dioxide (CO2), technical ammonium nitrate, iso-propyl alcohol, propane, bulk, and specialty chemicals. Its Bulk Fertilizers segment offers products, such as nitro phosphate (NP), muriate of potash, diammonium phosphate (DAP), single super phosphate, Sulphur, micronutrients, single superphosphate (SSF) and bio fertilizers. Its Realty segment includes the real estate business. It offers a range of NP Fertilizers, nitrogen phosphorous potassium variants, water-soluble fertilizers and bentonite Sulphur. Its subsidiaries include Mahadhan AgriTech Limited, Performance Chemiserve Limited, and others.</v>
    <v>1018</v>
    <v>National Stock Exchange of India</v>
    <v>XNSE</v>
    <v>XNSE</v>
    <v>Sai Hira, Survey No. 93, Mundhwa, PUNE, MAHARASHTRA, 411036 IN</v>
    <v>1274.8</v>
    <v>Chemicals</v>
    <v>Stock</v>
    <v>46017.492881944447</v>
    <v>831</v>
    <v>1245</v>
    <v>158415800000</v>
    <v>DEEPAK FERTILISERS AND PETROCHEMICALS CORPORATION LTD</v>
    <v>DEEPAK FERTILISERS AND PETROCHEMICALS CORPORATION LTD</v>
    <v>1265</v>
    <v>16.07</v>
    <v>1252.5999999999999</v>
    <v>1254.9000000000001</v>
    <v>126237800</v>
    <v>DEEPAKFERT</v>
    <v>DEEPAK FERTILISERS AND PETROCHEMICALS CORPORATION LTD (XNSE:DEEPAKFERT)</v>
    <v>137427</v>
    <v>190410</v>
    <v>1979</v>
  </rv>
  <rv s="2">
    <v>832</v>
  </rv>
  <rv s="0">
    <v>https://www.bing.com/financeapi/forcetrigger?t=c6a4jc&amp;q=XNSE%3aDELHIVERY&amp;form=skydnc</v>
    <v>Learn more on Bing</v>
  </rv>
  <rv s="1">
    <v>en-US</v>
    <v>c6a4jc</v>
    <v>268435456</v>
    <v>1</v>
    <v>Powered by Refinitiv</v>
    <v>0</v>
    <v>DELHIVERY LIMITED (XNSE:DELHIVERY)</v>
    <v>2</v>
    <v>3</v>
    <v>Finance</v>
    <v>4</v>
    <v>490</v>
    <v>236.53</v>
    <v>0.5544</v>
    <v>1.1499999999999999</v>
    <v>2.8319999999999999E-3</v>
    <v>INR</v>
    <v>Delhivery Limited is a fully integrated logistics provider, which is engaged in the business of warehousing and last-mile logistics. It is also involved in designing and deploying logistics warehousing and last-mile logistics management systems, providing logistics and supply chain consulting/advice. Its services include express parcel delivery, heavy goods delivery, Part Truck Load (PTL) freight, Truck Load (TL) freight, warehousing, supply chain solutions, cross-border express and freight services, and supply chain software, along with value-added services such as payment collection and processing, and fraud detection. Its express parcel service caters to e-Commerce marketplaces, direct-to-consumer (D2C) brands, omnichannel retailers, small and medium industries, large enterprises, and consumers. Its truckload freight platform, Orion, connects shippers with fleet owners and suppliers of truckload capacity across the country via a centralized bidding and matching engine.</v>
    <v>24336</v>
    <v>National Stock Exchange of India</v>
    <v>XNSE</v>
    <v>XNSE</v>
    <v>Plot 5, Sector 44,, GURGAON, HARYANA, 122002 IN</v>
    <v>409.75</v>
    <v>Freight &amp; Logistics Services</v>
    <v>Stock</v>
    <v>46017.492881944447</v>
    <v>834</v>
    <v>403.8</v>
    <v>303801700000</v>
    <v>DELHIVERY LIMITED</v>
    <v>DELHIVERY LIMITED</v>
    <v>406.1</v>
    <v>218.66</v>
    <v>406.1</v>
    <v>407.25</v>
    <v>748095800</v>
    <v>DELHIVERY</v>
    <v>DELHIVERY LIMITED (XNSE:DELHIVERY)</v>
    <v>571527</v>
    <v>1606530</v>
    <v>2011</v>
  </rv>
  <rv s="2">
    <v>835</v>
  </rv>
  <rv s="0">
    <v>https://www.bing.com/financeapi/forcetrigger?t=c33uc7&amp;q=XNSE%3aDEVYANI&amp;form=skydnc</v>
    <v>Learn more on Bing</v>
  </rv>
  <rv s="1">
    <v>en-US</v>
    <v>c33uc7</v>
    <v>268435456</v>
    <v>1</v>
    <v>Powered by Refinitiv</v>
    <v>0</v>
    <v>Devyani International Limited (XNSE:DEVYANI)</v>
    <v>2</v>
    <v>3</v>
    <v>Finance</v>
    <v>4</v>
    <v>209.75</v>
    <v>122.25</v>
    <v>0.88719999999999999</v>
    <v>-0.33</v>
    <v>-2.2729999999999998E-3</v>
    <v>INR</v>
    <v>Devyani International Limited is an India-based company, which is primarily engaged in the business of developing, managing and operating quick-service restaurants, food courts and others for brands, such as Pizza Hut, KFC, Costa Coffee, Vaango, Biryani By Kilo, Goila Butter Chicken, and The Bhojan. The Company operates through the Food and Beverages segment. Its geographical segments include Within India and Outside India. The Company holds the franchisees of Yum Brands in India, managing the KFC and Pizza Hut brands across India, and also has the franchisees of Nigeria (KFC) and Thailand (KFC). The Company operates approximately 696 KFC stores and 630 Pizza Hut stores across India. In addition, the Company is also a franchise of the Costa Coffee, New York Fries, Sanook Kitchen, and Tea Live brands in India. The Company's subsidiaries include Devyani Food Street Private Limited, Devyani International Nepal Private Limited, and Sky Gate Hospitality Private Limited, among others.</v>
    <v>14802</v>
    <v>National Stock Exchange of India</v>
    <v>XNSE</v>
    <v>XNSE</v>
    <v>Plot no. 18 Sector 35, Near Hero Honda Chowk, GURGAON, HARYANA, 122001 IN</v>
    <v>145.72</v>
    <v>Hotels &amp; Entertainment Services</v>
    <v>Stock</v>
    <v>46017.492881944447</v>
    <v>837</v>
    <v>143.58000000000001</v>
    <v>178976100000</v>
    <v>Devyani International Limited</v>
    <v>Devyani International Limited</v>
    <v>145</v>
    <v>0</v>
    <v>145.16999999999999</v>
    <v>144.84</v>
    <v>1232872000</v>
    <v>DEVYANI</v>
    <v>Devyani International Limited (XNSE:DEVYANI)</v>
    <v>1787491</v>
    <v>2204200</v>
    <v>1991</v>
  </rv>
  <rv s="2">
    <v>838</v>
  </rv>
  <rv s="10">
    <v>en-US</v>
    <v>cft5sm</v>
    <v>268435456</v>
    <v>1</v>
    <v>Powered by Refinitiv</v>
    <v>18</v>
    <v>DR. AGARWAL'S HEALTH CARE LIMITED (XNSE:AGARWALEYE)</v>
    <v>6</v>
    <v>3</v>
    <v>Finance</v>
    <v>4</v>
    <v>568</v>
    <v>327</v>
    <v>0.56799999999999995</v>
    <v>-2.4</v>
    <v>-4.7419999999999997E-3</v>
    <v>INR</v>
    <v>Dr. Agarwal's Health Care Ltd is an India-based company, which operates as a health care institution. The Company is engaged in running, owning and managing eye care hospitals, optical, pharmacies, etc. and related services. It provides a comprehensive range of eye care services, including cataract, refractive and other surgeries; consultations, diagnoses and non-surgical treatments; and sells optical, contact lenses and accessories, and eye-care related pharmaceutical products. Its services include surgeries and consultations, diagnoses and non-surgical treatments. Its surgery services include cataract surgery, refractive surgery, and other surgery. Its consultations, diagnoses and non-surgical treatments offer doctor consultation services, diagnostic services for eye disorders along with non-surgical treatments, including retinal laser therapy and dry eye treatment. It provides a range of glasses, lenses, contact lenses and frames at its facilities.</v>
    <v>3371</v>
    <v>National Stock Exchange of India</v>
    <v>XNSE</v>
    <v>XNSE</v>
    <v>1St Floor,Buhari Towers,, No.4,Moores Road, Off Greams Road,, Near Asan Memorial School, CHENNAI, TAMIL NADU, 600006 IN</v>
    <v>509.7</v>
    <v>Healthcare Providers &amp; Services</v>
    <v>Stock</v>
    <v>46017.49287037037</v>
    <v>502</v>
    <v>160165500000</v>
    <v>DR. AGARWAL'S HEALTH CARE LIMITED</v>
    <v>DR. AGARWAL'S HEALTH CARE LIMITED</v>
    <v>503.55</v>
    <v>138.28</v>
    <v>506.1</v>
    <v>503.7</v>
    <v>316470000</v>
    <v>AGARWALEYE</v>
    <v>DR. AGARWAL'S HEALTH CARE LIMITED (XNSE:AGARWALEYE)</v>
    <v>38004</v>
    <v>100930</v>
    <v>2010</v>
  </rv>
  <rv s="2">
    <v>840</v>
  </rv>
  <rv s="0">
    <v>https://www.bing.com/financeapi/forcetrigger?t=ahhn4c&amp;q=XNSE%3aEIDPARRY&amp;form=skydnc</v>
    <v>Learn more on Bing</v>
  </rv>
  <rv s="1">
    <v>en-US</v>
    <v>ahhn4c</v>
    <v>268435456</v>
    <v>1</v>
    <v>Powered by Refinitiv</v>
    <v>0</v>
    <v>E.I.D PARRY (INDIA) LIMITED (XNSE:EIDPARRY)</v>
    <v>2</v>
    <v>3</v>
    <v>Finance</v>
    <v>4</v>
    <v>1246.8</v>
    <v>639</v>
    <v>0.76570000000000005</v>
    <v>7.1</v>
    <v>6.6879999999999995E-3</v>
    <v>INR</v>
    <v>E.I.D. - Parry (India) Limited is an India-based company, which is engaged in the business of sweeteners and nutraceuticals. The Company also has a presence in farm inputs business through its subsidiary, Coromandel International Limited. Its segments include Sugar, Co-generation, Distillery, Nutraceuticals and Consumer Products. The Company’s products include different type of sweeteners, such as white sugar, refined sugar, pharma grade sugar, brown sugar, low GI sugar, jaggery and others, which are sold in bulk and retail packs, besides operating in adjacencies such as ethanol and cogeneration of power. It is also engaged in the sale of kitchen staples like rice, pulses, and millets. It serves various industries, including pharma, confectionery, beverage and soft drink manufacturers, dairy, food ingredients, and others. Sugar and Nutraceuticals are sold both in the domestic and international markets. Ethanol is sold to oil marketing companies for fuel blending.</v>
    <v>2384</v>
    <v>National Stock Exchange of India</v>
    <v>XNSE</v>
    <v>XNSE</v>
    <v>Dare House, New No.2, Old 234, NSC Bose Road, CHENNAI, TAMIL NADU, 600001 IN</v>
    <v>1079.9000000000001</v>
    <v>Chemicals</v>
    <v>Stock</v>
    <v>46017.492881944447</v>
    <v>842</v>
    <v>1055.8</v>
    <v>188829700000</v>
    <v>E.I.D PARRY (INDIA) LIMITED</v>
    <v>E.I.D PARRY (INDIA) LIMITED</v>
    <v>1061.3</v>
    <v>16.4847</v>
    <v>1061.5999999999999</v>
    <v>1068.7</v>
    <v>177872700</v>
    <v>EIDPARRY</v>
    <v>E.I.D PARRY (INDIA) LIMITED (XNSE:EIDPARRY)</v>
    <v>206457</v>
    <v>152820</v>
    <v>1975</v>
  </rv>
  <rv s="2">
    <v>843</v>
  </rv>
  <rv s="0">
    <v>https://www.bing.com/financeapi/forcetrigger?t=ahhna2&amp;q=XNSE%3aEIHOTEL&amp;form=skydnc</v>
    <v>Learn more on Bing</v>
  </rv>
  <rv s="1">
    <v>en-US</v>
    <v>ahhna2</v>
    <v>268435456</v>
    <v>1</v>
    <v>Powered by Refinitiv</v>
    <v>0</v>
    <v>EIH LIMITED (XNSE:EIHOTEL)</v>
    <v>2</v>
    <v>3</v>
    <v>Finance</v>
    <v>4</v>
    <v>435.1</v>
    <v>305</v>
    <v>0.91</v>
    <v>3.35</v>
    <v>9.2100000000000012E-3</v>
    <v>INR</v>
    <v>EIH Limited is an India-based luxury hospitality company. The Company is primarily engaged in owning and managing luxury hotels and cruisers under the luxury Oberoi and Trident brands. The Company is also engaged in flight catering, airport restaurants, project management and corporate air charters. The Company's hotel services include accommodation, food and beverage and other services provided by hotels, inns, resorts, holiday homes, restaurants and caterers, and renting of investment properties. Its other services include shop licensing, management and marketing, laundry, spa, guest transfers, membership, loyalty program and other allied services. The Company owns and operates hotels, which include The Oberoi, Mumbai; The Oberoi Udaivilas, Udaipur; The Oberoi, New Delhi; The Oberoi Vanyavilas, Ranthambhore; The Oberoi, Bengaluru; Trident, Nariman Point, Mumbai; The Oberoi Grand, Kolkata, and Trident, Bandra Kurla, Mumbai. It owns and manages Maidens Hotel in New Delhi.</v>
    <v>5708</v>
    <v>National Stock Exchange of India</v>
    <v>XNSE</v>
    <v>XNSE</v>
    <v>7, Sham Nath Marg, NEW DELHI, DELHI, 110054 IN</v>
    <v>368.4</v>
    <v>Hotels &amp; Entertainment Services</v>
    <v>Stock</v>
    <v>46017.492881944447</v>
    <v>845</v>
    <v>362</v>
    <v>229571200000</v>
    <v>EIH LIMITED</v>
    <v>EIH LIMITED</v>
    <v>363.65</v>
    <v>34.21</v>
    <v>363.75</v>
    <v>367.1</v>
    <v>625364200</v>
    <v>EIHOTEL</v>
    <v>EIH LIMITED (XNSE:EIHOTEL)</v>
    <v>76571</v>
    <v>204220</v>
    <v>1949</v>
  </rv>
  <rv s="2">
    <v>846</v>
  </rv>
  <rv s="0">
    <v>https://www.bing.com/financeapi/forcetrigger?t=ahhnlh&amp;q=XNSE%3aELECON&amp;form=skydnc</v>
    <v>Learn more on Bing</v>
  </rv>
  <rv s="1">
    <v>en-US</v>
    <v>ahhnlh</v>
    <v>268435456</v>
    <v>1</v>
    <v>Powered by Refinitiv</v>
    <v>0</v>
    <v>ELECON ENGINEERING COMPANY LIMITED (XNSE:ELECON)</v>
    <v>2</v>
    <v>3</v>
    <v>Finance</v>
    <v>4</v>
    <v>716.25</v>
    <v>376.95</v>
    <v>1.4084000000000001</v>
    <v>-2.35</v>
    <v>-4.8869999999999999E-3</v>
    <v>INR</v>
    <v>Elecon Engineering Company Limited is an India-based company that is engaged in the designing and manufacturing of material handling equipment and industrial gear and is also involved in providing erection and commissioning solutions for its products. The Company operates through two segments: Transmission Equipment and Material Handling Equipment. The Transmission Equipment segment is engaged in the manufacturing of transmission equipment like gearboxes, couplings, and elevator traction machines. The Material Handling Equipment segment is engaged in manufacturing of material handling equipment like raw material handling systems, stackers, reclaimers, bagging and weighing machines, wagon and truck loaders, crushers, wagon tipplers, feeders, and port equipment. It is also engaged in executing projects on material handling equipment and systems. The Company has manufacturing units at Vallabh Vidyanagar, Gujarat. Its products are sold in both the national and international markets.</v>
    <v>740</v>
    <v>National Stock Exchange of India</v>
    <v>XNSE</v>
    <v>XNSE</v>
    <v>Anand Sojitra Road, VALLABH VIDYANAGAR, GUJARAT, 388120 IN</v>
    <v>488.85</v>
    <v>Machinery, Equipment &amp; Components</v>
    <v>Stock</v>
    <v>46017.492881944447</v>
    <v>848</v>
    <v>476.25</v>
    <v>107902700000</v>
    <v>ELECON ENGINEERING COMPANY LIMITED</v>
    <v>ELECON ENGINEERING COMPANY LIMITED</v>
    <v>484</v>
    <v>20.86</v>
    <v>480.85</v>
    <v>478.5</v>
    <v>224399900</v>
    <v>ELECON</v>
    <v>ELECON ENGINEERING COMPANY LIMITED (XNSE:ELECON)</v>
    <v>152561</v>
    <v>171790</v>
    <v>1960</v>
  </rv>
  <rv s="2">
    <v>849</v>
  </rv>
  <rv s="0">
    <v>https://www.bing.com/financeapi/forcetrigger?t=ahhnu2&amp;q=XNSE%3aELGIEQUIP&amp;form=skydnc</v>
    <v>Learn more on Bing</v>
  </rv>
  <rv s="1">
    <v>en-US</v>
    <v>ahhnu2</v>
    <v>268435456</v>
    <v>1</v>
    <v>Powered by Refinitiv</v>
    <v>0</v>
    <v>ELGI EQUIPMENTS LIMITED (XNSE:ELGIEQUIP)</v>
    <v>2</v>
    <v>3</v>
    <v>Finance</v>
    <v>4</v>
    <v>608.4</v>
    <v>401</v>
    <v>0.4965</v>
    <v>-3.1</v>
    <v>-6.6540000000000002E-3</v>
    <v>INR</v>
    <v>Elgi Equipments Limited is an India-based company, which is engaged in manufacture, trading of air compressors and automotive garage equipment and also providing related after sales services. It provides a range of compressors, which includes rotary screw air compressors, oil lubricated air compressors, oil free air compressors, reciprocating air compressors, portable air compressors, and compressed air accessories. Its air compressor accessories include AF Series Compressed Air Filters, Air Alert 24/7 Monitoring, AR Premium Series Cyclic Refrigeration Dryers, Eos Oil Water Separator, EZL Series Zero Loss Drain Valves, and Heat Recovery System (HRS). Its oil free rotary screw air compressors include two-stage air cooled and water-cooled air compressor 45-450kw, and water injected screw compressor 11-110kw.</v>
    <v>2138</v>
    <v>National Stock Exchange of India</v>
    <v>XNSE</v>
    <v>XNSE</v>
    <v>Elgi Industrial Complex,, Trichy Road, Singanallur,, COIMBATORE, TAMIL NADU, 641005 IN</v>
    <v>467.3</v>
    <v>Machinery, Equipment &amp; Components</v>
    <v>Stock</v>
    <v>46017.492881944447</v>
    <v>851</v>
    <v>462.1</v>
    <v>147085500000</v>
    <v>ELGI EQUIPMENTS LIMITED</v>
    <v>ELGI EQUIPMENTS LIMITED</v>
    <v>465.9</v>
    <v>37.472200000000001</v>
    <v>465.9</v>
    <v>462.8</v>
    <v>315701800</v>
    <v>ELGIEQUIP</v>
    <v>ELGI EQUIPMENTS LIMITED (XNSE:ELGIEQUIP)</v>
    <v>167795</v>
    <v>306500</v>
    <v>1960</v>
  </rv>
  <rv s="2">
    <v>852</v>
  </rv>
  <rv s="0">
    <v>https://www.bing.com/financeapi/forcetrigger?t=ahho3m&amp;q=XNSE%3aEMAMILTD&amp;form=skydnc</v>
    <v>Learn more on Bing</v>
  </rv>
  <rv s="1">
    <v>en-US</v>
    <v>ahho3m</v>
    <v>268435456</v>
    <v>1</v>
    <v>Powered by Refinitiv</v>
    <v>0</v>
    <v>EMAMI LIMITED (XNSE:EMAMILTD)</v>
    <v>2</v>
    <v>3</v>
    <v>Finance</v>
    <v>4</v>
    <v>651.20000000000005</v>
    <v>498.45</v>
    <v>0.60950000000000004</v>
    <v>-2</v>
    <v>-3.8709999999999999E-3</v>
    <v>INR</v>
    <v>Emami Limited is an India-based company, which is engaged in the manufacture and selling of consumer goods, such as hair care products, healthcare products, and skin care products. The Company’s portfolio of household brand names such as Boro Plus, Navratna, Fair and Handsome, Zandu Balm, Kesh King, Zandu Pancharishta, Mentho Plus Balm, Dermicool and others. Its products include 7 Oils in One Hair Oil Range, Navratna Oil Range, Creme 21 Range, Smart And Handsome Range, BoroPlus Range, Kesh King Range, Pain Management Range, and Emami Gold Range. The Company has a presence of 70 plus countries. The Company’s brands include Discover its personal care and healthcare brands. Its brands include BoroPlus, Navratna, Zandu, Kesh King, Smart And Handsome, Mentho Plus, 7 Oils in One, Dermicool, Creme 21, HE, The Man Company, and Brillare. Its other brands include Emami Malai Kesar Cold Cream, Emami Golden Beauty Talc, Emami Naturally Fair, and Emami Diamond Shine.</v>
    <v>3217</v>
    <v>National Stock Exchange of India</v>
    <v>XNSE</v>
    <v>XNSE</v>
    <v>Emami Tower, 687 Anandapur,, EM Bypass, KOLKATA, WEST BENGAL, 700107 IN</v>
    <v>519</v>
    <v>Personal &amp; Household Products &amp; Services</v>
    <v>Stock</v>
    <v>46017.492881944447</v>
    <v>854</v>
    <v>513</v>
    <v>225539500000</v>
    <v>EMAMI LIMITED</v>
    <v>EMAMI LIMITED</v>
    <v>518.65</v>
    <v>29.93</v>
    <v>516.70000000000005</v>
    <v>514.70000000000005</v>
    <v>436500000</v>
    <v>EMAMILTD</v>
    <v>EMAMI LIMITED (XNSE:EMAMILTD)</v>
    <v>402348</v>
    <v>351930</v>
    <v>1983</v>
  </rv>
  <rv s="2">
    <v>855</v>
  </rv>
  <rv s="10">
    <v>en-US</v>
    <v>ce18a2</v>
    <v>268435456</v>
    <v>1</v>
    <v>Powered by Refinitiv</v>
    <v>18</v>
    <v>EMCURE PHARMACEUTICALS LIMITED (XNSE:EMCURE)</v>
    <v>6</v>
    <v>3</v>
    <v>Finance</v>
    <v>4</v>
    <v>1519.9</v>
    <v>889</v>
    <v>1.304</v>
    <v>16.899999999999999</v>
    <v>1.1976000000000001E-2</v>
    <v>INR</v>
    <v>Emcure Pharmaceuticals Limited is an India-based pharmaceutical company, which is engaged in developing, manufacturing and globally marketing a range of pharmaceutical products across several major therapeutic areas. It offers a range of products and services under formulations, biologics and APIs. It operates across a wide scope of areas, including gynecological, cardiology, antivirals, vitamins, pain/analgesics, anti-neoplastic, diabetes, anti-infective, respiratory, CNS and nephrology. Its brands include OROFER (Gynecological), BEVON (Vitamins), ZOSTUM (Anti- infectives), Ferium (Gynecological), EXHEP (Cardiovascular), Maxtra (Respiratory) and Pause (Blood-Related). Its API products include S-Amlodipine, Dydrogesterone, Ferric Carboxymaltose, Ferrous Ascorbate and Eribulin. Its biologics business offers various products, including Elaxim (cardiology), Vintor (nephrology), Xgrast (anti-neoplastic) and Pegex (anti- neoplastic). It has developed two platforms: Mammalian and Microbial.</v>
    <v>6731</v>
    <v>National Stock Exchange of India</v>
    <v>XNSE</v>
    <v>XNSE</v>
    <v>Plot No. P-1 and P-2, IT-BT Park, Phase II, M.I.D.C., Hinjawadi, PUNE, MAHARASHTRA, 411057 IN</v>
    <v>1442</v>
    <v>Pharmaceuticals</v>
    <v>Stock</v>
    <v>46017.492881944447</v>
    <v>1396.3</v>
    <v>267505800000</v>
    <v>EMCURE PHARMACEUTICALS LIMITED</v>
    <v>EMCURE PHARMACEUTICALS LIMITED</v>
    <v>1416</v>
    <v>33.71</v>
    <v>1411.1</v>
    <v>1428</v>
    <v>189572600</v>
    <v>EMCURE</v>
    <v>EMCURE PHARMACEUTICALS LIMITED (XNSE:EMCURE)</v>
    <v>106491</v>
    <v>103920</v>
    <v>1981</v>
  </rv>
  <rv s="2">
    <v>857</v>
  </rv>
  <rv s="0">
    <v>https://www.bing.com/financeapi/forcetrigger?t=ahhoqh&amp;q=XNSE%3aENGINERSIN&amp;form=skydnc</v>
    <v>Learn more on Bing</v>
  </rv>
  <rv s="1">
    <v>en-US</v>
    <v>ahhoqh</v>
    <v>268435456</v>
    <v>1</v>
    <v>Powered by Refinitiv</v>
    <v>0</v>
    <v>ENGINEERS INDIA LIMITED (XNSE:ENGINERSIN)</v>
    <v>2</v>
    <v>3</v>
    <v>Finance</v>
    <v>4</v>
    <v>255.45</v>
    <v>142.19999999999999</v>
    <v>1.6932</v>
    <v>4.21</v>
    <v>2.0931000000000002E-2</v>
    <v>INR</v>
    <v>Engineers India Limited is an India-based total solutions engineering consultancy company providing design, engineering, procurement, construction and integrated project management services from concept to commissioning. The Company operates through two segments: consultancy and engineering projects, and turnkey projects. It is focused on various sectors, such as infrastructure, strategic crude oil storage, fertilizers, ports, liquefied natural gas (LNG), water and wastewater management, coal gasification, ferrous and nonferrous metals, defense, renewables and clean energy. Its services include technologies; preliminary-front end engineering and design (Pre-FEED); front end engineering and design (FEED); project management consultants (PMC); engineering, procurement, construction management (EPCM); EPC; supply chain management; construction; heat and mass transfer; plant operation and safety; specialist materials and maintenance, and environment engineering.</v>
    <v>2650</v>
    <v>National Stock Exchange of India</v>
    <v>XNSE</v>
    <v>XNSE</v>
    <v>EI Bhavan, 1, Bhikaiji Cama Place, NEW DELHI, DELHI, 110066 IN</v>
    <v>208.5</v>
    <v>Construction &amp; Engineering</v>
    <v>Stock</v>
    <v>46017.492881944447</v>
    <v>859</v>
    <v>200</v>
    <v>113049200000</v>
    <v>ENGINEERS INDIA LIMITED</v>
    <v>ENGINEERS INDIA LIMITED</v>
    <v>201.4</v>
    <v>21.457699999999999</v>
    <v>201.14</v>
    <v>205.35</v>
    <v>562042400</v>
    <v>ENGINERSIN</v>
    <v>ENGINEERS INDIA LIMITED (XNSE:ENGINERSIN)</v>
    <v>4904849</v>
    <v>1085960</v>
    <v>1965</v>
  </rv>
  <rv s="2">
    <v>860</v>
  </rv>
  <rv s="0">
    <v>https://www.bing.com/financeapi/forcetrigger?t=ahhp5r&amp;q=XNSE%3aERIS&amp;form=skydnc</v>
    <v>Learn more on Bing</v>
  </rv>
  <rv s="1">
    <v>en-US</v>
    <v>ahhp5r</v>
    <v>268435456</v>
    <v>1</v>
    <v>Powered by Refinitiv</v>
    <v>0</v>
    <v>ERIS LIFESCIENCES LIMITED (XNSE:ERIS)</v>
    <v>2</v>
    <v>3</v>
    <v>Finance</v>
    <v>4</v>
    <v>1910</v>
    <v>1097.2</v>
    <v>0.61580000000000001</v>
    <v>-19.100000000000001</v>
    <v>-1.2362E-2</v>
    <v>INR</v>
    <v>Eris Lifesciences Limited is an India-based pharmaceutical company. The Company is engaged in the manufacture and marketing of pharmaceutical products. The Company has a presence in major therapies like oral anti-diabetes, insulins, cardiovascular, vitamins/minerals and dermatology. Its flagship therapies include oral anti-diabetes, cardiovascular disease (CVD), and vitamins, minerals and nutrients (VMN). Its emerging therapies consist of dermatology, insulins, women’s health, central nervous system (CNS), oncology, and nephrology. Its portfolio of brands includes Glimisave, Eritel, LNBloc, Olmin, Crevast, Atorsave, Gluxit, Renerve, Zomelis, Cosvate, Tayo, Cyblex, Remylin, Tendia, Rabonik, Ginkocer, Psorid, Raricap, Serlift, and Onabet, among others. Its patient care initiatives (PCI) platform provides various healthcare solutions to its patients. The Company has a manufacturing plant located in Guwahati, Assam.</v>
    <v>3558</v>
    <v>National Stock Exchange of India</v>
    <v>XNSE</v>
    <v>XNSE</v>
    <v>Shivarth Ambit, Plot No 142/2,, Ramdas Road, Off SBR,, Near Swati Bungalows, Bodakdev,, AHMEDABAD, GUJARAT, 380054 IN</v>
    <v>1556.4</v>
    <v>Pharmaceuticals</v>
    <v>Stock</v>
    <v>46017.492881944447</v>
    <v>862</v>
    <v>1512</v>
    <v>210455100000</v>
    <v>ERIS LIFESCIENCES LIMITED</v>
    <v>ERIS LIFESCIENCES LIMITED</v>
    <v>1553.1</v>
    <v>50.042299999999997</v>
    <v>1545</v>
    <v>1525.9</v>
    <v>136216900</v>
    <v>ERIS</v>
    <v>ERIS LIFESCIENCES LIMITED (XNSE:ERIS)</v>
    <v>56045</v>
    <v>52240</v>
    <v>2007</v>
  </rv>
  <rv s="2">
    <v>863</v>
  </rv>
  <rv s="0">
    <v>https://www.bing.com/financeapi/forcetrigger?t=ahhpec&amp;q=XNSE%3aESCORTS&amp;form=skydnc</v>
    <v>Learn more on Bing</v>
  </rv>
  <rv s="1">
    <v>en-US</v>
    <v>ahhpec</v>
    <v>268435456</v>
    <v>1</v>
    <v>Powered by Refinitiv</v>
    <v>0</v>
    <v>Escorts Kubota Limited (XNSE:ESCORTS)</v>
    <v>2</v>
    <v>3</v>
    <v>Finance</v>
    <v>4</v>
    <v>4180</v>
    <v>2776.4</v>
    <v>0.99860000000000004</v>
    <v>-30.4</v>
    <v>-8.1530000000000005E-3</v>
    <v>INR</v>
    <v>Escorts Kubota Limited is an India-based company, which specializes in farm mechanization, smart agriculture and advanced construction equipment. The Company's businesses include Farmtrac, Powertrac, Kubota, harvester and implements, construction equipments, engine business, international business, and spare parts and lubricants. Its Farmtrac business product categories include Atom, Champion, Promaxx, Powermaxx, Worldmaxx and Classic. Its Powertrac business product categories include Steeltrac, G-Series, Star Series and Digitrac Series. Its harvester and implements business products include plough, rotavator, super seeder and sprayer. Its engine business product categories include EKL engines and Kubota Engines. In its Agri Machinery business, it caters to a range of customer base, primarily comprising farmers. Its construction equipment business clients include construction and industrial companies, government agencies, mining companies, rental companies, and individual contractors.</v>
    <v>4622</v>
    <v>National Stock Exchange of India</v>
    <v>XNSE</v>
    <v>XNSE</v>
    <v>15/5 Mathura Road, FARIDABAD, HARYANA, 121003 IN</v>
    <v>3750</v>
    <v>Machinery, Equipment &amp; Components</v>
    <v>Stock</v>
    <v>46017.492881944447</v>
    <v>865</v>
    <v>3686.6</v>
    <v>406883400000</v>
    <v>Escorts Kubota Limited</v>
    <v>Escorts Kubota Limited</v>
    <v>3728.4</v>
    <v>32.880000000000003</v>
    <v>3728.5</v>
    <v>3698.1</v>
    <v>110025000</v>
    <v>ESCORTS</v>
    <v>Escorts Kubota Limited (XNSE:ESCORTS)</v>
    <v>26015</v>
    <v>82110</v>
    <v>1944</v>
  </rv>
  <rv s="2">
    <v>866</v>
  </rv>
  <rv s="0">
    <v>https://www.bing.com/financeapi/forcetrigger?t=c42na2&amp;q=XNSE%3aNYKAA&amp;form=skydnc</v>
    <v>Learn more on Bing</v>
  </rv>
  <rv s="1">
    <v>en-US</v>
    <v>c42na2</v>
    <v>268435456</v>
    <v>1</v>
    <v>Powered by Refinitiv</v>
    <v>0</v>
    <v>Fsn E-Commerce Ventures Ltd (XNSE:NYKAA)</v>
    <v>2</v>
    <v>3</v>
    <v>Finance</v>
    <v>4</v>
    <v>273.22000000000003</v>
    <v>154.9</v>
    <v>1.4113</v>
    <v>1.5</v>
    <v>5.8149999999999999E-3</v>
    <v>INR</v>
    <v>FSN E-Commerce Ventures Limited is a consumer technology platform company. It is engaged in the business of manufacturing, selling and distribution of beauty, wellness, fitness, personal care, health care, skin care, hair care products on online platforms or Websites, such as e-commerce, m-commerce, websites, and intranet, as well as through retail outlets, general trade and modern trade. Its segments include Beauty, Fashion, and Others. Beauty segment includes the online beauty platform, beauty-owned brands, physical retail stores, the electronic business-to-business distribution business and Nykaa Man BPC business. Fashion segment includes Nykaa Fashion, Fashion retail, fashion owned brands, LBB (content platform) and Nykaa Man lifestyle business. Others segment includes groups international beauty business. Its business verticals include Nykaa Beauty, Nykaa Fashion and Nykaa Others. Nykaa Beauty includes beauty and personal care. Nykaa Fashion is engaged in apparel and accessories.</v>
    <v>3735</v>
    <v>National Stock Exchange of India</v>
    <v>XNSE</v>
    <v>XNSE</v>
    <v>A2, 4th Floor, Cnergy IT Park, Appasaheb Marathe Marg, Opposite Tata Motors, Prabhadevi, MUMBAI, MAHARASHTRA, 400025 IN</v>
    <v>261.39999999999998</v>
    <v>Diversified Retail</v>
    <v>Stock</v>
    <v>46017.492893518516</v>
    <v>868</v>
    <v>257.5</v>
    <v>738388000000</v>
    <v>Fsn E-Commerce Ventures Ltd</v>
    <v>Fsn E-Commerce Ventures Ltd</v>
    <v>258.10000000000002</v>
    <v>718.10130000000004</v>
    <v>257.95</v>
    <v>259.45</v>
    <v>2862524000</v>
    <v>NYKAA</v>
    <v>Fsn E-Commerce Ventures Ltd (XNSE:NYKAA)</v>
    <v>2463160</v>
    <v>4436510</v>
    <v>2012</v>
  </rv>
  <rv s="2">
    <v>869</v>
  </rv>
  <rv s="0">
    <v>https://www.bing.com/financeapi/forcetrigger?t=ahhr77&amp;q=XNSE%3aFEDERALBNK&amp;form=skydnc</v>
    <v>Learn more on Bing</v>
  </rv>
  <rv s="1">
    <v>en-US</v>
    <v>ahhr77</v>
    <v>268435456</v>
    <v>1</v>
    <v>Powered by Refinitiv</v>
    <v>0</v>
    <v>THE FEDERAL BANK LTD (XNSE:FEDERALBNK)</v>
    <v>2</v>
    <v>3</v>
    <v>Finance</v>
    <v>4</v>
    <v>271.10000000000002</v>
    <v>172.66</v>
    <v>0.8669</v>
    <v>0.25</v>
    <v>9.5509999999999996E-4</v>
    <v>INR</v>
    <v>The Federal Bank Limited (the Bank) is a banking company. The Bank is engaged in providing banking and financial services, including commercial banking, retail and corporate banking, project and corporate finance, working capital finance, insurance and treasury products and services. Its segment includes Treasury, Corporate/Wholesale Banking, Retail Banking, and other banking operations. Its Treasury segment operations include trading and investments in government securities and corporate debt instruments, equity and mutual funds, derivatives, and foreign exchange operations on proprietary account and for customers. Its Corporate/ Wholesale Banking segment consists of lending of funds, acceptance of deposits and other banking services to corporates, trusts, partnership firms and statutory bodies. Its Retail banking segment constitutes lending of funds, acceptance of deposits and other banking services to any legal person, including small business customers.</v>
    <v>16111</v>
    <v>National Stock Exchange of India</v>
    <v>XNSE</v>
    <v>XNSE</v>
    <v>Federal Towers, P. B. No. 103,, Alwaye, ERNAKULAM, KERALA, 683101 IN</v>
    <v>263.2</v>
    <v>Banking Services</v>
    <v>Stock</v>
    <v>46017.492881944447</v>
    <v>871</v>
    <v>260.10000000000002</v>
    <v>645035700000</v>
    <v>THE FEDERAL BANK LTD</v>
    <v>THE FEDERAL BANK LTD</v>
    <v>261.7</v>
    <v>16.28</v>
    <v>261.75</v>
    <v>262</v>
    <v>2461968000</v>
    <v>FEDERALBNK</v>
    <v>THE FEDERAL BANK LTD (XNSE:FEDERALBNK)</v>
    <v>3931332</v>
    <v>6656700</v>
    <v>1931</v>
  </rv>
  <rv s="2">
    <v>872</v>
  </rv>
  <rv s="0">
    <v>https://www.bing.com/financeapi/forcetrigger?t=ahhqm7&amp;q=XNSE%3aFACT&amp;form=skydnc</v>
    <v>Learn more on Bing</v>
  </rv>
  <rv s="1">
    <v>en-US</v>
    <v>ahhqm7</v>
    <v>268435456</v>
    <v>1</v>
    <v>Powered by Refinitiv</v>
    <v>0</v>
    <v>FERTILISERS AND CHEMICALS TRAVANCORE LTD (XNSE:FACT)</v>
    <v>2</v>
    <v>3</v>
    <v>Finance</v>
    <v>4</v>
    <v>1112</v>
    <v>565</v>
    <v>0.85189999999999999</v>
    <v>13.45</v>
    <v>1.5368E-2</v>
    <v>INR</v>
    <v>The Fertilizers and Chemicals Travancore Limited is engaged in the manufacturing and marketing of fertilizers and petrochemicals, engineering consultancy and design and fabrication and erection of industrial equipment. Its Fertiliser segment includes ammonium phosphate, ammonium sulphate, MOP, and NPK 15:15:15 organic manures. Its petrochemical segment comprises caprolactam. Its products include fertilizers, such as complex fertilizers, straight fertilizers, organic fertilizers, bio fertilizers, imported fertilizers and bagged gypsum; caprolactam, which is manufactured from raw materials, such as benzene, Sulphur, ammonia, carbon-di-oxide, and by products, such as anhydrous ammonia, cyclohexanone (anone), soda ash, cyclohexane, nitric acid, CO2, gypsum, Sulphuric acid and colored-ammonium sulphate. Its Cochin division has production facility includes manufacture of over 4,85,000 tons-per-annum (TPA) of complex fertilizer, 3,30,000 TPA of Sulphuric Acid and 1,15,200 TPA phosphoric acid.</v>
    <v>1518</v>
    <v>National Stock Exchange of India</v>
    <v>XNSE</v>
    <v>XNSE</v>
    <v>FACT Township, Eloor, Udyogamandal, KOCHI, KERALA, 683501 IN</v>
    <v>908.5</v>
    <v>Chemicals</v>
    <v>Stock</v>
    <v>46017.492881944447</v>
    <v>874</v>
    <v>871.45</v>
    <v>566317400000</v>
    <v>FERTILISERS AND CHEMICALS TRAVANCORE LTD</v>
    <v>FERTILISERS AND CHEMICALS TRAVANCORE LTD</v>
    <v>876.95</v>
    <v>556.21</v>
    <v>875.2</v>
    <v>888.65</v>
    <v>647072000</v>
    <v>FACT</v>
    <v>FERTILISERS AND CHEMICALS TRAVANCORE LTD (XNSE:FACT)</v>
    <v>258841</v>
    <v>704900</v>
    <v>1943</v>
  </rv>
  <rv s="2">
    <v>875</v>
  </rv>
  <rv s="0">
    <v>https://www.bing.com/financeapi/forcetrigger?t=ahhrlh&amp;q=XNSE%3aFINCABLES&amp;form=skydnc</v>
    <v>Learn more on Bing</v>
  </rv>
  <rv s="1">
    <v>en-US</v>
    <v>ahhrlh</v>
    <v>268435456</v>
    <v>1</v>
    <v>Powered by Refinitiv</v>
    <v>0</v>
    <v>FINOLEX CABLES LIMITED (XNSE:FINCABLES)</v>
    <v>2</v>
    <v>3</v>
    <v>Finance</v>
    <v>4</v>
    <v>1294</v>
    <v>707.3</v>
    <v>0.86960000000000004</v>
    <v>-6.2</v>
    <v>-8.0169999999999998E-3</v>
    <v>INR</v>
    <v>Finolex Cables Limited is an India-based company, which is engaged in the manufacturing of electrical cables, communication cables, and other electrical appliances. The Company’s segments include Electrical cables, Communication cables, Copper rods, and Others. The Electrical cables segment manufactures light-duty electrical cables and power and control cables. The Communication cables segment includes copper-based cables and optical fiber (glass-based) cables (OFC). The Copper rods segment is engaged in manufacturing continuous cast copper rods (CCC rods), which are used in the production of copper-based electrical and communication cables. Its product portfolio includes wires and cables, fans, water heaters, switches, switchgear, home appliances-room heaters, home appliances-iron, lights, conduits and fittings, and smart homes. Its wires and cables include house wires, agriculture cables, ofc, telephone cables, LAN cables, speaker cables, and power cables.</v>
    <v>1594</v>
    <v>National Stock Exchange of India</v>
    <v>XNSE</v>
    <v>XNSE</v>
    <v>26-27, Mumbai - Pune Road, Pimpri, PUNE, MAHARASHTRA, 411018 IN</v>
    <v>776</v>
    <v>Machinery, Equipment &amp; Components</v>
    <v>Stock</v>
    <v>46017.492881944447</v>
    <v>877</v>
    <v>765.5</v>
    <v>118283300000</v>
    <v>FINOLEX CABLES LIMITED</v>
    <v>FINOLEX CABLES LIMITED</v>
    <v>775</v>
    <v>17.669499999999999</v>
    <v>773.4</v>
    <v>767.2</v>
    <v>152939300</v>
    <v>FINCABLES</v>
    <v>FINOLEX CABLES LIMITED (XNSE:FINCABLES)</v>
    <v>84223</v>
    <v>188060</v>
    <v>1967</v>
  </rv>
  <rv s="2">
    <v>878</v>
  </rv>
  <rv s="0">
    <v>https://www.bing.com/financeapi/forcetrigger?t=ahhroc&amp;q=XNSE%3aFINPIPE&amp;form=skydnc</v>
    <v>Learn more on Bing</v>
  </rv>
  <rv s="1">
    <v>en-US</v>
    <v>ahhroc</v>
    <v>268435456</v>
    <v>1</v>
    <v>Powered by Refinitiv</v>
    <v>0</v>
    <v>FINOLEX INDUSTRIES LIMITED (XNSE:FINPIPE)</v>
    <v>2</v>
    <v>3</v>
    <v>Finance</v>
    <v>4</v>
    <v>264.45</v>
    <v>152.79</v>
    <v>0.61339999999999995</v>
    <v>0.86</v>
    <v>5.0899999999999999E-3</v>
    <v>INR</v>
    <v>Finolex Industries Limited is an India-based backward-integrated pipes and fittings company. The Company is engaged in the business of manufacturing polyvinyl chloride (PVC) pipes and fittings and PVC resin. The Company operates through two segments: PVC and PVC pipes and fittings. Its diverse product range caters to various sectors, including plumbing, sanitation, and agriculture providing solutions for a range of customer needs. Its products include agriculture pipes and fittings, and plumbing and sanitation pipes and fittings. The Company's agriculture pipes and fittings products include agriculture pipes and fittings, casing pipes, column pipes, and solvent cement and lubricant. Its plumbing pipes and fittings products include American Society for Testing and Materials (ASTM) pipes and fittings; chlorinated polyvinyl chloride (CPVC) pipes and fittings; soil, waste and rainwater pipe (SWR) pipes and fittings; sewerage pipes, and solvent cement, lubricant and primer.</v>
    <v>1499</v>
    <v>National Stock Exchange of India</v>
    <v>XNSE</v>
    <v>XNSE</v>
    <v>IndiQube The Kode- 11th Floor, S. No.134, Hissa No. 1/38, Baner Pashan Link Road, PUNE, MAHARASHTRA, 411045 IN</v>
    <v>170.66</v>
    <v>Homebuilding &amp; Construction Supplies</v>
    <v>Stock</v>
    <v>46017.492881944447</v>
    <v>880</v>
    <v>167.93</v>
    <v>104464100000</v>
    <v>FINOLEX INDUSTRIES LIMITED</v>
    <v>FINOLEX INDUSTRIES LIMITED</v>
    <v>169.79</v>
    <v>21.8568</v>
    <v>168.95</v>
    <v>169.81</v>
    <v>618313900</v>
    <v>FINPIPE</v>
    <v>FINOLEX INDUSTRIES LIMITED (XNSE:FINPIPE)</v>
    <v>278764</v>
    <v>408300</v>
    <v>1981</v>
  </rv>
  <rv s="2">
    <v>881</v>
  </rv>
  <rv s="0">
    <v>https://www.bing.com/financeapi/forcetrigger?t=ahhsnm&amp;q=XNSE%3aFSL&amp;form=skydnc</v>
    <v>Learn more on Bing</v>
  </rv>
  <rv s="1">
    <v>en-US</v>
    <v>ahhsnm</v>
    <v>268435456</v>
    <v>1</v>
    <v>Powered by Refinitiv</v>
    <v>0</v>
    <v>Firstsource Solutions Limited (XNSE:FSL)</v>
    <v>2</v>
    <v>3</v>
    <v>Finance</v>
    <v>4</v>
    <v>422.3</v>
    <v>270</v>
    <v>1.1191</v>
    <v>-7.75</v>
    <v>-2.2118000000000002E-2</v>
    <v>INR</v>
    <v>Firstsource Solutions Limited is an India-based company. The Company is engaged in providing information technology (IT) enabled business process management (BPM) services to banking and financial services, healthcare, communication media and technology and other diverse industries. The Company operates through four segments: Banking and Financial Services (BFS), Healthcare, Communication, Media, and Technology (CMT), and Diverse Industries. The BFS segment’s technology-driven solutions enable BFS and born-digital businesses to personalize customer experiences. Its platform-based services, digital patient access and Intelligent Automation offerings drive superior patient engagement, financial experience, and improved financial performance for hospitals. The CMT segment’s customer experience management and digitally enabled contact center solutions help CMT businesses. The Company also focuses on customer experience outsourcing for retail and ecommerce businesses.</v>
    <v>34651</v>
    <v>National Stock Exchange of India</v>
    <v>XNSE</v>
    <v>XNSE</v>
    <v>5th Floor, Paradigm B wing, Mindspace, link Road, Malad (West), MUMBAI, MAHARASHTRA, 400064 IN</v>
    <v>351</v>
    <v>Professional &amp; Commercial Services</v>
    <v>Stock</v>
    <v>46017.492881944447</v>
    <v>883</v>
    <v>341.3</v>
    <v>236891500000</v>
    <v>Firstsource Solutions Limited</v>
    <v>Firstsource Solutions Limited</v>
    <v>350.05</v>
    <v>36.090000000000003</v>
    <v>350.4</v>
    <v>342.65</v>
    <v>691351100</v>
    <v>FSL</v>
    <v>Firstsource Solutions Limited (XNSE:FSL)</v>
    <v>344095</v>
    <v>381480</v>
    <v>2001</v>
  </rv>
  <rv s="2">
    <v>884</v>
  </rv>
  <rv s="10">
    <v>en-US</v>
    <v>c84anm</v>
    <v>268435456</v>
    <v>1</v>
    <v>Powered by Refinitiv</v>
    <v>18</v>
    <v>FIVE-STAR BUSINESS FINANCE LIMITED (XNSE:FIVESTAR)</v>
    <v>6</v>
    <v>3</v>
    <v>Finance</v>
    <v>4</v>
    <v>850</v>
    <v>501</v>
    <v>0.30599999999999999</v>
    <v>-5.7</v>
    <v>-1.0208E-2</v>
    <v>INR</v>
    <v>Five-Star Business Finance Limited is a non-deposit-taking Non-Banking Finance Company (NBFC). The Company is primarily engaged in providing loans for business purposes, house renovation/extension purposes, and other mortgage purposes. The Company provides small business loans and small mortgage loans to eligible borrowers, after due underwriting of their cash flows and backed by the collateral of their house. It also provides secured loans to micro-entrepreneurs and self-employed individuals for business purposes, as well as for asset creation, such as home renovation or improvement, or for expenses for economic events, such as marriage and education. The loan ticket ranges between approximately one lakh rupees (Rs) to 10 lakhs Rs for a tenure of up to seven years and the repayments are to be made on a monthly equated basis. The Company operates through approximately 748 branches in 11 States / Union Territories.</v>
    <v>11934</v>
    <v>National Stock Exchange of India</v>
    <v>XNSE</v>
    <v>XNSE</v>
    <v>New No. 27, Old No. 4, Taylor's Road, Kilpauk, Chennai, CHENNAI, TAMIL NADU, 600010 IN</v>
    <v>561.85</v>
    <v>Banking Services</v>
    <v>Stock</v>
    <v>46017.492881944447</v>
    <v>551.29999999999995</v>
    <v>164467500000</v>
    <v>FIVE-STAR BUSINESS FINANCE LIMITED</v>
    <v>FIVE-STAR BUSINESS FINANCE LIMITED</v>
    <v>560.4</v>
    <v>14.85</v>
    <v>558.4</v>
    <v>552.70000000000005</v>
    <v>294533500</v>
    <v>FIVESTAR</v>
    <v>FIVE-STAR BUSINESS FINANCE LIMITED (XNSE:FIVESTAR)</v>
    <v>383723</v>
    <v>1262550</v>
    <v>1984</v>
  </rv>
  <rv s="2">
    <v>886</v>
  </rv>
  <rv s="0">
    <v>https://www.bing.com/financeapi/forcetrigger?t=bra7ww&amp;q=XNSE%3aFORCEMOT&amp;form=skydnc</v>
    <v>Learn more on Bing</v>
  </rv>
  <rv s="1">
    <v>en-US</v>
    <v>bra7ww</v>
    <v>268435456</v>
    <v>1</v>
    <v>Powered by Refinitiv</v>
    <v>0</v>
    <v>FORCE MOTORS LIMITED (XNSE:FORCEMOT)</v>
    <v>2</v>
    <v>3</v>
    <v>Finance</v>
    <v>4</v>
    <v>21990</v>
    <v>6125</v>
    <v>0.95899999999999996</v>
    <v>107</v>
    <v>5.8260000000000004E-3</v>
    <v>INR</v>
    <v>Force Motors Limited is an India-based fully vertically integrated automobile company. It is engaged in the design, development and manufacture of the full spectrum of automotive components, aggregates and vehicles. Its range of products includes light commercial vehicles, multi-utility vehicles, small commercial vehicles and special vehicles. Its commercial vehicles include Urbania, Traveler, Monobus, Trax and special applications. Its special vehicles include the Gurkha. It also offers an electric E-Traveller Smart Citibus EV. Its vehicle business provides a versatile range of solutions for passenger transport, cargo movement, emergency response, and specialized applications. It offers mission-specific solutions like Mobile Medical Units, Police Vans, Prison Vans, Troop Carriers, and Safari Vehicles, customized on the Traveler and Trax platforms for institutional and government use. Urbania is a premium, ground-up modular monocoque van platform designed for shared urban mobility.</v>
    <v>4640</v>
    <v>National Stock Exchange of India</v>
    <v>XNSE</v>
    <v>XNSE</v>
    <v>Bombay Pune Road, Akurdi, PUNE, MAHARASHTRA, 411035 IN</v>
    <v>18575</v>
    <v>Automobiles &amp; Auto Parts</v>
    <v>Stock</v>
    <v>46017.492881944447</v>
    <v>888</v>
    <v>18300</v>
    <v>241982000000</v>
    <v>FORCE MOTORS LIMITED</v>
    <v>FORCE MOTORS LIMITED</v>
    <v>18385</v>
    <v>22.47</v>
    <v>18365</v>
    <v>18472</v>
    <v>13176260</v>
    <v>FORCEMOT</v>
    <v>FORCE MOTORS LIMITED (XNSE:FORCEMOT)</v>
    <v>26054</v>
    <v>43120</v>
    <v>1958</v>
  </rv>
  <rv s="2">
    <v>889</v>
  </rv>
  <rv s="0">
    <v>https://www.bing.com/financeapi/forcetrigger?t=ahhs9c&amp;q=XNSE%3aFORTIS&amp;form=skydnc</v>
    <v>Learn more on Bing</v>
  </rv>
  <rv s="1">
    <v>en-US</v>
    <v>ahhs9c</v>
    <v>268435456</v>
    <v>1</v>
    <v>Powered by Refinitiv</v>
    <v>0</v>
    <v>Fortis Healthcare Limited (XNSE:FORTIS)</v>
    <v>2</v>
    <v>3</v>
    <v>Finance</v>
    <v>4</v>
    <v>1104.3</v>
    <v>577</v>
    <v>1.012</v>
    <v>-0.3</v>
    <v>-3.323E-4</v>
    <v>INR</v>
    <v>Fortis Healthcare Limited is an India-based integrated healthcare service provider. The Company is primarily engaged in the business of healthcare services. Its segment includes the Healthcare business and the Diagnostics business. The healthcare business includes inpatient and outpatient services, sale of medical and nonmedical items and management fees from hospitals. The diagnostic business includes pathology and radiology services. Its specialties include cardiac sciences, cosmetology, dental sciences, dermatology, general surgery, oncology, urology, neurosurgery, radiology, orthopedics, and organ transplant, among others. The healthcare verticals of the Company primarily consist of day care specialty, diagnostics and tertiary and quaternary care. The Company has approximately 28 healthcare facilities, including projects under development, 4500 operational beds and over 400 diagnostics centers. It operates in India, the United Arab Emirates, Nepal, and Sri Lanka.</v>
    <v>12237</v>
    <v>National Stock Exchange of India</v>
    <v>XNSE</v>
    <v>XNSE</v>
    <v>Escorts Heart Institute And, Research Centre,, Okhla Road, NEW DELHI, DELHI, 110025 IN</v>
    <v>909.2</v>
    <v>Healthcare Providers &amp; Services</v>
    <v>Stock</v>
    <v>46017.492881944447</v>
    <v>891</v>
    <v>896.4</v>
    <v>681500800000</v>
    <v>Fortis Healthcare Limited</v>
    <v>Fortis Healthcare Limited</v>
    <v>903</v>
    <v>67.239999999999995</v>
    <v>902.7</v>
    <v>902.4</v>
    <v>754958100</v>
    <v>FORTIS</v>
    <v>Fortis Healthcare Limited (XNSE:FORTIS)</v>
    <v>1130940</v>
    <v>1930480</v>
    <v>1996</v>
  </rv>
  <rv s="2">
    <v>892</v>
  </rv>
  <rv s="0">
    <v>https://www.bing.com/financeapi/forcetrigger?t=ahhuur&amp;q=XNSE%3aGET%26D&amp;form=skydnc</v>
    <v>Learn more on Bing</v>
  </rv>
  <rv s="1">
    <v>en-US</v>
    <v>ahhuur</v>
    <v>268435456</v>
    <v>1</v>
    <v>Powered by Refinitiv</v>
    <v>0</v>
    <v>GE VERNOVA T&amp;D INDIA LIMITED (XNSE:GVT&amp;D)</v>
    <v>2</v>
    <v>3</v>
    <v>Finance</v>
    <v>4</v>
    <v>3323.8</v>
    <v>1254</v>
    <v>1.2909999999999999</v>
    <v>-90.2</v>
    <v>-2.8515000000000002E-2</v>
    <v>INR</v>
    <v>GE Vernova T&amp;D India Limited, formerly GE T&amp;D India Limited, is an India-based company, which is engaged in the power transmission and distribution business. The Company provides a versatile and robust range of solutions for connecting and evacuating power from generations sources onto the grid, providing utilities with the tools needed to support the increase in demand swiftly. It offers products ranging from medium voltage to ultra-high voltage (1200 kV) for power generation, transmission and distribution industry. It has a predominant presence in all stages of the power supply chain and offers a wide range of Made in India products and related services that include power transformers, circuit breakers, gas insulated switchgears, instrument transformers, substation automation equipment, digital software solutions, turnkey solutions for substation engineering and construction, Flexible AC Transmission Systems (FACTS), High Voltage DC (HVDC) and maintenance support.</v>
    <v>1697</v>
    <v>National Stock Exchange of India</v>
    <v>XNSE</v>
    <v>XNSE</v>
    <v>A-18, First Floor, Okhla Industrial Area, Phase II, NEW DELHI, DELHI, 110020 IN</v>
    <v>3169.8</v>
    <v>Machinery, Equipment &amp; Components</v>
    <v>Stock</v>
    <v>46017.492881944447</v>
    <v>894</v>
    <v>3053</v>
    <v>809952000000</v>
    <v>GE VERNOVA T&amp;D INDIA LIMITED</v>
    <v>GE VERNOVA T&amp;D INDIA LIMITED</v>
    <v>3163</v>
    <v>88.04</v>
    <v>3163.3</v>
    <v>3073.1</v>
    <v>256046500</v>
    <v>GVT&amp;D</v>
    <v>GE VERNOVA T&amp;D INDIA LIMITED (XNSE:GVT&amp;D)</v>
    <v>235611</v>
    <v>687400</v>
    <v>1957</v>
  </rv>
  <rv s="2">
    <v>895</v>
  </rv>
  <rv s="0">
    <v>https://www.bing.com/financeapi/forcetrigger?t=ahhwkr&amp;q=XNSE%3aGMRINFRA&amp;form=skydnc</v>
    <v>Learn more on Bing</v>
  </rv>
  <rv s="1">
    <v>en-US</v>
    <v>ahhwkr</v>
    <v>268435456</v>
    <v>1</v>
    <v>Powered by Refinitiv</v>
    <v>0</v>
    <v>GMR AIRPORTS LIMITED (XNSE:GMRAIRPORT)</v>
    <v>2</v>
    <v>3</v>
    <v>Finance</v>
    <v>4</v>
    <v>110.36</v>
    <v>67.75</v>
    <v>1.6903999999999999</v>
    <v>-0.63</v>
    <v>-6.1119999999999994E-3</v>
    <v>INR</v>
    <v>GMR Airports Limited provides a global airport platform. It is engaged in designing, constructing, and operating world-class sustainable airports. Under the brand name GMR AERO, it offers pioneering aviation solutions in retail, aero services, and real estate. It also provides a range of aero services including Duty Free, Retail, F&amp;B, Cargo, Car Parking, O&amp;M, and PMC services. Through its Aerotropolis concept, it develops cutting-edge airport cities giving shape to real estate developments in South Asia. It operates third-party maintenance, repair, and overhaul facilities through its subsidiaries, GMR Air Cargo and Aerospace Engineering Limited, ensuring operation across the Asia Pacific region. Its airports include Delhi International Airport, India; Hyderabad International Airport, India; Goa International Airport, India; Visakhapatnam International Airport, India; Bidar Airport, India; Mactan Cebu International Airport, Philippines; Crete International Airport, Greece; and others.</v>
    <v>508</v>
    <v>National Stock Exchange of India</v>
    <v>XNSE</v>
    <v>XNSE</v>
    <v>New Udaan Bhawan, Opp - Terminal - 3, Indira Gandhi International Airport, NEW DELHI, DELHI, 110037 IN</v>
    <v>104.25</v>
    <v>Transport Infrastructure</v>
    <v>Stock</v>
    <v>46017.492881944447</v>
    <v>897</v>
    <v>102.12</v>
    <v>1088419000000</v>
    <v>GMR AIRPORTS LIMITED</v>
    <v>GMR AIRPORTS LIMITED</v>
    <v>103.1</v>
    <v>0</v>
    <v>103.08</v>
    <v>102.45</v>
    <v>10558980000</v>
    <v>GMRAIRPORT</v>
    <v>GMR AIRPORTS LIMITED (XNSE:GMRAIRPORT)</v>
    <v>7845932</v>
    <v>22535050</v>
    <v>1996</v>
  </rv>
  <rv s="2">
    <v>898</v>
  </rv>
  <rv s="0">
    <v>https://www.bing.com/financeapi/forcetrigger?t=bmzvec&amp;q=XNSE%3aGRSE&amp;form=skydnc</v>
    <v>Learn more on Bing</v>
  </rv>
  <rv s="1">
    <v>en-US</v>
    <v>bmzvec</v>
    <v>268435456</v>
    <v>1</v>
    <v>Powered by Refinitiv</v>
    <v>0</v>
    <v>GARDEN REACH SHIPBUILDERS &amp; ENGINEERS LIMITED (XNSE:GRSE)</v>
    <v>2</v>
    <v>3</v>
    <v>Finance</v>
    <v>4</v>
    <v>3538.4</v>
    <v>1184.9000000000001</v>
    <v>1.7383</v>
    <v>42.4</v>
    <v>1.7278999999999999E-2</v>
    <v>INR</v>
    <v>Garden Reach Shipbuilders &amp; Engineers Ltd. is an India-based warship building company. The Company is under the administrative control of the Ministry of Defense, primarily catering to the shipbuilding requirements of the Indian Navy and the Indian Coast Guard. The Company's divisions include ship division, engineering division and engine division. It has built over 800 platforms, including 114 warships for Indian Navy, Indian Coast Guard and Govt. of Mauritius and Govt. of Seychelles. It has designed and built warships, such as frigates, anti-submarine warfare corvettes, fleet tanker and landing ship tank (large), among others. Its engineering product includes prefabricated steel bridges of various ranges and types, and various deck machinery items such as anchor capstans, boat davits, and others. The Company is also engaged in engineering activities. It is involved in assembly/testing/overhauling of marine diesel engines and the manufacture of naval surface guns.</v>
    <v>1690</v>
    <v>National Stock Exchange of India</v>
    <v>XNSE</v>
    <v>XNSE</v>
    <v>GRSE Bhavan, 61, Garden Reach Road, KOLKATA, WEST BENGAL, 700024 IN</v>
    <v>2529.5</v>
    <v>Aerospace &amp; Defense</v>
    <v>Stock</v>
    <v>46017.492881944447</v>
    <v>900</v>
    <v>2448</v>
    <v>285944700000</v>
    <v>GARDEN REACH SHIPBUILDERS &amp; ENGINEERS LIMITED</v>
    <v>GARDEN REACH SHIPBUILDERS &amp; ENGINEERS LIMITED</v>
    <v>2456.9</v>
    <v>45.6</v>
    <v>2453.8000000000002</v>
    <v>2496.1999999999998</v>
    <v>114552000</v>
    <v>GRSE</v>
    <v>GARDEN REACH SHIPBUILDERS &amp; ENGINEERS LIMITED (XNSE:GRSE)</v>
    <v>1381625</v>
    <v>1248160</v>
    <v>1934</v>
  </rv>
  <rv s="2">
    <v>901</v>
  </rv>
  <rv s="0">
    <v>https://www.bing.com/financeapi/forcetrigger?t=ahhv77&amp;q=XNSE%3aGICRE&amp;form=skydnc</v>
    <v>Learn more on Bing</v>
  </rv>
  <rv s="1">
    <v>en-US</v>
    <v>ahhv77</v>
    <v>268435456</v>
    <v>1</v>
    <v>Powered by Refinitiv</v>
    <v>0</v>
    <v>GENERAL INSURANCE CORPORATION OF INDIA (XNSE:GICRE)</v>
    <v>2</v>
    <v>3</v>
    <v>Finance</v>
    <v>4</v>
    <v>518.79999999999995</v>
    <v>351</v>
    <v>0.70320000000000005</v>
    <v>-1.2</v>
    <v>-3.2209999999999999E-3</v>
    <v>INR</v>
    <v>General Insurance Corporation of India is an India-based global reinsurance solutions provider. The Company's segments include Fire, Miscellaneous, Marine and Life. The Miscellaneous segment includes Motor, Aviation, Engineering, Workmen Compensation, Liability. Personal Accident, Health, Agriculture, Other Misc. and FLCredit. Marine segment includes Marine Cargo and Marine Hull. In the domestic market, it provides reinsurance to the direct general insurance companies in the Indian market. The Company has started leading the reinsurance programs of several insurance companies in SAARC countries, Southeast Asia, Middle East and Africa. It offers various property reinsurance, such as facultative, treaty, proportional treaty, non-proportional treaty. Its international aviation reinsurance includes airlines, general aviation int (other than SAARC), general aviation SAARC, treaty- proportional and treaty- nonproportional. It also underwrites agriculture/weather insurance (foreign).</v>
    <v>401</v>
    <v>National Stock Exchange of India</v>
    <v>XNSE</v>
    <v>XNSE</v>
    <v>Suraksha, 170, Jamshedji Tata Road, Churchgate,, MUMBAI, MAHARASHTRA, 400020 IN</v>
    <v>379.15</v>
    <v>Insurance</v>
    <v>Stock</v>
    <v>46017.492881944447</v>
    <v>903</v>
    <v>369.8</v>
    <v>653514000000</v>
    <v>GENERAL INSURANCE CORPORATION OF INDIA</v>
    <v>GENERAL INSURANCE CORPORATION OF INDIA</v>
    <v>375.05</v>
    <v>6.82</v>
    <v>372.5</v>
    <v>371.3</v>
    <v>1754400000</v>
    <v>GICRE</v>
    <v>GENERAL INSURANCE CORPORATION OF INDIA (XNSE:GICRE)</v>
    <v>499144</v>
    <v>478370</v>
    <v>1972</v>
  </rv>
  <rv s="2">
    <v>904</v>
  </rv>
  <rv s="0">
    <v>https://www.bing.com/financeapi/forcetrigger?t=ahhvcw&amp;q=XNSE%3aGILLETTE&amp;form=skydnc</v>
    <v>Learn more on Bing</v>
  </rv>
  <rv s="1">
    <v>en-US</v>
    <v>ahhvcw</v>
    <v>268435456</v>
    <v>1</v>
    <v>Powered by Refinitiv</v>
    <v>0</v>
    <v>GILLETTE INDIA LIMITED (XNSE:GILLETTE)</v>
    <v>2</v>
    <v>3</v>
    <v>Finance</v>
    <v>4</v>
    <v>11500</v>
    <v>7411.65</v>
    <v>0.28139999999999998</v>
    <v>178.5</v>
    <v>2.1536E-2</v>
    <v>INR</v>
    <v>Gillette India Limited is an India-based company, which is engaged in manufacturing and selling of branded packaged fast moving consumer goods in the grooming and oral care businesses. The Company’s segment includes grooming segment, which produces and sells shaving system and cartridges, blades, toiletries, and components; and oral care segment, which produces and sells toothbrushes and oral care products. Its product portfolio includes razors, blades, styler and shaving gel, shaving cream, and aftershave. Its razors include GilletteLabs Razor with FlexDisc Technology, Gillette Body Razor, Gillette Vector Razor, Gillette Presto Disposable Razor, and others. Its Gillette Razor Blades include GilletteLabs Razor Blades, 7 O'Clock Super Platinum Blades, Wilkinson Razor Blades, Gillette MACH3 Sensitive Razor Blades, 365 Stainless Double Edge Blades, and others. Its brands include GilletteLabs, SkinGuard Sensitive, Fusion5, MACH3, Disposable Razor, Guard3, and Styler.</v>
    <v>513</v>
    <v>National Stock Exchange of India</v>
    <v>XNSE</v>
    <v>XNSE</v>
    <v>P&amp;G Plaza, Cardinal Gracias Road, Chakala, Andheri (East), MUMBAI, MAHARASHTRA, 400099 IN</v>
    <v>8499</v>
    <v>Personal &amp; Household Products &amp; Services</v>
    <v>Stock</v>
    <v>46017.492881944447</v>
    <v>906</v>
    <v>8229.5</v>
    <v>270082600000</v>
    <v>GILLETTE INDIA LIMITED</v>
    <v>GILLETTE INDIA LIMITED</v>
    <v>8280</v>
    <v>47.06</v>
    <v>8288.5</v>
    <v>8467</v>
    <v>32585220</v>
    <v>GILLETTE</v>
    <v>GILLETTE INDIA LIMITED (XNSE:GILLETTE)</v>
    <v>62921</v>
    <v>27760</v>
    <v>1984</v>
  </rv>
  <rv s="2">
    <v>907</v>
  </rv>
  <rv s="0">
    <v>https://www.bing.com/financeapi/forcetrigger?t=bwv5yc&amp;q=XNSE%3aGLAND&amp;form=skydnc</v>
    <v>Learn more on Bing</v>
  </rv>
  <rv s="1">
    <v>en-US</v>
    <v>bwv5yc</v>
    <v>268435456</v>
    <v>1</v>
    <v>Powered by Refinitiv</v>
    <v>0</v>
    <v>GLAND PHARMA LTD (XNSE:GLAND)</v>
    <v>2</v>
    <v>3</v>
    <v>Finance</v>
    <v>4</v>
    <v>2131</v>
    <v>1277.8</v>
    <v>0.49220000000000003</v>
    <v>3.5</v>
    <v>2.1210000000000001E-3</v>
    <v>INR</v>
    <v>Gland Pharma Limited is an India-based generic injectables manufacturer. The Company specializes in sterile injectables, oncology, and ophthalmic, with a specific focus on complex injectables, New Chemical Entities (NCE)-1s, First-to-File products, and 505(b)(2) filings. The Company manufactures a range of dosage formulations, including solutions, suspensions, and lyophilized products. Its product portfolio includes delivery methods such as pre-filled syringes, vials, ampoules, bags, and dry powder injections. It also produces generic injectables in liquid, lyophilized, suspension, and pre-filled syringe forms. Its molecules include Enoxaparin Sodium, Cisplatin, Lacosamide, Rocuronium Bromide, Zoledronic Acid, Vancomycin, and others. Its therapeutic products categories include Anti Malarials, Anti-Infectives, Anti-Neoplastics, Gynecological, Hormones, and others. The Company functions primarily on a business-to-business model. Its subsidiary is Gland Pharma International Pte. Ltd.</v>
    <v>4351</v>
    <v>National Stock Exchange of India</v>
    <v>XNSE</v>
    <v>XNSE</v>
    <v>Survey No. 143-148, 150 &amp; 151, Near Gandimaisamma 'X' Roads, D.P. Pally, Dundigal Gandimaisamma Mandal Medchal-Malkajgiri District, HYDERABAD, TELANGANA, 500043 IN</v>
    <v>1668.5</v>
    <v>Pharmaceuticals</v>
    <v>Stock</v>
    <v>46017.492881944447</v>
    <v>909</v>
    <v>1634</v>
    <v>272424800000</v>
    <v>GLAND PHARMA LTD</v>
    <v>GLAND PHARMA LTD</v>
    <v>1650</v>
    <v>34.4</v>
    <v>1650</v>
    <v>1653.5</v>
    <v>164756400</v>
    <v>GLAND</v>
    <v>GLAND PHARMA LTD (XNSE:GLAND)</v>
    <v>289041</v>
    <v>74850</v>
    <v>1978</v>
  </rv>
  <rv s="2">
    <v>910</v>
  </rv>
  <rv s="0">
    <v>https://www.bing.com/financeapi/forcetrigger?t=ahhvu2&amp;q=XNSE%3aGLAXO&amp;form=skydnc</v>
    <v>Learn more on Bing</v>
  </rv>
  <rv s="1">
    <v>en-US</v>
    <v>ahhvu2</v>
    <v>268435456</v>
    <v>1</v>
    <v>Powered by Refinitiv</v>
    <v>0</v>
    <v>GLAXOSMITHKLINE PHARMACEUTICALS LIMITED (XNSE:GLAXO)</v>
    <v>2</v>
    <v>3</v>
    <v>Finance</v>
    <v>4</v>
    <v>3515.7</v>
    <v>1921</v>
    <v>0.2913</v>
    <v>-22.6</v>
    <v>-9.0880000000000006E-3</v>
    <v>INR</v>
    <v>GlaxoSmithKline Pharmaceuticals Limited is an India-based global healthcare company. The Company is engaged in the business of manufacturing, distributing and trading in pharmaceuticals. The Company has three product areas: vaccines, specialty and general medicine. Its general medicines business has a portfolio of medicines in anti-infectives, pain, vitamins medicine, nutritional, hormones, dermatologicals, respiratory and vaccines for adults and children. The Company's general medicine brands include Augmentin, Calpol, Ceftum, Eltroxin, CCM, Neosporin, Betnovate, Tenovate, T-bact and Physiogel. The Company's vaccine brands include Shingrix Herpes Zoster Vaccine, Infanrix Hexa, Synflorix, Boostrix, Havrix, Menveo, Fluarix Tetra and Varilrix. Its specialty medicine brands include Nucala, Seretide, and Trelegy Ellipta. Trelegy Ellipta, single inhaler triple therapy (SITT) for chronic obstructive pulmonary disease (COPD) patients. The Subsidiary of the Company is Biddle Sawyer Limited.</v>
    <v>3113</v>
    <v>National Stock Exchange of India</v>
    <v>XNSE</v>
    <v>XNSE</v>
    <v>Dr Annie Besant Road, Worli, MUMBAI, MAHARASHTRA, 400030 IN</v>
    <v>2488.8000000000002</v>
    <v>Pharmaceuticals</v>
    <v>Stock</v>
    <v>46017.492881944447</v>
    <v>912</v>
    <v>2459.5</v>
    <v>417467300000</v>
    <v>GLAXOSMITHKLINE PHARMACEUTICALS LIMITED</v>
    <v>GLAXOSMITHKLINE PHARMACEUTICALS LIMITED</v>
    <v>2488</v>
    <v>44.11</v>
    <v>2486.9</v>
    <v>2464.3000000000002</v>
    <v>169406000</v>
    <v>GLAXO</v>
    <v>GLAXOSMITHKLINE PHARMACEUTICALS LIMITED (XNSE:GLAXO)</v>
    <v>32764</v>
    <v>71820</v>
    <v>1924</v>
  </rv>
  <rv s="2">
    <v>913</v>
  </rv>
  <rv s="0">
    <v>https://www.bing.com/financeapi/forcetrigger?t=ahhvww&amp;q=XNSE%3aGLENMARK&amp;form=skydnc</v>
    <v>Learn more on Bing</v>
  </rv>
  <rv s="1">
    <v>en-US</v>
    <v>ahhvww</v>
    <v>268435456</v>
    <v>1</v>
    <v>Powered by Refinitiv</v>
    <v>0</v>
    <v>GLENMARK PHARMACEUTICALS LIMITED (XNSE:GLENMARK)</v>
    <v>2</v>
    <v>3</v>
    <v>Finance</v>
    <v>4</v>
    <v>2284.8000000000002</v>
    <v>1275.5</v>
    <v>0.48880000000000001</v>
    <v>-9.5</v>
    <v>-4.7029999999999997E-3</v>
    <v>INR</v>
    <v>Glenmark Pharmaceuticals Limited is an India-based, research-led, global pharmaceutical company. The Company hosts a diverse portfolio spanning branded, generics, and over-the-counter (OTC) segments. The Company is focused on the therapy areas of Respiratory, Dermatology and Oncology. The Company also has a regional/country-specific presence in other therapeutic areas like diabetes, cardiovascular and oral contraceptives. The Company’s offerings include complex injectables and biologics, oral solids, liquids, topical products, respiratory mdi1/dpi2/nasal sprays. It is focused on developing products for markets such as India, Russia &amp; CIS, Brazil, Asia and Africa. Its brands include RYALTRIS and SALMEX / ASTHMEX. RYALTRIS, the Company's first global branded specialty drug for treating symptoms of seasonal allergic rhinitis. The Company's subsidiaries include Glenmark Pharmaceuticals Inc., Ichnos Sciences Inc., and Glenmark Holding SA.</v>
    <v>13477</v>
    <v>National Stock Exchange of India</v>
    <v>XNSE</v>
    <v>XNSE</v>
    <v>Glenmark House, HDO Corporate Building, Wing - A, B. D. Sawant Marg, Chakala, Off Western Express Highway, Andheri - E, MUMBAI, MAHARASHTRA, 400099 IN</v>
    <v>2025.9</v>
    <v>Pharmaceuticals</v>
    <v>Stock</v>
    <v>46017.492881944447</v>
    <v>915</v>
    <v>2004.3</v>
    <v>570073900000</v>
    <v>GLENMARK PHARMACEUTICALS LIMITED</v>
    <v>GLENMARK PHARMACEUTICALS LIMITED</v>
    <v>2018</v>
    <v>56.46</v>
    <v>2020.1</v>
    <v>2010.6</v>
    <v>282200800</v>
    <v>GLENMARK</v>
    <v>GLENMARK PHARMACEUTICALS LIMITED (XNSE:GLENMARK)</v>
    <v>206579</v>
    <v>540160</v>
    <v>1977</v>
  </rv>
  <rv s="2">
    <v>916</v>
  </rv>
  <rv s="10">
    <v>en-US</v>
    <v>c839hw</v>
    <v>268435456</v>
    <v>1</v>
    <v>Powered by Refinitiv</v>
    <v>18</v>
    <v>GLOBAL HEALTH LIMITED (XNSE:MEDANTA)</v>
    <v>6</v>
    <v>3</v>
    <v>Finance</v>
    <v>4</v>
    <v>1456.5</v>
    <v>996.45</v>
    <v>0.628</v>
    <v>-16.2</v>
    <v>-1.3600000000000001E-2</v>
    <v>INR</v>
    <v>Global Health Limited (Medanta) is an India-based multi-specialty tertiary care provider in the North and East regions of India. Medanta delivers advanced, end-to-end healthcare in Delhi, Gurugram, Indore, Ranchi, Patna, and Lucknow through its network of approximately five hospitals. Medanta provides healthcare services in over 30 medical specialties and engages over 1,800 doctors. Its specialty treatments are in cardiac care, cancer care, neurosciences, orthopedics, renal care, liver transplants, oncology, bone marrow transplant, obstetrics and gynecology, chest surgery, lung transplant, pediatric care, ENT, head and neck surgery, and others. Its facilities and services include medicine delivery, lab tests &amp; diagnostics, homecare services, health checkups, elder care, air ambulance, among others. Its subsidiaries include Global Health Patliputra Private Limited, Medanta Holdings Private Limited, and GHL Pharma &amp; Diagnostic Private Limited.</v>
    <v>10260</v>
    <v>National Stock Exchange of India</v>
    <v>XNSE</v>
    <v>XNSE</v>
    <v>Medanta-The Medicity, Sector-38, GURGAON, HARYANA, 122001 IN</v>
    <v>1197.9000000000001</v>
    <v>Healthcare Providers &amp; Services</v>
    <v>Stock</v>
    <v>46017.492893518516</v>
    <v>1169.3</v>
    <v>320000900000</v>
    <v>GLOBAL HEALTH LIMITED</v>
    <v>GLOBAL HEALTH LIMITED</v>
    <v>1197</v>
    <v>56.188400000000001</v>
    <v>1191.2</v>
    <v>1175</v>
    <v>268637400</v>
    <v>MEDANTA</v>
    <v>GLOBAL HEALTH LIMITED (XNSE:MEDANTA)</v>
    <v>90111</v>
    <v>143040</v>
    <v>2004</v>
  </rv>
  <rv s="2">
    <v>918</v>
  </rv>
  <rv s="10">
    <v>en-US</v>
    <v>cdaqlh</v>
    <v>268435456</v>
    <v>1</v>
    <v>Powered by Refinitiv</v>
    <v>18</v>
    <v>GO DIGIT GENERAL INSURANCE LIMITED (XNSE:GODIGIT)</v>
    <v>6</v>
    <v>3</v>
    <v>Finance</v>
    <v>4</v>
    <v>381.4</v>
    <v>264.60000000000002</v>
    <v>0.57899999999999996</v>
    <v>-2</v>
    <v>-5.7499999999999999E-3</v>
    <v>INR</v>
    <v>Go Digit General Insurance Limited is an India-based general insurance company. The Company is engaged in property and casualty insurance and reinsurance and the associated investment management. The Company’s segments include Fire; Marine; Health Including Personal Accident, Health Retail, Health Group/Corporate, and Health Government Business; Motor; Miscellaneous, such as Miscellaneous Retail and Miscellaneous Group, Corporate, and Crop Insurance. Its products include car insurance, bike insurance, travel insurance, health insurance, property insurance, shop insurance, group health insurance, Arogya Sanjeevani policy, commercial vehicle insurance, super top-up health insurance, and health insurance for disabled and HIV/AIDS patients. The Arogya Sanjeevani Health Insurance is a standard health insurance plan that covers you for healthcare expenses with a sum insured ranging from three lakhs to up to two crores. This coverage includes pre-and post-hospitalization expenses.</v>
    <v>4534</v>
    <v>National Stock Exchange of India</v>
    <v>XNSE</v>
    <v>XNSE</v>
    <v>Koramangala Industrial Layout, 5th Block, 4th B Cross Road, Atlantis, 95, BANGALORE, KARNATAKA, 560095 IN</v>
    <v>350.5</v>
    <v>Insurance</v>
    <v>Stock</v>
    <v>46017.492881944447</v>
    <v>341.2</v>
    <v>321192900000</v>
    <v>GO DIGIT GENERAL INSURANCE LIMITED</v>
    <v>GO DIGIT GENERAL INSURANCE LIMITED</v>
    <v>346</v>
    <v>65.540000000000006</v>
    <v>347.85</v>
    <v>345.85</v>
    <v>923366100</v>
    <v>GODIGIT</v>
    <v>GO DIGIT GENERAL INSURANCE LIMITED (XNSE:GODIGIT)</v>
    <v>125113</v>
    <v>287960</v>
    <v>2016</v>
  </rv>
  <rv s="2">
    <v>920</v>
  </rv>
  <rv s="0">
    <v>https://www.bing.com/financeapi/forcetrigger?t=ahhydm&amp;q=XNSE%3aGPIL&amp;form=skydnc</v>
    <v>Learn more on Bing</v>
  </rv>
  <rv s="1">
    <v>en-US</v>
    <v>ahhydm</v>
    <v>268435456</v>
    <v>1</v>
    <v>Powered by Refinitiv</v>
    <v>0</v>
    <v>GODAWARI POWER AND ISPAT LIMITED (XNSE:GPIL)</v>
    <v>2</v>
    <v>3</v>
    <v>Finance</v>
    <v>4</v>
    <v>290</v>
    <v>145.75</v>
    <v>0.93579999999999997</v>
    <v>0.01</v>
    <v>3.96E-5</v>
    <v>INR</v>
    <v>Godawari Power and Ispat Limited is an India-based integrated secondary steel manufacturer. The Company’s primary business segment is Iron &amp; Steel Products. The Company is engaged in the business of mining of captive iron ore and manufacturing the iron ore pellets, sponge iron, steel billets, wire rods, HB Wires, ferro alloys &amp; galvanized steel structures with generation of both conventional and non-conventional power for captive consumption. Its manufacturing facility is located at the heart of industrial Chhattisgarh at Raipur. Its associate pellet plant in Orissa is also located at a rich belt of Iron Ore in Keonjhor district. Its subsidiaries include Hira Ferro Alloys Limited, which is engaged in the manufacture of ferro alloys with captive power generation and operates IPP power plant (Biomass &amp; Windmill), and Alok Ferro Alloys Limited, which is engaged in the manufacture of ferro alloys with captive power generation. Its business also includes recycling of non-ferrous metals.</v>
    <v>3708</v>
    <v>National Stock Exchange of India</v>
    <v>XNSE</v>
    <v>XNSE</v>
    <v>First Floor, Hira Arcade, Near New Bus Stand, Pandri,, RAIPUR, CHHATTISGARH, 492004 IN</v>
    <v>256</v>
    <v>Metals &amp; Mining</v>
    <v>Stock</v>
    <v>46017.492881944447</v>
    <v>922</v>
    <v>250</v>
    <v>169123300000</v>
    <v>GODAWARI POWER AND ISPAT LIMITED</v>
    <v>GODAWARI POWER AND ISPAT LIMITED</v>
    <v>252.5</v>
    <v>20.83</v>
    <v>252.5</v>
    <v>252.51</v>
    <v>669795400</v>
    <v>GPIL</v>
    <v>GODAWARI POWER AND ISPAT LIMITED (XNSE:GPIL)</v>
    <v>1724089</v>
    <v>1921040</v>
    <v>1999</v>
  </rv>
  <rv s="2">
    <v>923</v>
  </rv>
  <rv s="0">
    <v>https://www.bing.com/financeapi/forcetrigger?t=ahhwz2&amp;q=XNSE%3aGODFRYPHLP&amp;form=skydnc</v>
    <v>Learn more on Bing</v>
  </rv>
  <rv s="1">
    <v>en-US</v>
    <v>ahhwz2</v>
    <v>268435456</v>
    <v>1</v>
    <v>Powered by Refinitiv</v>
    <v>0</v>
    <v>GODFREY PHILLIPS INDIA LIMITED (XNSE:GODFRYPHLP)</v>
    <v>2</v>
    <v>3</v>
    <v>Finance</v>
    <v>4</v>
    <v>3947</v>
    <v>1370.82</v>
    <v>0.53249999999999997</v>
    <v>14.6</v>
    <v>5.1939999999999998E-3</v>
    <v>INR</v>
    <v>Godfrey Phillips India Limited is an India-based fast moving consumer goods (FMCG) company. The principal activities of the Company are manufacturing of cigarettes and tobacco products, trading of cigarettes, tobacco products, and other retail products, acquisition of securities and real estate development. It is also engaged in the confectionery business and the trading of unmanufactured tobacco. Its segments include cigarette, tobacco and related products, retail and related products, and others. Its cigarette brands include Four Square, Red and White, Cavanders, Stellar, Focus, Originals International, and others. The Company also manufactures and distributes the brand, Marlboro, under a license agreement with Philip Morris. Its retail outlet, 24Seven, is around the clock convenience store format, with approximately 150 stores/kiosks spread across Delhi NCR, Punjab and Telangana. Its business to business (B2B) customers include wholesalers, retailers, and other distributors.</v>
    <v>1077</v>
    <v>National Stock Exchange of India</v>
    <v>XNSE</v>
    <v>XNSE</v>
    <v>Omaxe Square, Plot No.14, Jasola District Centre,, Jasola, NEW DELHI, DELHI, 110025 IN</v>
    <v>2853.9</v>
    <v>Food &amp; Tobacco</v>
    <v>Stock</v>
    <v>46017.492881944447</v>
    <v>925</v>
    <v>2801.1</v>
    <v>438433500000</v>
    <v>GODFREY PHILLIPS INDIA LIMITED</v>
    <v>GODFREY PHILLIPS INDIA LIMITED</v>
    <v>2813.5</v>
    <v>30.38</v>
    <v>2810.8</v>
    <v>2825.4</v>
    <v>155981800</v>
    <v>GODFRYPHLP</v>
    <v>GODFREY PHILLIPS INDIA LIMITED (XNSE:GODFRYPHLP)</v>
    <v>110122</v>
    <v>168450</v>
    <v>1936</v>
  </rv>
  <rv s="2">
    <v>926</v>
  </rv>
  <rv s="0">
    <v>https://www.bing.com/financeapi/forcetrigger?t=ahhx2w&amp;q=XNSE%3aGODREJAGRO&amp;form=skydnc</v>
    <v>Learn more on Bing</v>
  </rv>
  <rv s="1">
    <v>en-US</v>
    <v>ahhx2w</v>
    <v>268435456</v>
    <v>1</v>
    <v>Powered by Refinitiv</v>
    <v>0</v>
    <v>GODREJ AGROVET LIMITED (XNSE:GODREJAGRO)</v>
    <v>2</v>
    <v>3</v>
    <v>Finance</v>
    <v>4</v>
    <v>876.35</v>
    <v>560</v>
    <v>0.66139999999999999</v>
    <v>-0.5</v>
    <v>-8.8400000000000002E-4</v>
    <v>INR</v>
    <v>Godrej Agrovet Limited is an India-based food and agriculture conglomerate. The Company is engaged in the manufacturing and marketing of animal feed, crop protection and agricultural inputs, palm oil, and allied products. Its segments include Animal Feed, Vegetable Oil, Crop Protection, Dairy, Poultry and Processed Food, and Others. The Animal Feed business offers products, including cattle feed, poultry feed, aqua feed, and specialty feed. The Vegetable Oil business is engaged in the manufacture and marketing of vegetable oil. The Crop Protection business engaged in production of plant growth regulators, organic manures, biostimulants, and crop protection chemicals. The Dairy business is involved in milk procurement, processing, and the production of milk products. The Poultry and Processed Food business manufactures processed poultry and vegetarian products. The Others segment includes real estate, seed business, energy generation through windmills, and cattle breeding operations.</v>
    <v>2693</v>
    <v>National Stock Exchange of India</v>
    <v>XNSE</v>
    <v>XNSE</v>
    <v>Godrej One, 3rd Floor, Pirojshanagar, Eastern Express Highway,Vikhroli (East), MUMBAI, MAHARASHTRA, 400079 IN</v>
    <v>567.6</v>
    <v>Food &amp; Tobacco</v>
    <v>Stock</v>
    <v>46017.492881944447</v>
    <v>928</v>
    <v>562</v>
    <v>108781300000</v>
    <v>GODREJ AGROVET LIMITED</v>
    <v>GODREJ AGROVET LIMITED</v>
    <v>565.9</v>
    <v>24.98</v>
    <v>565.6</v>
    <v>565.1</v>
    <v>192329000</v>
    <v>GODREJAGRO</v>
    <v>GODREJ AGROVET LIMITED (XNSE:GODREJAGRO)</v>
    <v>75733</v>
    <v>98980</v>
    <v>1991</v>
  </rv>
  <rv s="2">
    <v>929</v>
  </rv>
  <rv s="0">
    <v>http://en.wikipedia.org/wiki/Godrej_Industries_Ltd</v>
    <v>Wikipedia</v>
  </rv>
  <rv s="4">
    <v>153</v>
    <v>931</v>
  </rv>
  <rv s="5">
    <v>12</v>
    <v>https://www.bing.com/th?id=AMMS_e525c969987dbf262d221e1870f54033&amp;qlt=95</v>
    <v>932</v>
    <v>0</v>
    <v>https://www.bing.com/images/search?form=xlimg&amp;q=godrej+industries+ltd</v>
    <v>Image of GODREJ INDUSTRIES LIMITED</v>
  </rv>
  <rv s="0">
    <v>https://www.bing.com/financeapi/forcetrigger?t=ahhx8m&amp;q=XNSE%3aGODREJIND&amp;form=skydnc</v>
    <v>Learn more on Bing</v>
  </rv>
  <rv s="6">
    <v>en-US</v>
    <v>ahhx8m</v>
    <v>268435456</v>
    <v>1</v>
    <v>Powered by Refinitiv</v>
    <v>8</v>
    <v>GODREJ INDUSTRIES LIMITED (XNSE:GODREJIND)</v>
    <v>10</v>
    <v>11</v>
    <v>Finance</v>
    <v>4</v>
    <v>1390</v>
    <v>766</v>
    <v>0.5474</v>
    <v>2.4</v>
    <v>2.3909999999999999E-3</v>
    <v>INR</v>
    <v>Godrej Industries Limited is a holding company. The Company's segments include Chemicals, Animal Feeds, Veg Oils, Estate and Property Development, Finance and Investments, Dairy, Crop Protection, Hospitality, and Others. Chemicals segment includes the business of production and sale of oleochemicals and surfactants, such as, fatty alcohols, esters and waxes, refined glycerin, sodium lauryl sulphate and sodium lauryl ether sulphate. Animal Feed segment includes the business of production and sale of compound feeds for cattle, poultry, shrimp and fish. Veg Oils segment includes the business of processing and bulk trading of refined vegetable oils and vanaspati, international vegetable oil trading and oil palm plantation. Estate and property development segment includes the business of development and sale of real estate and leasing and leave and licensing of properties. Finance and Investments includes financial services and investments in associates companies and other investments.</v>
    <v>1148</v>
    <v>National Stock Exchange of India</v>
    <v>XNSE</v>
    <v>XNSE</v>
    <v>Godrej One, Pirojshanagar, Eastern Express Highway, Vikhroli (East),, MUMBAI, MAHARASHTRA, 400079 IN</v>
    <v>1012.4</v>
    <v>933</v>
    <v>Consumer Goods Conglomerates</v>
    <v>Stock</v>
    <v>46017.492881944447</v>
    <v>934</v>
    <v>997</v>
    <v>338084700000</v>
    <v>GODREJ INDUSTRIES LIMITED</v>
    <v>GODREJ INDUSTRIES LIMITED</v>
    <v>1000.9</v>
    <v>35.1877</v>
    <v>1003.8</v>
    <v>1006.2</v>
    <v>336804800</v>
    <v>GODREJIND</v>
    <v>GODREJ INDUSTRIES LIMITED (XNSE:GODREJIND)</v>
    <v>40163</v>
    <v>64990</v>
    <v>1988</v>
  </rv>
  <rv s="2">
    <v>935</v>
  </rv>
  <rv s="0">
    <v>https://www.bing.com/financeapi/forcetrigger?t=ahhxbh&amp;q=XNSE%3aGODREJPROP&amp;form=skydnc</v>
    <v>Learn more on Bing</v>
  </rv>
  <rv s="1">
    <v>en-US</v>
    <v>ahhxbh</v>
    <v>268435456</v>
    <v>1</v>
    <v>Powered by Refinitiv</v>
    <v>0</v>
    <v>GODREJ PROPERTIES LIMITED (XNSE:GODREJPROP)</v>
    <v>2</v>
    <v>3</v>
    <v>Finance</v>
    <v>4</v>
    <v>2917.05</v>
    <v>1900</v>
    <v>2.0286</v>
    <v>-3.5</v>
    <v>-1.7449999999999998E-3</v>
    <v>INR</v>
    <v>Godrej Properties Limited is an India-based company, which is engaged in the business of real estate construction, development and other related activities. The Company operates through the Godrej brand. Its segments include Hospitality and Real Estate. It is engaged in residential and commercial property development. The Company’s land parcels are primarily located in four real estate markets in India: Mumbai Metropolitan Region (MMR), Pune, Bengaluru and the National Capital Region. Its projects include Godrej River Crest; Godrej Hillview Estate; Godrej Bayview; Godrej Gold County; Gale at Godrej Park World; Godrej Jardinia; Godrej Zenith; Godrej Vihaa; Godrej Avenue; Godrej Vrikshya; Godrej Jardinia Eleven; Godrej Woodland; Godrej Nest, and others. The Company is developing projects in approximately 12 cities across India, covering over 18.58 million square meters.</v>
    <v>4199</v>
    <v>National Stock Exchange of India</v>
    <v>XNSE</v>
    <v>XNSE</v>
    <v>Unit No. 5C, 5th Floor,, Godrej One, Pirojshanagar Vikhroli East, MUMBAI, MAHARASHTRA, 400079 IN</v>
    <v>2019.4</v>
    <v>Real Estate Operations</v>
    <v>Stock</v>
    <v>46017.492881944447</v>
    <v>937</v>
    <v>1995</v>
    <v>603195800000</v>
    <v>GODREJ PROPERTIES LIMITED</v>
    <v>GODREJ PROPERTIES LIMITED</v>
    <v>2006</v>
    <v>38.75</v>
    <v>2006.1</v>
    <v>2002.6</v>
    <v>301206300</v>
    <v>GODREJPROP</v>
    <v>GODREJ PROPERTIES LIMITED (XNSE:GODREJPROP)</v>
    <v>375373</v>
    <v>365010</v>
    <v>1985</v>
  </rv>
  <rv s="2">
    <v>938</v>
  </rv>
  <rv s="0">
    <v>https://www.bing.com/financeapi/forcetrigger?t=ahhym7&amp;q=XNSE%3aGRANULES&amp;form=skydnc</v>
    <v>Learn more on Bing</v>
  </rv>
  <rv s="1">
    <v>en-US</v>
    <v>ahhym7</v>
    <v>268435456</v>
    <v>1</v>
    <v>Powered by Refinitiv</v>
    <v>0</v>
    <v>GRANULES INDIA LIMITED (XNSE:GRANULES)</v>
    <v>2</v>
    <v>3</v>
    <v>Finance</v>
    <v>4</v>
    <v>624.70000000000005</v>
    <v>422</v>
    <v>0.67710000000000004</v>
    <v>4.95</v>
    <v>8.0829999999999999E-3</v>
    <v>INR</v>
    <v>Granules India Limited is an India-based pharmaceutical manufacturing company. The Company operates through its pharmaceutical products segment. Its geographical segments include within India and outside India. The Company has a presence across the pharmaceutical manufacturing value chain, including active pharmaceutical ingredients (APIs), pharmaceutical formulation intermediaries (PFIs) and finished dosages (FDs). It produces and supplies Paracetamol, Metformin, Guaifenesin, and Methocarbamol APIs. It has over 10 manufacturing facilities, approximately eight of which are located in India and two in the United States. The Company sells its products in global markets, including the United States of America, Canada, Latin America, Europe, Asia Pacific, and India. Its subsidiaries include Granules USA Inc and Granules Europe Limited. It also owns Senn Chemicals AG, a contract development and manufacturing organization (CDMO) specializing in peptide development and manufacturing.</v>
    <v>4066</v>
    <v>National Stock Exchange of India</v>
    <v>XNSE</v>
    <v>XNSE</v>
    <v>2nd Floor, 3rd Block, My Home Hub Madhapur, HYDERABAD, TELANGANA, 500081 IN</v>
    <v>621.25</v>
    <v>Pharmaceuticals</v>
    <v>Stock</v>
    <v>46017.492881944447</v>
    <v>940</v>
    <v>609.4</v>
    <v>148610300000</v>
    <v>GRANULES INDIA LIMITED</v>
    <v>GRANULES INDIA LIMITED</v>
    <v>612.5</v>
    <v>28.97</v>
    <v>612.4</v>
    <v>617.35</v>
    <v>242668700</v>
    <v>GRANULES</v>
    <v>GRANULES INDIA LIMITED (XNSE:GRANULES)</v>
    <v>481479</v>
    <v>1729760</v>
    <v>1991</v>
  </rv>
  <rv s="2">
    <v>941</v>
  </rv>
  <rv s="0">
    <v>https://www.bing.com/financeapi/forcetrigger?t=ahhyp2&amp;q=XNSE%3aGRAPHITE&amp;form=skydnc</v>
    <v>Learn more on Bing</v>
  </rv>
  <rv s="1">
    <v>en-US</v>
    <v>ahhyp2</v>
    <v>268435456</v>
    <v>1</v>
    <v>Powered by Refinitiv</v>
    <v>0</v>
    <v>GRAPHITE INDIA LIMITED (XNSE:GRAPHITE)</v>
    <v>2</v>
    <v>3</v>
    <v>Finance</v>
    <v>4</v>
    <v>651.79999999999995</v>
    <v>365.75</v>
    <v>1.5627</v>
    <v>11.95</v>
    <v>2.0933999999999998E-2</v>
    <v>INR</v>
    <v>Graphite India Limited is engaged in the business of manufacturing graphite electrodes and specialties, calcined petroleum coke, impervious graphite equipment, glass reinforced plastic pipes, steel and generation of renewable energy. It caters to a range of customers, engaged in manufacturing steel, the cutting tool industry, chemicals, fertilizers, polymers, drug intermediaries, metal pressing, effluent treatment, and irrigation. Its segment includes Graphite and Carbon Segment and Others segment. Its Graphite and Carbon Segment, engaged in the production of Graphite Electrodes, Other Miscellaneous Graphite and Carbon Products and related Processing/Service Charges. Its Others segment, engaged in manufacturing/laying of GRP Pipes, and in manufacturing of High-Speed Steel and Alloy Steel and Power Generating Unit for outside sale. Its Coke plant in Barauni, Bihar, is engaged in the manufacturing of Calcined Petroleum Coke, Carbon Paste and Electrically Calcined Anthracite Paste.</v>
    <v>1666</v>
    <v>National Stock Exchange of India</v>
    <v>XNSE</v>
    <v>XNSE</v>
    <v>31 Chowringhee Road, KOLKATA, WEST BENGAL, 700016 IN</v>
    <v>587.70000000000005</v>
    <v>Machinery, Equipment &amp; Components</v>
    <v>Stock</v>
    <v>46017.492881944447</v>
    <v>943</v>
    <v>563.85</v>
    <v>111530200000</v>
    <v>GRAPHITE INDIA LIMITED</v>
    <v>GRAPHITE INDIA LIMITED</v>
    <v>568</v>
    <v>46.34</v>
    <v>570.85</v>
    <v>582.79999999999995</v>
    <v>195375600</v>
    <v>GRAPHITE</v>
    <v>GRAPHITE INDIA LIMITED (XNSE:GRAPHITE)</v>
    <v>889557</v>
    <v>477670</v>
    <v>1974</v>
  </rv>
  <rv s="2">
    <v>944</v>
  </rv>
  <rv s="0">
    <v>https://www.bing.com/financeapi/forcetrigger?t=ahhyur&amp;q=XNSE%3aGRAVITA&amp;form=skydnc</v>
    <v>Learn more on Bing</v>
  </rv>
  <rv s="1">
    <v>en-US</v>
    <v>ahhyur</v>
    <v>268435456</v>
    <v>1</v>
    <v>Powered by Refinitiv</v>
    <v>0</v>
    <v>GRAVITA INDIA LIMITED (XNSE:GRAVITA)</v>
    <v>2</v>
    <v>3</v>
    <v>Finance</v>
    <v>4</v>
    <v>2369.9499999999998</v>
    <v>1379.65</v>
    <v>1.1133</v>
    <v>7.5</v>
    <v>4.0150000000000003E-3</v>
    <v>INR</v>
    <v>Gravita India Limited is a recycling company with a manufacturing presence around the globe. The Company's segments include Lead processing, Aluminium processing, Turn-key solutions and Plastic manufacturing. Lead processing segment includes smelting of lead battery scrap/lead concentrate to produce a secondary lead metal, which is further transformed into pure lead, specific lead alloy, lead oxides (lead sub-oxide, red lead, and litharge) and lead products like lead sheets, lead powder, lead shot and others. Aluminium processing segment includes trading of Taint Tabor and Tense aluminum scraps manufacturing of alloy from melting of aluminum scrap. Turn key solution segment includes a complete supply of plant and machinery related to the lead manufacturing plant. It operates multiple recycling facilities in Jaipur, Mundra, Chittoor, Kathua in India and also in Sri Lanka, Mozambique, Tanzania, Ghana, Togo and Senegal outside India. It also owns a waste tire recycling facility in Europe.</v>
    <v>2000</v>
    <v>National Stock Exchange of India</v>
    <v>XNSE</v>
    <v>XNSE</v>
    <v>Gravita Tower,, A-27-B, Shanti Path,Tilak Nagar, JAIPUR, RAJASTHAN, 302004 IN</v>
    <v>1910</v>
    <v>Metals &amp; Mining</v>
    <v>Stock</v>
    <v>46017.492881944447</v>
    <v>946</v>
    <v>1850</v>
    <v>136030100000</v>
    <v>GRAVITA INDIA LIMITED</v>
    <v>GRAVITA INDIA LIMITED</v>
    <v>1881</v>
    <v>37.126199999999997</v>
    <v>1867.9</v>
    <v>1875.4</v>
    <v>72825150</v>
    <v>GRAVITA</v>
    <v>GRAVITA INDIA LIMITED (XNSE:GRAVITA)</v>
    <v>359965</v>
    <v>197560</v>
    <v>1992</v>
  </rv>
  <rv s="2">
    <v>947</v>
  </rv>
  <rv s="0">
    <v>https://www.bing.com/financeapi/forcetrigger?t=ahhurw&amp;q=XNSE%3aGESHIP&amp;form=skydnc</v>
    <v>Learn more on Bing</v>
  </rv>
  <rv s="1">
    <v>en-US</v>
    <v>ahhurw</v>
    <v>268435456</v>
    <v>1</v>
    <v>Powered by Refinitiv</v>
    <v>0</v>
    <v>THE GREAT EASTERN SHIPPING COMPANY LIMITED (XNSE:GESHIP)</v>
    <v>2</v>
    <v>3</v>
    <v>Finance</v>
    <v>4</v>
    <v>1179</v>
    <v>797.5</v>
    <v>1.5803</v>
    <v>-13</v>
    <v>-1.1715E-2</v>
    <v>INR</v>
    <v>The Great Eastern Shipping Company Limited is an India-based company, which operates as a shipping service provider. It is engaged in managing a diverse fleet of crude carriers, product carriers, LPG carriers, and various classes of dry bulk vessels. It operates in two main businesses. The Shipping business is involved in transportation of crude oil, petroleum products, gas and dry bulk commodities. The Offshore business services to the oil companies in carrying out offshore exploration and production activities, through its subsidiary Greatship (India) Limited. Its crude oil carriers include Jag Lok, Jag Lalit, Jag Leena, Jag Lakshya, Jag Leela and Jag Laxmi. Its product carriers include Jag Lokesh, Jag Lara, Jag Aabha, Jag Aanchal, Jag Amisha, and others. Its LPG Carriers Include Jag Vikram, Jag Vishnu, Jag Vasant, and Jag Viraat. Its Dry Bulk Carriers include Jag Anand, Jag Alaia, Jag Aarati, and Jag Aditi. Its fleet includes approximately 28 tankers and 14 dry bulk carriers.</v>
    <v>266</v>
    <v>National Stock Exchange of India</v>
    <v>XNSE</v>
    <v>XNSE</v>
    <v>Ocean House, 134/A, Dr.A.B.Road, Worli, MUMBAI, MAHARASHTRA, 400018 IN</v>
    <v>1119.2</v>
    <v>Oil &amp; Gas Related Equipment and Services</v>
    <v>Stock</v>
    <v>46017.492881944447</v>
    <v>949</v>
    <v>1094</v>
    <v>156572800000</v>
    <v>THE GREAT EASTERN SHIPPING COMPANY LIMITED</v>
    <v>THE GREAT EASTERN SHIPPING COMPANY LIMITED</v>
    <v>1112</v>
    <v>7.76</v>
    <v>1109.7</v>
    <v>1096.7</v>
    <v>142767200</v>
    <v>GESHIP</v>
    <v>THE GREAT EASTERN SHIPPING COMPANY LIMITED (XNSE:GESHIP)</v>
    <v>316056</v>
    <v>300820</v>
    <v>1948</v>
  </rv>
  <rv s="2">
    <v>950</v>
  </rv>
  <rv s="0">
    <v>https://www.bing.com/financeapi/forcetrigger?t=bsh8p2&amp;q=XNSE%3aFLUOROCHEM&amp;form=skydnc</v>
    <v>Learn more on Bing</v>
  </rv>
  <rv s="1">
    <v>en-US</v>
    <v>bsh8p2</v>
    <v>268435456</v>
    <v>1</v>
    <v>Powered by Refinitiv</v>
    <v>0</v>
    <v>GUJARAT FLUOROCHEMICALS LIMITED (XNSE:FLUOROCHEM)</v>
    <v>2</v>
    <v>3</v>
    <v>Finance</v>
    <v>4</v>
    <v>4449.8999999999996</v>
    <v>3220.6</v>
    <v>0.53569999999999995</v>
    <v>-7.7</v>
    <v>-2.1180000000000001E-3</v>
    <v>INR</v>
    <v>Gujarat Fluorochemicals Limited is an India-based chemical company, which is engaged in the manufacturing and trading of bulk chemicals, fluorochemicals, fluoropolymers, refrigerants, and allied activities. The Company's business segment is chemicals, which comprises bulk chemicals, fluorochemicals, fluoropolymers, and battery chemicals. Its fluoropolymers include fluorinated ethylene propylene, polyphthalamide, polyvinylidene fluoride, perfluoroalkoxy alkanes, micro powders, and polytetrafluoroethylene, which are used in the semiconductors, paints, and oil &amp; gas industries. Its fluorochemicals include carbon, fluorine, nitrogen, hydrogen, and oxygen, which are used in the agrochemical and pharmaceutical industries. Its bulk chemicals include caustic soda, methylene di chloride, and chloroform, which caters to the pharma, plastics, and textiles industries. Its refrigerant products include R22, R32, R407C, and R410A. The Company supplies both domestic and international markets.</v>
    <v>3405</v>
    <v>National Stock Exchange of India</v>
    <v>XNSE</v>
    <v>XNSE</v>
    <v>INOX Towers, Plot No.17,, Sector 16A, NOIDA, UTTAR PRADESH, 201301 IN</v>
    <v>3675</v>
    <v>Chemicals</v>
    <v>Stock</v>
    <v>46017.492881944447</v>
    <v>952</v>
    <v>3594.5</v>
    <v>399348700000</v>
    <v>GUJARAT FLUOROCHEMICALS LIMITED</v>
    <v>GUJARAT FLUOROCHEMICALS LIMITED</v>
    <v>3635.5</v>
    <v>58.72</v>
    <v>3635.4</v>
    <v>3627.7</v>
    <v>109850000</v>
    <v>FLUOROCHEM</v>
    <v>GUJARAT FLUOROCHEMICALS LIMITED (XNSE:FLUOROCHEM)</v>
    <v>174140</v>
    <v>38660</v>
    <v>2018</v>
  </rv>
  <rv s="2">
    <v>953</v>
  </rv>
  <rv s="0">
    <v>https://www.bing.com/financeapi/forcetrigger?t=ahi1w7&amp;q=XNSE%3aGUJGASLTD&amp;form=skydnc</v>
    <v>Learn more on Bing</v>
  </rv>
  <rv s="1">
    <v>en-US</v>
    <v>ahi1w7</v>
    <v>268435456</v>
    <v>1</v>
    <v>Powered by Refinitiv</v>
    <v>0</v>
    <v>GUJARAT GAS LIMITED (XNSE:GUJGASLTD)</v>
    <v>2</v>
    <v>3</v>
    <v>Finance</v>
    <v>4</v>
    <v>517.9</v>
    <v>360.25</v>
    <v>1.0983000000000001</v>
    <v>2.2999999999999998</v>
    <v>5.8720000000000005E-3</v>
    <v>INR</v>
    <v>Gujarat Gas Limited is an India-based company, which is engaged in the natural gas business in India. Its natural gas business involves distribution of gas from sources of supply to centers of demand and to the end customers. It is engaged in city gas distribution, including sale, purchase, supply, distribution, transport, trading in natural gas, compressed natural gas (CNG), liquefied natural gas (LNG), liquefied petroleum gas (LPG) and other gaseous form through pipelines, trucks/trains or such other suitable mode for transportation/distribution of natural gas, CNG, LNG, LPG and other gaseous form. The Company supplies piped natural gas for domestic usage to approximately 1.87 lakhs households across its operating locations. It has approximately 27 city gas distribution licenses spread across 43 districts in six states and one Union territory across the states of Gujarat, Maharashtra, Rajasthan, Haryana, Punjab and Madhya Pradesh and the Union Territory of Dadra &amp; Nagar Haveli.</v>
    <v>895</v>
    <v>National Stock Exchange of India</v>
    <v>XNSE</v>
    <v>XNSE</v>
    <v>Office No. 4 &amp; 5, Ground Floor, IT Tower -2, Infocity, GANDHINAGAR, GUJARAT, 382009 IN</v>
    <v>399.25</v>
    <v>Natural Gas Utilities</v>
    <v>Stock</v>
    <v>46017.492881944447</v>
    <v>955</v>
    <v>389.2</v>
    <v>269642400000</v>
    <v>GUJARAT GAS LIMITED</v>
    <v>GUJARAT GAS LIMITED</v>
    <v>392.45</v>
    <v>24.16</v>
    <v>391.7</v>
    <v>394</v>
    <v>688390100</v>
    <v>GUJGASLTD</v>
    <v>GUJARAT GAS LIMITED (XNSE:GUJGASLTD)</v>
    <v>237569</v>
    <v>310540</v>
    <v>2012</v>
  </rv>
  <rv s="2">
    <v>956</v>
  </rv>
  <rv s="0">
    <v>https://www.bing.com/financeapi/forcetrigger?t=ahhwhw&amp;q=XNSE%3aGMDCLTD&amp;form=skydnc</v>
    <v>Learn more on Bing</v>
  </rv>
  <rv s="1">
    <v>en-US</v>
    <v>ahhwhw</v>
    <v>268435456</v>
    <v>1</v>
    <v>Powered by Refinitiv</v>
    <v>0</v>
    <v>GUJARAT MINERAL DEVELOPMENT CORPORATION LIMITED (XNSE:GMDCLTD)</v>
    <v>2</v>
    <v>3</v>
    <v>Finance</v>
    <v>4</v>
    <v>651</v>
    <v>226.59</v>
    <v>1.2479</v>
    <v>43.35</v>
    <v>7.9447000000000004E-2</v>
    <v>INR</v>
    <v>Gujarat Mineral Development Corporation Limited is an India-based mining and mineral processing company. Its segments include Mining and Power. Its power products include thermal power, solar power, green footprint and wind power. Its minerals and mines products include lignite, coal, rare earths, blue hydrogen, bauxite, fluorspar, manganese, silica sand, limestone, bentonite and ball clay. They find application across diverse industries, from manufacturing hydrofluoric acid and purifying water to manufacturing glass and ceramic ware, and drilling oil. Its mines Lignite from Tadkeshwar, Rajpardi, Bhavnagar, Panandhro, Mata No Madh and Umarsar. Its 2X125 MW thermal power project at Nani Chher in Lakhpat Taluka, Kutch. Metallic and shimmery, Fluorspar is used as a raw material for manufacturing hydrofluoric acid, refrigerant gases and flux in metallurgical industries. Its Fluorspar Mine is located at Kadipani, Ambadungar. It is engaged in mining Bauxite at its Gadhsisa group of mines.</v>
    <v>765</v>
    <v>National Stock Exchange of India</v>
    <v>XNSE</v>
    <v>XNSE</v>
    <v>Khanij Bhavan, 132 - Ring Road Gujarat, University Ground, Vastrapur, AHMEDABAD, GUJARAT, 380052 IN</v>
    <v>611.5</v>
    <v>Coal</v>
    <v>Stock</v>
    <v>46017.492881944447</v>
    <v>958</v>
    <v>544.15</v>
    <v>173516700000</v>
    <v>GUJARAT MINERAL DEVELOPMENT CORPORATION LIMITED</v>
    <v>GUJARAT MINERAL DEVELOPMENT CORPORATION LIMITED</v>
    <v>548.5</v>
    <v>18.664899999999999</v>
    <v>545.65</v>
    <v>589</v>
    <v>318000000</v>
    <v>GMDCLTD</v>
    <v>GUJARAT MINERAL DEVELOPMENT CORPORATION LIMITED (XNSE:GMDCLTD)</v>
    <v>25397549</v>
    <v>4528790</v>
    <v>1963</v>
  </rv>
  <rv s="2">
    <v>959</v>
  </rv>
  <rv s="0">
    <v>https://www.bing.com/financeapi/forcetrigger?t=ahhzww&amp;q=XNSE%3aGSPL&amp;form=skydnc</v>
    <v>Learn more on Bing</v>
  </rv>
  <rv s="1">
    <v>en-US</v>
    <v>ahhzww</v>
    <v>268435456</v>
    <v>1</v>
    <v>Powered by Refinitiv</v>
    <v>0</v>
    <v>GUJARAT STATE PETRONET LIMITED (XNSE:GSPL)</v>
    <v>2</v>
    <v>3</v>
    <v>Finance</v>
    <v>4</v>
    <v>387</v>
    <v>261.45</v>
    <v>1.0291999999999999</v>
    <v>1.3</v>
    <v>4.3990000000000001E-3</v>
    <v>INR</v>
    <v>Gujarat State Petronet Limited is an India-based company, which is engaged in the business of transmission of natural gas through pipeline on an open access basis from supply points to demand centers. The Company supports local vendors, vulnerable and marginalized groups, and other supply chain partners. The Company plans, designs, constructs, operates and maintains natural gas pipeline and associated facilities. The Company's subsidiaries include GSPL India Gasnet Limited (GIGL), GSPL India Transco Limited (GITL), and Gujarat Gas Limited (GGL). GIGL is engaged in the development of the Mehsana - Bhatinda and Bhatinda - Gurdaspur Pipeline Projects. GITL is engaged in the development of the Mallavaram - Bhopal - Bhilwara - Vijaipur Pipeline Project. GGL is engaged in the business of city gas distribution with a presence spread across 44 districts in the State of Gujarat, Punjab, Rajasthan, Haryana, Madhya Pradesh, Maharashtra and the Union Territory of Dadra and Nagar Haveli.</v>
    <v>252</v>
    <v>National Stock Exchange of India</v>
    <v>XNSE</v>
    <v>XNSE</v>
    <v>GSPL Bhavan, E-18, GIDC Electronic Estate, Nr. K-7 Circle, Sector - 26, Gandhinagar,, GANDHINAGAR, GUJARAT, 382028 IN</v>
    <v>298.55</v>
    <v>Natural Gas Utilities</v>
    <v>Stock</v>
    <v>46017.492881944447</v>
    <v>961</v>
    <v>293.8</v>
    <v>166752700000</v>
    <v>GUJARAT STATE PETRONET LIMITED</v>
    <v>GUJARAT STATE PETRONET LIMITED</v>
    <v>295.89999999999998</v>
    <v>16.262899999999998</v>
    <v>295.55</v>
    <v>296.85000000000002</v>
    <v>564211400</v>
    <v>GSPL</v>
    <v>GUJARAT STATE PETRONET LIMITED (XNSE:GSPL)</v>
    <v>174619</v>
    <v>386470</v>
    <v>1998</v>
  </rv>
  <rv s="2">
    <v>962</v>
  </rv>
  <rv s="0">
    <v>https://www.bing.com/financeapi/forcetrigger?t=ahi41h&amp;q=XNSE%3aHEG&amp;form=skydnc</v>
    <v>Learn more on Bing</v>
  </rv>
  <rv s="1">
    <v>en-US</v>
    <v>ahi41h</v>
    <v>268435456</v>
    <v>1</v>
    <v>Powered by Refinitiv</v>
    <v>0</v>
    <v>HEG LIMITED (XNSE:HEG)</v>
    <v>2</v>
    <v>3</v>
    <v>Finance</v>
    <v>4</v>
    <v>619</v>
    <v>331.25</v>
    <v>1.8984000000000001</v>
    <v>9.25</v>
    <v>1.6801E-2</v>
    <v>INR</v>
    <v>HEG Limited is an India-based manufacturer and exporter of graphite electrodes in India and operates a single-site integrated graphite electrodes plant. The Company’s segments include Graphite, Power, and Others. The Graphite segment comprises the manufacturing of graphite electrodes and has facilities for production of graphite electrodes and graphite specialties. It also operates thermal and hydro power generation facilities with a total capacity of about 76.5 megawatts (MW). Power Segment comprised of two Thermal Power Plants having total capacity of 63 MW at Mandideep, Bhopal (Madhya Pradesh) and a Hydro Power Plant having capacity of 13.5 MW at Tawa Nagar, District Hoshangabad (Madhya Pradesh). Its wholly owned subsidiary, TACC Limited, is engaged in anode manufacturing for lithium-ion batteries.</v>
    <v>1113</v>
    <v>National Stock Exchange of India</v>
    <v>XNSE</v>
    <v>XNSE</v>
    <v>BHILWARA Towers, A-12, Sector-1, NOIDA, UTTAR PRADESH, 201301 IN</v>
    <v>571</v>
    <v>Machinery, Equipment &amp; Components</v>
    <v>Stock</v>
    <v>46017.492881944447</v>
    <v>964</v>
    <v>546.79999999999995</v>
    <v>106243800000</v>
    <v>HEG LIMITED</v>
    <v>HEG LIMITED</v>
    <v>550.54999999999995</v>
    <v>41.2</v>
    <v>550.54999999999995</v>
    <v>559.79999999999995</v>
    <v>192977500</v>
    <v>HEG</v>
    <v>HEG LIMITED (XNSE:HEG)</v>
    <v>1784193</v>
    <v>879920</v>
    <v>1972</v>
  </rv>
  <rv s="2">
    <v>965</v>
  </rv>
  <rv s="0">
    <v>https://www.bing.com/financeapi/forcetrigger?t=bgvh2w&amp;q=XNSE%3aHDFCAMC&amp;form=skydnc</v>
    <v>Learn more on Bing</v>
  </rv>
  <rv s="1">
    <v>en-US</v>
    <v>bgvh2w</v>
    <v>268435456</v>
    <v>1</v>
    <v>Powered by Refinitiv</v>
    <v>0</v>
    <v>HDFC ASSET MANAGEMENT COMPANY LIMITED (XNSE:HDFCAMC)</v>
    <v>2</v>
    <v>3</v>
    <v>Finance</v>
    <v>4</v>
    <v>2967.25</v>
    <v>1781.53</v>
    <v>1.0599000000000001</v>
    <v>-8.9</v>
    <v>-3.3510000000000002E-3</v>
    <v>INR</v>
    <v>HDFC Asset Management Company Limited is a mutual fund manager. The Company is engaged in the business of providing asset management services to HDFC Mutual Fund and alternative investment fund and portfolio management and advisory services to clients. The Company offers a comprehensive suite of savings and investment products ranging from mutual funds, including both actively managed and passive options, to portfolio management services and alternative investment opportunities catering to the needs of a diverse customer base. It offers financial management services, financial advisory, brokerage, and consulting services. It has a network of 228 investor service centers (ISCs) across more than 200 cities. The Company offers portfolio management services and separately managed account (SMA) services to meet the investment needs of its clients, including high net worth individuals (HNIs), family offices, domestic corporates, trusts, provident funds, and domestic and global institutions.</v>
    <v>1618</v>
    <v>National Stock Exchange of India</v>
    <v>XNSE</v>
    <v>XNSE</v>
    <v>HDFC House, 2nd Floor,, H. T. Parekh Marg,, 165-166, Backbay Reclamation,Churchgate, MUMBAI, MAHARASHTRA, 400020 IN</v>
    <v>2673.9</v>
    <v>Investment Banking &amp; Investment Services</v>
    <v>Stock</v>
    <v>46017.492881944447</v>
    <v>967</v>
    <v>2642.8</v>
    <v>1137630000000</v>
    <v>HDFC ASSET MANAGEMENT COMPANY LIMITED</v>
    <v>HDFC ASSET MANAGEMENT COMPANY LIMITED</v>
    <v>2656</v>
    <v>67.06</v>
    <v>2656.1</v>
    <v>2647.2</v>
    <v>428308500</v>
    <v>HDFCAMC</v>
    <v>HDFC ASSET MANAGEMENT COMPANY LIMITED (XNSE:HDFCAMC)</v>
    <v>407924</v>
    <v>1150200</v>
    <v>1999</v>
  </rv>
  <rv s="2">
    <v>968</v>
  </rv>
  <rv s="0">
    <v>https://www.bing.com/financeapi/forcetrigger?t=ahi4oc&amp;q=XNSE%3aHFCL&amp;form=skydnc</v>
    <v>Learn more on Bing</v>
  </rv>
  <rv s="1">
    <v>en-US</v>
    <v>ahi4oc</v>
    <v>268435456</v>
    <v>1</v>
    <v>Powered by Refinitiv</v>
    <v>0</v>
    <v>HFCL LIMITED (XNSE:HFCL)</v>
    <v>2</v>
    <v>3</v>
    <v>Finance</v>
    <v>4</v>
    <v>116.75</v>
    <v>60.72</v>
    <v>1.8280000000000001</v>
    <v>-2.77</v>
    <v>-4.3120000000000006E-2</v>
    <v>INR</v>
    <v>HFCL Limited is an India-based global technology company. The Company delivers communication and networking products and solutions globally across the telecom, defense, and railways sectors. Its business segments include manufacturing of telecom products, executing turnkey contracts and providing services relating thereto. It offers a range of products and solutions for the telecom industry, which include optical fiber, optical fiber cables and cable accessories, point-to-point unlicensed band backhaul radio (UBR), indoor and outdoor wireless fidelity (Wi-Fi) five and six access points, Ethernet L2/L2+ managed switches, home mesh routers among others. It offers end-to-end solutions in the defense sector by designing customized defense communication products and establishing networks required by the armed forces for defense communication in India. It operates as designers of modern communication systems for metros, railways, and freight lines.</v>
    <v>1910</v>
    <v>National Stock Exchange of India</v>
    <v>XNSE</v>
    <v>XNSE</v>
    <v>8, Commercial Complex,, Masjid Moth, Greater Kailash II,, NEW DELHI, DELHI, 110048 IN</v>
    <v>64.94</v>
    <v>Communications &amp; Networking</v>
    <v>Stock</v>
    <v>46017.492881944447</v>
    <v>970</v>
    <v>60.72</v>
    <v>92640880000</v>
    <v>HFCL LIMITED</v>
    <v>HFCL LIMITED</v>
    <v>64.239999999999995</v>
    <v>335.46</v>
    <v>64.239999999999995</v>
    <v>61.47</v>
    <v>1442106000</v>
    <v>HFCL</v>
    <v>HFCL LIMITED (XNSE:HFCL)</v>
    <v>59247417</v>
    <v>12648820</v>
    <v>1987</v>
  </rv>
  <rv s="2">
    <v>971</v>
  </rv>
  <rv s="10">
    <v>en-US</v>
    <v>cfz5fr</v>
    <v>268435456</v>
    <v>1</v>
    <v>Powered by Refinitiv</v>
    <v>18</v>
    <v>HEXAWARE TECHNOLOGIES LIMITED (XNSE:HEXT)</v>
    <v>6</v>
    <v>3</v>
    <v>Finance</v>
    <v>4</v>
    <v>900</v>
    <v>590.29999999999995</v>
    <v>-0.156</v>
    <v>2.8</v>
    <v>3.741E-3</v>
    <v>INR</v>
    <v>Hexaware Technologies Limited is a global technology and business process services company. The Company’s segments include Travel and Transportation, Financial Services, Banking, Healthcare &amp; Insurance, Hi-Tech and Professional Services, and Manufacturing and Consumer. It also provides identity and access management (IAM) solutions. It offers various services, including IAM Plan and Design, IAM Build and Deploy, Rapid IAM System Integration, IAM Migrations and Modernization and IAM Managed Services. Its platforms include RapidX, Tensai and Amaze. Its digital IT operations services focus on areas such as infrastructure management services, digital workplace services, and enterprise automation, among others. Its generative AI solutions include knowledge management, private LLM for legal, and Tensai Clinical Co-Pilot. The Company's offerings include application services, cybersecurity, digital workplace, enterprise automation, sustainability services, testing, and vibe coding.</v>
    <v>32410</v>
    <v>National Stock Exchange of India</v>
    <v>XNSE</v>
    <v>XNSE</v>
    <v>152, Millenium Business Park, Sector 3R TTC Industrial Area, Mahape, NAVI MUMBAI, MAHARASHTRA, 400710 IN</v>
    <v>754.2</v>
    <v>Software &amp; IT Services</v>
    <v>Stock</v>
    <v>46017.492881944447</v>
    <v>737</v>
    <v>458950600000</v>
    <v>HEXAWARE TECHNOLOGIES LIMITED</v>
    <v>HEXAWARE TECHNOLOGIES LIMITED</v>
    <v>748.4</v>
    <v>32.56</v>
    <v>748.4</v>
    <v>751.2</v>
    <v>610956600</v>
    <v>HEXT</v>
    <v>HEXAWARE TECHNOLOGIES LIMITED (XNSE:HEXT)</v>
    <v>421837</v>
    <v>778460</v>
    <v>1992</v>
  </rv>
  <rv s="2">
    <v>973</v>
  </rv>
  <rv s="0">
    <v>https://www.bing.com/financeapi/forcetrigger?t=ahi7dm&amp;q=XNSE%3aHSCL&amp;form=skydnc</v>
    <v>Learn more on Bing</v>
  </rv>
  <rv s="1">
    <v>en-US</v>
    <v>ahi7dm</v>
    <v>268435456</v>
    <v>1</v>
    <v>Powered by Refinitiv</v>
    <v>0</v>
    <v>HIMADRI SPECIALITY CHEMICAL LIMITED (XNSE:HSCL)</v>
    <v>2</v>
    <v>3</v>
    <v>Finance</v>
    <v>4</v>
    <v>606.6</v>
    <v>365.35</v>
    <v>1.6379999999999999</v>
    <v>-0.35</v>
    <v>-7.2480000000000005E-4</v>
    <v>INR</v>
    <v>Himadri Speciality Chemical Limited is an India-based global specialty chemical company with a focus on research and development (R&amp;D) and sustainability. The Company develops raw materials of lithium-ion battery value chain. It is primarily engaged in the manufacturing of carbon materials and chemicals. Its segments include Carbon materials and chemicals, and Power. Its diverse product portfolio includes specialty carbon black, coal tar pitch, refined naphthalene, advance materials, sulphonated naphthalene formaldehyde (SNF), specialty oils, power and others catering to various industries such as lithium-ion batteries, paints, plastics, tires, aluminum, graphite electrodes, agrochemicals, defense and construction chemicals. Its product offerings include anode materials, silicon-based anode materials, cathode materials, graphene, hybrid polycarboxylate ether, and COLORX. It operates in both domestic and international markets, exporting to approximately 54 countries across the globe.</v>
    <v>970</v>
    <v>National Stock Exchange of India</v>
    <v>XNSE</v>
    <v>XNSE</v>
    <v>Ruby House, 8, India Exchange Place, 2nd Floor, KOLKATA, WEST BENGAL, 700001 IN</v>
    <v>494.35</v>
    <v>Chemicals</v>
    <v>Stock</v>
    <v>46017.492881944447</v>
    <v>975</v>
    <v>481</v>
    <v>243632200000</v>
    <v>HIMADRI SPECIALITY CHEMICAL LIMITED</v>
    <v>HIMADRI SPECIALITY CHEMICAL LIMITED</v>
    <v>482.9</v>
    <v>36.340000000000003</v>
    <v>482.9</v>
    <v>482.55</v>
    <v>504519000</v>
    <v>HSCL</v>
    <v>HIMADRI SPECIALITY CHEMICAL LIMITED (XNSE:HSCL)</v>
    <v>1132003</v>
    <v>865340</v>
    <v>1987</v>
  </rv>
  <rv s="2">
    <v>976</v>
  </rv>
  <rv s="0">
    <v>https://www.bing.com/financeapi/forcetrigger?t=ahi5f2&amp;q=XNSE%3aHINDCOPPER&amp;form=skydnc</v>
    <v>Learn more on Bing</v>
  </rv>
  <rv s="1">
    <v>en-US</v>
    <v>ahi5f2</v>
    <v>268435456</v>
    <v>1</v>
    <v>Powered by Refinitiv</v>
    <v>0</v>
    <v>HINDUSTAN COPPER LTD (XNSE:HINDCOPPER)</v>
    <v>2</v>
    <v>3</v>
    <v>Finance</v>
    <v>4</v>
    <v>480.85</v>
    <v>183.82</v>
    <v>2.4241000000000001</v>
    <v>39.049999999999997</v>
    <v>8.9451000000000003E-2</v>
    <v>INR</v>
    <v>Hindustan Copper Limited is an India-based vertically integrated copper-producing company. The Company is engaged in the business of mining and processing of copper ore. The principal activities of the Company are exploration, exploitation, mining of copper and copper ore including beneficiation of minerals, smelting and refining. It has copper mines and concentrator plants in Malanjkhand Copper Project in Madhya Pradesh (MCP), Khetri Copper Complex in Rajasthan (KCC) and Indian Copper Complex, Ghatsila in Jharkhand (ICC). The Company has smelter and refinery plants at ICC and Gujarat Copper Project, Gujarat (GCP) for the production of copper cathode and thereafter conversion of cathode to copper wire rod at Taloja Copper Project, Taloja, Maharashtra (TCP). The Company markets copper cathodes, continuous cast copper rods and by-products, such as anode slime (containing precious metals), copper sulfate and sulfuric acid. Its subsidiary is Chhattisgarh Copper Limited.</v>
    <v>1274</v>
    <v>National Stock Exchange of India</v>
    <v>XNSE</v>
    <v>XNSE</v>
    <v>1, Ashutosh Chowdhury Avenue,, KOLKATA, WEST BENGAL, 700019 IN</v>
    <v>480.85</v>
    <v>Metals &amp; Mining</v>
    <v>Stock</v>
    <v>46017.492881944447</v>
    <v>978</v>
    <v>443.25</v>
    <v>422154300000</v>
    <v>HINDUSTAN COPPER LTD</v>
    <v>HINDUSTAN COPPER LTD</v>
    <v>452.1</v>
    <v>74.37</v>
    <v>436.55</v>
    <v>475.6</v>
    <v>967024000</v>
    <v>HINDCOPPER</v>
    <v>HINDUSTAN COPPER LTD (XNSE:HINDCOPPER)</v>
    <v>96353483</v>
    <v>22294440</v>
    <v>1967</v>
  </rv>
  <rv s="2">
    <v>979</v>
  </rv>
  <rv s="0">
    <v>https://www.bing.com/financeapi/forcetrigger?t=ahi5tc&amp;q=XNSE%3aHINDPETRO&amp;form=skydnc</v>
    <v>Learn more on Bing</v>
  </rv>
  <rv s="1">
    <v>en-US</v>
    <v>ahi5tc</v>
    <v>268435456</v>
    <v>1</v>
    <v>Powered by Refinitiv</v>
    <v>0</v>
    <v>HINDUSTAN PETROLEUM CORPORATION LIMITED (XNSE:HINDPETRO)</v>
    <v>2</v>
    <v>3</v>
    <v>Finance</v>
    <v>4</v>
    <v>494.45</v>
    <v>287.55</v>
    <v>1.6673</v>
    <v>-3</v>
    <v>-6.3730000000000002E-3</v>
    <v>INR</v>
    <v>Hindustan Petroleum Corporation Limited is engaged in the business of refining of crude oil and marketing of petroleum products, production of hydrocarbons and providing services for management of exploration and production (E&amp;P) blocks, manufacturing of ethanol, sugar and generation of power, operating liquefied natural gas (LNG) regasification terminal (under construction phase), green and renewable energy business. Its Downstream Petroleum segment is engaged in refining and marketing of petroleum products. Its businesses include HP Refineries, HP Retail (Petrol Pumps); HP Gas (LPG); HP Lubricants; HP Aviation; HP Direct Sales; HP Projects and Pipelines; HP Supplies, Operations and Distribution (SOD); HP International Trade; HP Natural Gas and Renewables; HP Natural Gas; HP Petrochemicals, and HP Research and Development. It exports various petroleum products from its refineries, including Fuel Oil, naphtha, high sulphur gasoil, and high sulphur gasoline.</v>
    <v>8049</v>
    <v>National Stock Exchange of India</v>
    <v>XNSE</v>
    <v>XNSE</v>
    <v>Petroleum House, 17, Jamshedji Tata Road, CHURCHGATE, MUMBAI, MAHARASHTRA, 400020 IN</v>
    <v>471</v>
    <v>Oil &amp; Gas</v>
    <v>Stock</v>
    <v>46017.492881944447</v>
    <v>981</v>
    <v>465.05</v>
    <v>995182600000</v>
    <v>HINDUSTAN PETROLEUM CORPORATION LIMITED</v>
    <v>HINDUSTAN PETROLEUM CORPORATION LIMITED</v>
    <v>470.7</v>
    <v>7.19</v>
    <v>470.7</v>
    <v>467.7</v>
    <v>2127823000</v>
    <v>HINDPETRO</v>
    <v>HINDUSTAN PETROLEUM CORPORATION LIMITED (XNSE:HINDPETRO)</v>
    <v>1095275</v>
    <v>2268400</v>
    <v>1952</v>
  </rv>
  <rv s="2">
    <v>982</v>
  </rv>
  <rv s="0">
    <v>https://www.bing.com/financeapi/forcetrigger?t=bu6uk2&amp;q=XNSE%3aPOWERINDIA&amp;form=skydnc</v>
    <v>Learn more on Bing</v>
  </rv>
  <rv s="1">
    <v>en-US</v>
    <v>bu6uk2</v>
    <v>268435456</v>
    <v>1</v>
    <v>Powered by Refinitiv</v>
    <v>0</v>
    <v>HITACHI ENERGY INDIA LIMITED (XNSE:POWERINDIA)</v>
    <v>2</v>
    <v>3</v>
    <v>Finance</v>
    <v>4</v>
    <v>22840</v>
    <v>8801</v>
    <v>0.73740000000000006</v>
    <v>-70</v>
    <v>-3.8E-3</v>
    <v>INR</v>
    <v>Hitachi Energy India Limited is an India-based global technology company that operates within the energy sector. The Company is engaged in the business relating to products, projects and services for electricity transmission and related activities. The Company provides products and solutions, including asset &amp; work management, cable accessories, capacitors and filters, communication networks, cooling systems, disconnectors, energy storage, generator circuit-breakers (GCB), semiconductors, substation automation, protection &amp; control, substations &amp; electrification, surge arresters, transformer, insulation and components, and others. It also provides service and consulting, such as install &amp; commission, assess &amp; secure, train &amp; develop, parts &amp; maintain, upgrade, repair &amp; extend, sustain &amp; decarbonize and replace &amp; decommission. Its consulting services provide a comprehensive combination of business, functional, and technical expertise.</v>
    <v>2481</v>
    <v>National Stock Exchange of India</v>
    <v>XNSE</v>
    <v>XNSE</v>
    <v>Kodigehalli Main Road, 8th Floor, Brigade Opus 70/401, BANGALORE, KARNATAKA, 560092 IN</v>
    <v>18595</v>
    <v>Machinery, Equipment &amp; Components</v>
    <v>Stock</v>
    <v>46017.492893518516</v>
    <v>984</v>
    <v>18085</v>
    <v>821022900000</v>
    <v>HITACHI ENERGY INDIA LIMITED</v>
    <v>HITACHI ENERGY INDIA LIMITED</v>
    <v>18475</v>
    <v>112.19</v>
    <v>18420</v>
    <v>18350</v>
    <v>44572360</v>
    <v>POWERINDIA</v>
    <v>HITACHI ENERGY INDIA LIMITED (XNSE:POWERINDIA)</v>
    <v>61013</v>
    <v>86650</v>
    <v>2019</v>
  </rv>
  <rv s="2">
    <v>985</v>
  </rv>
  <rv s="0">
    <v>https://www.bing.com/financeapi/forcetrigger?t=bxm6hw&amp;q=XNSE%3aHOMEFIRST&amp;form=skydnc</v>
    <v>Learn more on Bing</v>
  </rv>
  <rv s="1">
    <v>en-US</v>
    <v>bxm6hw</v>
    <v>268435456</v>
    <v>1</v>
    <v>Powered by Refinitiv</v>
    <v>0</v>
    <v>HOME FIRST FINANCE COMPANY INDIA LIMITED (XNSE:HOMEFIRST)</v>
    <v>2</v>
    <v>3</v>
    <v>Finance</v>
    <v>4</v>
    <v>1519</v>
    <v>878.4</v>
    <v>0.58120000000000005</v>
    <v>-9.5</v>
    <v>-8.4440000000000001E-3</v>
    <v>INR</v>
    <v>Home First Finance Company India Limited is a technology-driven affordable housing finance company that targets first-time home buyers in low and middle-income groups. The Company primarily offers housing loans for the purchase or construction of homes. The Company offers various loans, including home loan, self-construction loan, resale loan, mortgage loan, shop loan, renovation loan, and top-up loan. Its digital channels facilitate omnichannel engagement, enabling customers to interact across Web portals, mobile apps, and social media platforms. It offers loans for the purchase or construction of residential properties and for the extension and repair of existing housing units. Its applications include HomeFirst Customer Portal App, HomeFirst Connect and HomeFirst RM Pro. It has a network of approximately 155 branches with a presence in 13 states/union territories in India, namely, Maharashtra, Gujarat, Tamil Nadu, Karnataka, Andhra Pradesh, and Telangana.</v>
    <v>1634</v>
    <v>National Stock Exchange of India</v>
    <v>XNSE</v>
    <v>XNSE</v>
    <v>511, Acme Plaza, Opposite Sangam Cinema, J B Nagar, Andheri East, MUMBAI, MAHARASHTRA, 400059 IN</v>
    <v>1135.8</v>
    <v>Banking Services</v>
    <v>Stock</v>
    <v>46017.492881944447</v>
    <v>987</v>
    <v>1111.5</v>
    <v>116913600000</v>
    <v>HOME FIRST FINANCE COMPANY INDIA LIMITED</v>
    <v>HOME FIRST FINANCE COMPANY INDIA LIMITED</v>
    <v>1128.5999999999999</v>
    <v>23.730399999999999</v>
    <v>1125</v>
    <v>1115.5</v>
    <v>103923200</v>
    <v>HOMEFIRST</v>
    <v>HOME FIRST FINANCE COMPANY INDIA LIMITED (XNSE:HOMEFIRST)</v>
    <v>100082</v>
    <v>194290</v>
    <v>2010</v>
  </rv>
  <rv s="2">
    <v>988</v>
  </rv>
  <rv s="10">
    <v>en-US</v>
    <v>cbetqh</v>
    <v>268435456</v>
    <v>1</v>
    <v>Powered by Refinitiv</v>
    <v>18</v>
    <v>HONASA CONSUMER LIMITED (XNSE:HONASA)</v>
    <v>6</v>
    <v>3</v>
    <v>Finance</v>
    <v>4</v>
    <v>334.2</v>
    <v>197.51</v>
    <v>8.7999999999999995E-2</v>
    <v>-6.75</v>
    <v>-2.4527999999999998E-2</v>
    <v>INR</v>
    <v>Honasa Consumer Limited is an India-based beauty and personal care company, which is engaged in the trading of a variety of beauty and personal care products across baby care, skin care, hair and other related personal care categories, which are manufactured through third party contract manufacturers under the brand name of Mamaearth, The Derma Co., BBlunt, Aqualogica, Dr. Sheth’s, STAZE, Reginald Men and Ayuga. Its flagship brand, Mamaearth, focuses on clean and toxin-free beauty products made with natural ingredients. The Derma Co. provides science-backed products powered by active ingredients. Aqualogica is a skin care brand that leverages the science of hydration to introduce products suited to Indian skin-types. BBlunt specializes in professional hair care and styling products. Dr. Sheth’s focused on curating products that are designed for the Indian skin types. Staze 9to9 offers studio-finished makeup designed and curated for Indian skin types. It also owns CosmoGenesis Labs.</v>
    <v>923</v>
    <v>National Stock Exchange of India</v>
    <v>XNSE</v>
    <v>XNSE</v>
    <v>10th Floor, Capiral Cyberscape, Ullahwas, Sector-59, GURGAON, HARYANA, 122102 IN</v>
    <v>279.25</v>
    <v>Specialty Retailers</v>
    <v>Stock</v>
    <v>46017.492881944447</v>
    <v>267.2</v>
    <v>89541770000</v>
    <v>HONASA CONSUMER LIMITED</v>
    <v>HONASA CONSUMER LIMITED</v>
    <v>270</v>
    <v>66.372399999999999</v>
    <v>275.2</v>
    <v>268.45</v>
    <v>325369800</v>
    <v>HONASA</v>
    <v>HONASA CONSUMER LIMITED (XNSE:HONASA)</v>
    <v>227980</v>
    <v>1228070</v>
    <v>2016</v>
  </rv>
  <rv s="2">
    <v>990</v>
  </rv>
  <rv s="0">
    <v>https://www.bing.com/financeapi/forcetrigger?t=ahi6vh&amp;q=XNSE%3aHONAUT&amp;form=skydnc</v>
    <v>Learn more on Bing</v>
  </rv>
  <rv s="1">
    <v>en-US</v>
    <v>ahi6vh</v>
    <v>268435456</v>
    <v>1</v>
    <v>Powered by Refinitiv</v>
    <v>0</v>
    <v>HONEYWELL AUTOMATION INDIA LIMITED (XNSE:HONAUT)</v>
    <v>2</v>
    <v>3</v>
    <v>Finance</v>
    <v>4</v>
    <v>43732.55</v>
    <v>31025</v>
    <v>0.9294</v>
    <v>-225</v>
    <v>-6.7710000000000001E-3</v>
    <v>INR</v>
    <v>Honeywell Automation India Limited is engaged primarily in the business of automation &amp; control systems on turnkey basis and otherwise. It has a wide product portfolio in environmental and combustion controls, and sensing and control, and also provides engineering services in the field of automation and control to global clients. Its process solutions provide technologies from the plant floor to the boardroom as well as comprehensive lifecycle services. In the domestic market, the Company caters to both public and private sector customers in discrete and processing industries such as oil and gas, refining, pulp and paper, chemicals and petrochemicals, pharma and life sciences, infrastructure, transportation, and others. In Export Market, the Company caters to only Honeywell affiliates across the world rendering engineering services and contract manufacturing of products and projects for similar end markets as it does for its Indian customers.</v>
    <v>3140</v>
    <v>National Stock Exchange of India</v>
    <v>XNSE</v>
    <v>XNSE</v>
    <v>56&amp;57,Hadapsar Industrial Estate, PUNE, MAHARASHTRA, 411013 IN</v>
    <v>33375</v>
    <v>Electronic Equipment &amp; Parts</v>
    <v>Stock</v>
    <v>46017.492881944447</v>
    <v>992</v>
    <v>32540</v>
    <v>291814500000</v>
    <v>HONEYWELL AUTOMATION INDIA LIMITED</v>
    <v>HONEYWELL AUTOMATION INDIA LIMITED</v>
    <v>33230</v>
    <v>56.92</v>
    <v>33230</v>
    <v>33005</v>
    <v>8841520</v>
    <v>HONAUT</v>
    <v>HONEYWELL AUTOMATION INDIA LIMITED (XNSE:HONAUT)</v>
    <v>2603</v>
    <v>12230</v>
    <v>1984</v>
  </rv>
  <rv s="2">
    <v>993</v>
  </rv>
  <rv s="0">
    <v>https://www.bing.com/financeapi/forcetrigger?t=ahi7p2&amp;q=XNSE%3aHUDCO&amp;form=skydnc</v>
    <v>Learn more on Bing</v>
  </rv>
  <rv s="1">
    <v>en-US</v>
    <v>ahi7p2</v>
    <v>268435456</v>
    <v>1</v>
    <v>Powered by Refinitiv</v>
    <v>0</v>
    <v>HOUSING AND URBAN DEVELOPMENT CORPORATION LIMITED (XNSE:HUDCO)</v>
    <v>2</v>
    <v>3</v>
    <v>Finance</v>
    <v>4</v>
    <v>254.29</v>
    <v>158.85</v>
    <v>1.9063000000000001</v>
    <v>5.4</v>
    <v>2.4973000000000002E-2</v>
    <v>INR</v>
    <v>Housing and Urban Development Corporation Limited is an India-based techno-financing company, which is primarily engaged in the business of financing for housing and urban development activities. It provides loans/finance for housing/ infrastructure projects and all other activities. The housing finance loans are classified into social housing, residential real estate, and HUDCO Niwas. Its HUDCO Niwas offers loans for the construction of houses and purchase of houses, flats, and plots. Its infrastructure facilities include projects in the sectors of water supply, sewerage, drainage, solid waste management, roads, electricity, smart cities, industrial infrastructure, and others in the urban areas. The Company provides consultancy services in the areas of architectural design and development, urban and regional planning, appraisal scrutiny and monitoring of government projects, and environmental engineering projects pertaining to the housing and urban development sector.</v>
    <v>619</v>
    <v>National Stock Exchange of India</v>
    <v>XNSE</v>
    <v>XNSE</v>
    <v>HUDCO Bhawan, Core-7-A,, India Habitat Centre, Lodhi Road,, NEW DELHI, DELHI, 110003 IN</v>
    <v>222.44</v>
    <v>Banking Services</v>
    <v>Stock</v>
    <v>46017.492881944447</v>
    <v>995</v>
    <v>215.5</v>
    <v>432870800000</v>
    <v>HOUSING AND URBAN DEVELOPMENT CORPORATION LIMITED</v>
    <v>HOUSING AND URBAN DEVELOPMENT CORPORATION LIMITED</v>
    <v>215.77</v>
    <v>15.44</v>
    <v>216.23</v>
    <v>221.63</v>
    <v>2001900000</v>
    <v>HUDCO</v>
    <v>HOUSING AND URBAN DEVELOPMENT CORPORATION LIMITED (XNSE:HUDCO)</v>
    <v>5995250</v>
    <v>2409540</v>
    <v>1970</v>
  </rv>
  <rv s="2">
    <v>996</v>
  </rv>
  <rv s="0">
    <v>https://www.bing.com/financeapi/forcetrigger?t=ahi8cw&amp;q=XNSE%3aICICIPRULI&amp;form=skydnc</v>
    <v>Learn more on Bing</v>
  </rv>
  <rv s="1">
    <v>en-US</v>
    <v>ahi8cw</v>
    <v>268435456</v>
    <v>1</v>
    <v>Powered by Refinitiv</v>
    <v>0</v>
    <v>ICICI PRUDENTIAL LIFE INSURANCE COMPANY LIMITED (XNSE:ICICIPRULI)</v>
    <v>2</v>
    <v>3</v>
    <v>Finance</v>
    <v>4</v>
    <v>693.5</v>
    <v>525.79999999999995</v>
    <v>1.0117</v>
    <v>-2.1</v>
    <v>-3.2209999999999999E-3</v>
    <v>INR</v>
    <v>ICICI Prudential Life Insurance Company Limited is engaged in carrying on the business of providing life insurance, pensions and health insurance products to individuals and groups. The Company’s segments include Par Life, Par Pension, Non-Par Life, Non-Par Pension, Non-Par Variable, Non-Par Variable Pension, Annuity Non-Par, Health, Linked Life, Linked Pension, Linked Health, Linked Group Life, and Linked Group Pension. Its non-linked insurance savings plans include ICICI Pru Gift Pro, ICICI Pru Guaranteed Income for Tomorrow, ICICI Pru Gold, ICICI Pru Sukh Samruddhi, ICICI Pru Future Perfect, ICICI Pru Savings Suraksha, and ICICI Pru Anmol Bachat. Its protection plans include ICICI Pru iProtect Smart, ICICI Pru iProtect Return of Premium, ICICI Pru Saral Jeevan Bima, ICICI Pru Heart Cancer Protect, and others. Its Unit-Linked Insurance Plans include ICICI Pru Signature, ICICI Pru LifeTime Classic, ICICI Pru Smart Life, ICICI Pru Platinum, ICICI Pru EzyGrow, and others.</v>
    <v>18907</v>
    <v>National Stock Exchange of India</v>
    <v>XNSE</v>
    <v>XNSE</v>
    <v>ICICI Prulife Towers, 1089, Appasaheb Marathe Marg, Prabhadevi, MUMBAI, MAHARASHTRA, 400025 IN</v>
    <v>654.6</v>
    <v>Insurance</v>
    <v>Stock</v>
    <v>46017.492881944447</v>
    <v>998</v>
    <v>645.95000000000005</v>
    <v>943907100000</v>
    <v>ICICI PRUDENTIAL LIFE INSURANCE COMPANY LIMITED</v>
    <v>ICICI PRUDENTIAL LIFE INSURANCE COMPANY LIMITED</v>
    <v>652</v>
    <v>71.822400000000002</v>
    <v>652.04999999999995</v>
    <v>649.95000000000005</v>
    <v>1447599000</v>
    <v>ICICIPRULI</v>
    <v>ICICI PRUDENTIAL LIFE INSURANCE COMPANY LIMITED (XNSE:ICICIPRULI)</v>
    <v>253980</v>
    <v>1232850</v>
    <v>2000</v>
  </rv>
  <rv s="2">
    <v>999</v>
  </rv>
  <rv s="0">
    <v>https://www.bing.com/financeapi/forcetrigger?t=ahi8oc&amp;q=XNSE%3aIDBI&amp;form=skydnc</v>
    <v>Learn more on Bing</v>
  </rv>
  <rv s="1">
    <v>en-US</v>
    <v>ahi8oc</v>
    <v>268435456</v>
    <v>1</v>
    <v>Powered by Refinitiv</v>
    <v>0</v>
    <v>IDBI Bank Limited (XNSE:IDBI)</v>
    <v>2</v>
    <v>3</v>
    <v>Finance</v>
    <v>4</v>
    <v>106.97</v>
    <v>65.89</v>
    <v>1.6668000000000001</v>
    <v>0.46</v>
    <v>4.5590000000000006E-3</v>
    <v>INR</v>
    <v>IDBI Bank Limited is an India-based banking company, which is engaged in providing a range of banking and ¬financial services including retail banking, wholesale banking, and treasury operations. Its segments include Corporate/Wholesale banking, Retail banking, Treasury, and Other banking operations. The Treasury segment includes all investments, money market operations, derivative trading, and foreign exchange operations. The Retail Banking segment includes credit and deposit activities that are oriented towards individuals and small business, including priority sector lending. Retail Banking also encompasses payment and alternate channels like automated teller machines (ATMs), point of sale (POS) machines, Internet banking, mobile banking, credit cards, debit cards, travel/currency cards, and transaction banking services. The Corporate / Wholesale Banking segment includes corporate relationship covering deposit and credit activities other than retail.</v>
    <v>19731</v>
    <v>National Stock Exchange of India</v>
    <v>XNSE</v>
    <v>XNSE</v>
    <v>IDBI Tower, 22nd Floor, B Wing, WTC Complex, Cuffe Parade, MUMBAI, MAHARASHTRA, 400005 IN</v>
    <v>102.2</v>
    <v>Banking Services</v>
    <v>Stock</v>
    <v>46017.492881944447</v>
    <v>1001</v>
    <v>100.35</v>
    <v>1085025000000</v>
    <v>IDBI Bank Limited</v>
    <v>IDBI Bank Limited</v>
    <v>100.95</v>
    <v>11.7</v>
    <v>100.91</v>
    <v>101.37</v>
    <v>10752400000</v>
    <v>IDBI</v>
    <v>IDBI Bank Limited (XNSE:IDBI)</v>
    <v>6567146</v>
    <v>7709960</v>
    <v>2004</v>
  </rv>
  <rv s="2">
    <v>1002</v>
  </rv>
  <rv s="0">
    <v>https://www.bing.com/financeapi/forcetrigger?t=ahi8zr&amp;q=XNSE%3aIDFCFIRSTB&amp;form=skydnc</v>
    <v>Learn more on Bing</v>
  </rv>
  <rv s="1">
    <v>en-US</v>
    <v>ahi8zr</v>
    <v>268435456</v>
    <v>1</v>
    <v>Powered by Refinitiv</v>
    <v>0</v>
    <v>IDFC FIRST BANK LIMITED (XNSE:IDFCFIRSTB)</v>
    <v>2</v>
    <v>3</v>
    <v>Finance</v>
    <v>4</v>
    <v>85.95</v>
    <v>52.46</v>
    <v>1.2383999999999999</v>
    <v>0.88</v>
    <v>1.0446E-2</v>
    <v>INR</v>
    <v>IDFC FIRST Bank Limited (the Bank) is a universal bank. The Bank offers end-to-end corporate banking, trade finance, such as issuance of LCs &amp; BGs, SBLC, packing credit, pre-shipment and post-shipment finance, including risk hedging solutions like forwards, swaps, options, and other forex solutions, SME banking, wealth management, cash management, nostro and vostro account operations, Escrow facilities, correspondent banking, fastag, toll-acquiring, dealer finance and purchase/sales invoice discounting. Its treasury segment primarily consists of the Bank’s investment portfolio, money market borrowing and lending, investment operations and the foreign exchange and derivatives portfolio of the Bank. Its corporate/wholesale banking segment provides loans, non-fund facilities, treasury products, and transaction services. Its retail banking segment lends to individual / business banking customers. Its other banking business segment includes the distribution of third-party products.</v>
    <v>42190</v>
    <v>National Stock Exchange of India</v>
    <v>XNSE</v>
    <v>XNSE</v>
    <v>The Square,C-61, G Block, Ground Floor To 8th Floor Bandra Kurla Complex, Bandra East, MUMBAI, MAHARASHTRA, 400051 IN</v>
    <v>85.3</v>
    <v>Banking Services</v>
    <v>Stock</v>
    <v>46017.492881944447</v>
    <v>1004</v>
    <v>84.05</v>
    <v>731665100000</v>
    <v>IDFC FIRST BANK LIMITED</v>
    <v>IDFC FIRST BANK LIMITED</v>
    <v>84.12</v>
    <v>43.03</v>
    <v>84.24</v>
    <v>85.12</v>
    <v>8595688000</v>
    <v>IDFCFIRSTB</v>
    <v>IDFC FIRST BANK LIMITED (XNSE:IDFCFIRSTB)</v>
    <v>21144747</v>
    <v>29616250</v>
    <v>2014</v>
  </rv>
  <rv s="2">
    <v>1005</v>
  </rv>
  <rv s="0">
    <v>https://www.bing.com/financeapi/forcetrigger?t=ahi9f2&amp;q=XNSE%3aIFCI&amp;form=skydnc</v>
    <v>Learn more on Bing</v>
  </rv>
  <rv s="1">
    <v>en-US</v>
    <v>ahi9f2</v>
    <v>268435456</v>
    <v>1</v>
    <v>Powered by Refinitiv</v>
    <v>0</v>
    <v>IFCI LIMITED (XNSE:IFCI)</v>
    <v>2</v>
    <v>3</v>
    <v>Finance</v>
    <v>4</v>
    <v>74.5</v>
    <v>36.200000000000003</v>
    <v>1.4654</v>
    <v>0.35</v>
    <v>6.5950000000000002E-3</v>
    <v>INR</v>
    <v>IFCI Limited is a non-banking financial company. The Company provides financial support for the diversified growth of industries across the spectrum. The financing activities cover various kinds of projects such as airports, roads, telecom, power, real estate, manufacturing, services sector, and such other allied industries. It also provides government advisory services and corporate advisory services. The Company deals in granted loans to corporate customers. It offers financial products, including loan products, project finance, corporate finance, syndication, and advisory, and structured products. The various sectors covered under project finance are power, including renewable energy, telecommunications, roads, oil and gas, ports, airports, basic metals, chemicals, pharmaceuticals, electronics, textiles, real estate, smart cities and urban infrastructure, and others. It caters to the varied needs of a diverse set of customers ranging across small, mid, and large corporates.</v>
    <v>117</v>
    <v>National Stock Exchange of India</v>
    <v>XNSE</v>
    <v>XNSE</v>
    <v>IFCI Tower, 61, Nehru Palace, NEW DELHI, DELHI, 110019 IN</v>
    <v>55.1</v>
    <v>Banking Services</v>
    <v>Stock</v>
    <v>46017.492881944447</v>
    <v>1007</v>
    <v>52.46</v>
    <v>142987300000</v>
    <v>IFCI LIMITED</v>
    <v>IFCI LIMITED</v>
    <v>52.89</v>
    <v>38.61</v>
    <v>53.07</v>
    <v>53.42</v>
    <v>2694314000</v>
    <v>IFCI</v>
    <v>IFCI LIMITED (XNSE:IFCI)</v>
    <v>12084578</v>
    <v>7369460</v>
    <v>1993</v>
  </rv>
  <rv s="2">
    <v>1008</v>
  </rv>
  <rv s="0">
    <v>https://www.bing.com/financeapi/forcetrigger?t=ahi9qh&amp;q=XNSE%3aIIFL&amp;form=skydnc</v>
    <v>Learn more on Bing</v>
  </rv>
  <rv s="1">
    <v>en-US</v>
    <v>ahi9qh</v>
    <v>268435456</v>
    <v>1</v>
    <v>Powered by Refinitiv</v>
    <v>0</v>
    <v>IIFL FINANCE LIMITED (XNSE:IIFL)</v>
    <v>2</v>
    <v>3</v>
    <v>Finance</v>
    <v>4</v>
    <v>607.54999999999995</v>
    <v>279.8</v>
    <v>1.0625</v>
    <v>-2.9</v>
    <v>-4.816E-3</v>
    <v>INR</v>
    <v>IIFL Finance Limited is an India-based Non-Banking Financial Company (NBFC), which is primarily engaged in financing and related services. It offers a comprehensive range of secured and unsecured lending products, including home loans, gold loans, business loans, microfinance, Micro, Small, and Medium Enterprises (MSME) secured loans, MSME unsecured loans, supply chain finance, construction and real estate finance, and capital market financing. Its products include gold loan at home, business loans, agriculture gold loan, education gold loan, gold loan for MSME, gold loan for women, business loan for women, secured business loan, auction, and home loans. It offers home loans, such as new home loans, home extension or improvement loans, NRI home loans, balance transfers, and loans against properties. The Company has a nationwide presence with a network of approximately 4,872 branches. The Company's subsidiaries include IIFL Home Finance Limited (HFC) and IIFL Samasta Finance Limited.</v>
    <v>14782</v>
    <v>National Stock Exchange of India</v>
    <v>XNSE</v>
    <v>XNSE</v>
    <v>802, 8th Floor, Hubtown Solaris,, N. S. Phadke Marg, Vijay Nagar,, Andheri East, MUMBAI, MAHARASHTRA, 400069 IN</v>
    <v>607.54999999999995</v>
    <v>Banking Services</v>
    <v>Stock</v>
    <v>46017.492881944447</v>
    <v>1010</v>
    <v>595</v>
    <v>256051000000</v>
    <v>IIFL FINANCE LIMITED</v>
    <v>IIFL FINANCE LIMITED</v>
    <v>605.79999999999995</v>
    <v>29.6767</v>
    <v>602.15</v>
    <v>599.25</v>
    <v>425227900</v>
    <v>IIFL</v>
    <v>IIFL FINANCE LIMITED (XNSE:IIFL)</v>
    <v>1606505</v>
    <v>1152470</v>
    <v>1995</v>
  </rv>
  <rv s="2">
    <v>1011</v>
  </rv>
  <rv s="10">
    <v>en-US</v>
    <v>cbwyu2</v>
    <v>268435456</v>
    <v>1</v>
    <v>Powered by Refinitiv</v>
    <v>18</v>
    <v>INOX INDIA LIMITED (XNSE:INOXINDIA)</v>
    <v>6</v>
    <v>3</v>
    <v>Finance</v>
    <v>4</v>
    <v>1288</v>
    <v>884.2</v>
    <v>1.0549999999999999</v>
    <v>-16.600000000000001</v>
    <v>-1.5009E-2</v>
    <v>INR</v>
    <v>INOX India Limited is an India-based manufacturer of cryogenic storage, re-gas and distribution systems for liquefied natural gas (LNG), industrial gases and cryo-scientific applications with operations in India, Brazil and Europe. The Company's expertise spans across activities ranging from conceptualization to execution, including design, engineering, manufacturing, delivery and integration of turnkey solutions. The Company has an extensive variety of cryogens, including helium, hydrogen, nitrogen, oxygen, argon, CO2, N2O, LNG and ethylene, among others. It specializes in crafting NSF approved varieties of sustainable industrial packaging, including industrial containers and beverage kegs. Its range of CRYO-BIO products have been serving dairy organizations, animal husbandries, cattle breeding farms, infertility clinics for semen preservation for artificial insemination/livestock breeding. It serves various industries including aviation and aerospace, and construction and cement.</v>
    <v>1216</v>
    <v>National Stock Exchange of India</v>
    <v>XNSE</v>
    <v>XNSE</v>
    <v>9th Floor, K P Platina, Race Course, VADODARA, GUJARAT, 390007 IN</v>
    <v>1110</v>
    <v>Machinery, Equipment &amp; Components</v>
    <v>Stock</v>
    <v>46017.492881944447</v>
    <v>1085</v>
    <v>100384400000</v>
    <v>INOX INDIA LIMITED</v>
    <v>INOX INDIA LIMITED</v>
    <v>1108.2</v>
    <v>40.85</v>
    <v>1106</v>
    <v>1089.4000000000001</v>
    <v>90763500</v>
    <v>INOXINDIA</v>
    <v>INOX INDIA LIMITED (XNSE:INOXINDIA)</v>
    <v>33709</v>
    <v>33770</v>
    <v>1976</v>
  </rv>
  <rv s="2">
    <v>1013</v>
  </rv>
  <rv s="0">
    <v>https://www.bing.com/financeapi/forcetrigger?t=ahidqh&amp;q=XNSE%3aIRB&amp;form=skydnc</v>
    <v>Learn more on Bing</v>
  </rv>
  <rv s="1">
    <v>en-US</v>
    <v>ahidqh</v>
    <v>268435456</v>
    <v>1</v>
    <v>Powered by Refinitiv</v>
    <v>0</v>
    <v>IRB INFRASTRUCTURE DEVELOPERS LIMITED (XNSE:IRB)</v>
    <v>2</v>
    <v>3</v>
    <v>Finance</v>
    <v>4</v>
    <v>60.95</v>
    <v>40.51</v>
    <v>1.2454000000000001</v>
    <v>-0.27</v>
    <v>-6.3560000000000005E-3</v>
    <v>INR</v>
    <v>IRB Infrastructure Developers Limited is an India-based integrated and multinational transport infrastructure developer in the roads and highways sector, with a major presence in the build-operate-transfer (BOT) space. The Company's in-house project execution capabilities include engineering, procurement and construction (EPC) and operation and maintenance (O&amp;M). These capabilities span across all its business verticals, like BOT, toll-operate-transfer (TOT) and hybrid annuity model (HAM). Its segments include Built, Operate and Transfer (BOT)/ Toll, Operate and Transfer (TOT), InvITs &amp; Related Asset and Construction. The BOT/ TOT Projects segment consists of operation and maintenance of roads. The lnvITs &amp; Related Assets segment consists of investments in units of IRB Infrastructure Trust, IRB InvlT Fund and other related assets. The Construction segment includes development and maintenance of roads. It has approximately 27 highway projects across 12 Indian States.</v>
    <v>3258</v>
    <v>National Stock Exchange of India</v>
    <v>XNSE</v>
    <v>XNSE</v>
    <v>IRB Complex,, Chandivali Farm,Chandivali Village,, Andheri (East),, MUMBAI, MAHARASHTRA, 400072 IN</v>
    <v>42.79</v>
    <v>Construction &amp; Engineering</v>
    <v>Stock</v>
    <v>46017.492881944447</v>
    <v>1015</v>
    <v>42.11</v>
    <v>256536700000</v>
    <v>IRB INFRASTRUCTURE DEVELOPERS LIMITED</v>
    <v>IRB INFRASTRUCTURE DEVELOPERS LIMITED</v>
    <v>42.51</v>
    <v>3.8717999999999999</v>
    <v>42.48</v>
    <v>42.21</v>
    <v>6039000000</v>
    <v>IRB</v>
    <v>IRB INFRASTRUCTURE DEVELOPERS LIMITED (XNSE:IRB)</v>
    <v>4108158</v>
    <v>6195960</v>
    <v>1998</v>
  </rv>
  <rv s="2">
    <v>1016</v>
  </rv>
  <rv s="0">
    <v>https://www.bing.com/financeapi/forcetrigger?t=ahiebh&amp;q=XNSE%3aITI&amp;form=skydnc</v>
    <v>Learn more on Bing</v>
  </rv>
  <rv s="1">
    <v>en-US</v>
    <v>ahiebh</v>
    <v>268435456</v>
    <v>1</v>
    <v>Powered by Refinitiv</v>
    <v>0</v>
    <v>ITI LIMITED (XNSE:ITI)</v>
    <v>2</v>
    <v>3</v>
    <v>Finance</v>
    <v>4</v>
    <v>592.70000000000005</v>
    <v>234.04</v>
    <v>0.83850000000000002</v>
    <v>0.85</v>
    <v>2.7150000000000004E-3</v>
    <v>INR</v>
    <v>ITI Ltd is an India-based company, which is in the business of manufacturing, trading, and servicing of telecommunication equipment’s and rendering other associated ancillary services. The Company is also engaged in defense projects. It offers a complete range of telecom products and total solutions covering the whole spectrum of switching, transmission, access, and subscriber premises equipment. Its products include digital mobile radio (DMR) system, smart energy meters, mini personal computers, smaash laptop, 3d printing, bank automation products, ruggedized telephones for defense forces, smart cards and banking cards, handheld terminals for smart card authentication, set top boxes, wi-fi equipment, solar power modules, radio modems, AN rack hardware, and others. Its traded products include Optical transport network products, managed leased line network products, signaling point network products, IP/MPLS routers and switches, network management system solutions, and others.</v>
    <v>632</v>
    <v>National Stock Exchange of India</v>
    <v>XNSE</v>
    <v>XNSE</v>
    <v>ITI Bhavan, Doorvaninagar, BANGALORE, KARNATAKA, 560016 IN</v>
    <v>328</v>
    <v>Communications &amp; Networking</v>
    <v>Stock</v>
    <v>46017.492881944447</v>
    <v>1018</v>
    <v>310.25</v>
    <v>301468900000</v>
    <v>ITI LIMITED</v>
    <v>ITI LIMITED</v>
    <v>314.2</v>
    <v>0</v>
    <v>313.10000000000002</v>
    <v>313.95</v>
    <v>962852000</v>
    <v>ITI</v>
    <v>ITI LIMITED (XNSE:ITI)</v>
    <v>2700046</v>
    <v>3736730</v>
    <v>1950</v>
  </rv>
  <rv s="2">
    <v>1019</v>
  </rv>
  <rv s="10">
    <v>en-US</v>
    <v>cd67f2</v>
    <v>268435456</v>
    <v>1</v>
    <v>Powered by Refinitiv</v>
    <v>18</v>
    <v>INDEGENE LIMITED (XNSE:INDGN)</v>
    <v>6</v>
    <v>3</v>
    <v>Finance</v>
    <v>4</v>
    <v>681.7</v>
    <v>499</v>
    <v>0.217</v>
    <v>-2.9</v>
    <v>-5.5410000000000008E-3</v>
    <v>INR</v>
    <v>Indegene Limited is an India-based tech-native, life sciences commercialization company. The Company provides digital-led commercialization services for the life sciences industry, including biopharmaceutical, emerging biotech, and medical devices companies. Its segments include Enterprise Medical Solutions, Enterprise Commercial Solutions, Brand Activation, and Others. The Enterprise Commercial Solutions business unit caters to the digital marketing operations of life sciences companies. The Enterprise Medical Solutions consolidates large-scale regulatory and medical operations for life sciences companies. The Brand Activation segment offers promotion of biopharmaceutical products and medical devices to HCPs for life sciences companies across channels. It provides customized marketing campaigns through a comprehensive portfolio of proprietary program offerings. Others mainly consist of consultancy and clinical business.</v>
    <v>4141</v>
    <v>National Stock Exchange of India</v>
    <v>XNSE</v>
    <v>XNSE</v>
    <v>Aspen Block G4, 3rd Floor, Manyata Embassy Business Park, Outer Ring Road, Nagawara, BANGALORE, KARNATAKA, 560045 IN</v>
    <v>525.9</v>
    <v>Professional &amp; Commercial Services</v>
    <v>Stock</v>
    <v>46017.492881944447</v>
    <v>513.85</v>
    <v>125734400000</v>
    <v>INDEGENE LIMITED</v>
    <v>INDEGENE LIMITED</v>
    <v>525.9</v>
    <v>28.1</v>
    <v>523.35</v>
    <v>520.45000000000005</v>
    <v>240249200</v>
    <v>INDGN</v>
    <v>INDEGENE LIMITED (XNSE:INDGN)</v>
    <v>193549</v>
    <v>183470</v>
    <v>1998</v>
  </rv>
  <rv s="2">
    <v>1021</v>
  </rv>
  <rv s="0">
    <v>https://www.bing.com/financeapi/forcetrigger?t=ahiaec&amp;q=XNSE%3aINDIACEM&amp;form=skydnc</v>
    <v>Learn more on Bing</v>
  </rv>
  <rv s="1">
    <v>en-US</v>
    <v>ahiaec</v>
    <v>268435456</v>
    <v>1</v>
    <v>Powered by Refinitiv</v>
    <v>0</v>
    <v>THE INDIA CEMENTS LIMITED (XNSE:INDIACEM)</v>
    <v>2</v>
    <v>3</v>
    <v>Finance</v>
    <v>4</v>
    <v>451.35</v>
    <v>238.85</v>
    <v>1.3602000000000001</v>
    <v>5</v>
    <v>1.146E-2</v>
    <v>INR</v>
    <v>The India Cements Limited is an India-based company, which manufactures and markets cement and cement related products. The Company's subsidiaries and associate companies are mainly engaged in the business of sugar, power, financial services, trading, mining and transportation. It operates through one single segment, which is cement. Its brands include Sankar Super Power, Coromandel King, Raasi Gold, Coromandel Super Power, Raasi Concrete and Coromandel Super King. Its specialty cements include Coromandel SRPC, Coromandel Sleeper Cement and Coromandel Oil Well Cement. Its allied products include Coromandel White and Coromandel Super Wall Putty. The Company owns and operates coal mining in Indonesia. The Company's shipping division consists of vessel operations and chartering. Its ships include Panamax ship, m.v. Chennai Valarchi. It also caters to the group's vessel requirements for importing cargoes of coal, gypsum and limestone on its own ships as well as by chartering vessels.</v>
    <v>1719</v>
    <v>National Stock Exchange of India</v>
    <v>XNSE</v>
    <v>XNSE</v>
    <v>Coromandel Towers, 93, Santhome High Road, Karpagam Avenue, R.A.Puram, CHENNAI, TAMIL NADU, 600028 IN</v>
    <v>447</v>
    <v>Construction Materials</v>
    <v>Stock</v>
    <v>46017.492881944447</v>
    <v>1023</v>
    <v>433.6</v>
    <v>135208200000</v>
    <v>THE INDIA CEMENTS LIMITED</v>
    <v>THE INDIA CEMENTS LIMITED</v>
    <v>434.15</v>
    <v>361.53</v>
    <v>436.3</v>
    <v>441.3</v>
    <v>309897200</v>
    <v>INDIACEM</v>
    <v>THE INDIA CEMENTS LIMITED (XNSE:INDIACEM)</v>
    <v>314856</v>
    <v>1270770</v>
    <v>1946</v>
  </rv>
  <rv s="2">
    <v>1024</v>
  </rv>
  <rv s="0">
    <v>https://www.bing.com/financeapi/forcetrigger?t=bqsoyc&amp;q=XNSE%3aINDIAMART&amp;form=skydnc</v>
    <v>Learn more on Bing</v>
  </rv>
  <rv s="1">
    <v>en-US</v>
    <v>bqsoyc</v>
    <v>268435456</v>
    <v>1</v>
    <v>Powered by Refinitiv</v>
    <v>0</v>
    <v>INDIAMART INTERMESH LIMITED (XNSE:INDIAMART)</v>
    <v>2</v>
    <v>3</v>
    <v>Finance</v>
    <v>4</v>
    <v>2799</v>
    <v>1884.51</v>
    <v>0.8347</v>
    <v>-14.5</v>
    <v>-6.5000000000000006E-3</v>
    <v>INR</v>
    <v>IndiaMART InterMESH Limited is an India-based company. The Company is an online business-to-business (B2B) marketplace, which connects buyers with suppliers. Its channel is focused on providing a platform for small and medium enterprises (SMEs), large enterprises, as well as individuals. The Company operates through two segments: Web and related Services and Accounting Software Services. Web and related services segment provide business-to-business e-marketplace services, which acts as an interactive hub for domestic and international buyers and suppliers. The Accounting software services segment provides the business of development, system analysis, designing and marketing of integrated business accounting software to help and manage businesses with increased efficiency. The Company's solutions include IM Leader, IM Star, TrustSEAL, Maximiser, IndiaMART Paid Service (MDC), IndiaMART Verified Exporter, enterprise solutions, and advertising solutions.</v>
    <v>6102</v>
    <v>National Stock Exchange of India</v>
    <v>XNSE</v>
    <v>XNSE</v>
    <v>6th floor, Tower 2, Assotech Business Cresterra, Plot No.22, Sec 135, NOIDA, UTTAR PRADESH, 201305 IN</v>
    <v>2244.9</v>
    <v>Software &amp; IT Services</v>
    <v>Stock</v>
    <v>46017.492881944447</v>
    <v>1026</v>
    <v>2205.5</v>
    <v>134002300000</v>
    <v>INDIAMART INTERMESH LIMITED</v>
    <v>INDIAMART INTERMESH LIMITED</v>
    <v>2236</v>
    <v>24.721399999999999</v>
    <v>2230.6999999999998</v>
    <v>2216.1999999999998</v>
    <v>60071860</v>
    <v>INDIAMART</v>
    <v>INDIAMART INTERMESH LIMITED (XNSE:INDIAMART)</v>
    <v>21939</v>
    <v>58460</v>
    <v>1999</v>
  </rv>
  <rv s="2">
    <v>1027</v>
  </rv>
  <rv s="0">
    <v>https://www.bing.com/financeapi/forcetrigger?t=ahiak2&amp;q=XNSE%3aINDIANB&amp;form=skydnc</v>
    <v>Learn more on Bing</v>
  </rv>
  <rv s="1">
    <v>en-US</v>
    <v>ahiak2</v>
    <v>268435456</v>
    <v>1</v>
    <v>Powered by Refinitiv</v>
    <v>0</v>
    <v>Indian Bank (XNSE:INDIANB)</v>
    <v>2</v>
    <v>3</v>
    <v>Finance</v>
    <v>4</v>
    <v>894.85</v>
    <v>473.9</v>
    <v>1.1716</v>
    <v>1.25</v>
    <v>1.6080000000000001E-3</v>
    <v>INR</v>
    <v>Indian Bank is an India-based public sector bank. Its segments include Treasury, Corporate/Wholesale Banking, Retail Banking and Other Banking Business. Treasury Segment includes the entire investment portfolio and trading in foreign exchange contracts and derivative contracts. Corporate/Wholesale Banking segment comprises the lending activities of corporate accounts group, commercial clients group and stressed assets resolution group. This segment providing loans and transaction services to corporate and institutional clients and also include non-treasury operations of foreign offices. Retail banking segment includes digital banking and other retail banking. Its other retail banking comprises of retail branches, which includes personal banking activities including lending activities to corporate customers having banking relations with these branches. It has over 5847 (including three digital banking units) domestic branches, three overseas branches and one IFSC banking unit.</v>
    <v>40071</v>
    <v>National Stock Exchange of India</v>
    <v>XNSE</v>
    <v>XNSE</v>
    <v>PB No: 5555, 254-260, Avvai Shanmugam Salai,, Royapettah,, CHENNAI, TAMIL NADU, 600014 IN</v>
    <v>781.5</v>
    <v>Banking Services</v>
    <v>Stock</v>
    <v>46017.492881944447</v>
    <v>1029</v>
    <v>772.1</v>
    <v>1046860000000</v>
    <v>Indian Bank</v>
    <v>Indian Bank</v>
    <v>777.2</v>
    <v>9.2799999999999994</v>
    <v>777.2</v>
    <v>778.45</v>
    <v>1346964000</v>
    <v>INDIANB</v>
    <v>Indian Bank (XNSE:INDIANB)</v>
    <v>710328</v>
    <v>1274280</v>
    <v>1907</v>
  </rv>
  <rv s="2">
    <v>1030</v>
  </rv>
  <rv s="0">
    <v>https://www.bing.com/financeapi/forcetrigger?t=ahi96h&amp;q=XNSE%3aIEX&amp;form=skydnc</v>
    <v>Learn more on Bing</v>
  </rv>
  <rv s="1">
    <v>en-US</v>
    <v>ahi96h</v>
    <v>268435456</v>
    <v>1</v>
    <v>Powered by Refinitiv</v>
    <v>0</v>
    <v>INDIAN ENERGY EXCHANGE LIMITED (XNSE:IEX)</v>
    <v>2</v>
    <v>3</v>
    <v>Finance</v>
    <v>4</v>
    <v>215.4</v>
    <v>130.26</v>
    <v>1.5926</v>
    <v>-3.78</v>
    <v>-2.7167E-2</v>
    <v>INR</v>
    <v>Indian Energy Exchange Limited is a Power Exchange. The main activity of the Company is to provide an automated platform and infrastructure for carrying out trading in electricity units for physical delivery of electricity. It offers various trade markets, such as the electricity market, green market, and certificates. The electricity market includes day-ahead market (DAM), term ahead market, real-time market, and cross border electricity trade. The green market includes the green term ahead market, green intra day market, and green day-ahead market. The certificate market includes renewable energy certificates and energy-saving certificates. Its market data includes day-ahead market, green day-ahead market (G-Dam), real-time market, Renewable Energy Certificate (REC) Market, Energy Saving Certificates (ESCerTs) market, trading calendar, and clearing holidays. DAM is a physical electricity trading market, which allows market participants to buy and sell electricity for the next day.</v>
    <v>179</v>
    <v>National Stock Exchange of India</v>
    <v>XNSE</v>
    <v>XNSE</v>
    <v>Plot No. C-001/A/1, 9th Floor,, Max Towers, Sector 16 B,, Gautam Buddha Nagar,, NOIDA, UTTAR PRADESH, 201301 IN</v>
    <v>137.5</v>
    <v>Investment Banking &amp; Investment Services</v>
    <v>Stock</v>
    <v>46017.492881944447</v>
    <v>1032</v>
    <v>133.29</v>
    <v>123737200000</v>
    <v>INDIAN ENERGY EXCHANGE LIMITED</v>
    <v>INDIAN ENERGY EXCHANGE LIMITED</v>
    <v>137.5</v>
    <v>25.6553</v>
    <v>139.13999999999999</v>
    <v>135.36000000000001</v>
    <v>889300300</v>
    <v>IEX</v>
    <v>INDIAN ENERGY EXCHANGE LIMITED (XNSE:IEX)</v>
    <v>14251319</v>
    <v>3284070</v>
    <v>2007</v>
  </rv>
  <rv s="2">
    <v>1033</v>
  </rv>
  <rv s="0">
    <v>https://www.bing.com/financeapi/forcetrigger?t=ahidc7&amp;q=XNSE%3aIOB&amp;form=skydnc</v>
    <v>Learn more on Bing</v>
  </rv>
  <rv s="1">
    <v>en-US</v>
    <v>ahidc7</v>
    <v>268435456</v>
    <v>1</v>
    <v>Powered by Refinitiv</v>
    <v>0</v>
    <v>Indian Overseas Bank (XNSE:IOB)</v>
    <v>2</v>
    <v>3</v>
    <v>Finance</v>
    <v>4</v>
    <v>54.54</v>
    <v>33.5</v>
    <v>0.81389999999999996</v>
    <v>0.01</v>
    <v>2.9480000000000001E-4</v>
    <v>INR</v>
    <v>Indian Overseas Bank (the Bank) is engaged in the business of banking. The Bank's segments include Treasury, Corporate/Wholesale Banking, Retail Banking and Other Banking Operations. The Bank’s operations consist of domestic deposits; domestic advances; foreign exchange operations; investments; micro, small and medium enterprises, including the MUDRA Loan Scheme; retail banking, including Arogya Mahila Savings Bank Accounts; Mid-Corporate department; agricultural credit portfolio; loans to small and marginal farmers; loans to non-corporate farmers, and microfinance. Its personal banking services include savings bank, current accounts, term deposits, retail loans, and mortgages and depository services. It offers merchant banking for issues, debenture trustee, dividend/interest warrants and others. It also offers Internet and mobile banking services. Its overseas branches with operations in Singapore, Colombo, Hong Kong and Bangkok.</v>
    <v>20966</v>
    <v>National Stock Exchange of India</v>
    <v>XNSE</v>
    <v>XNSE</v>
    <v>762/763, Iob,, Anna Salai,, CHENNAI, TAMIL NADU, 600002 IN</v>
    <v>34.07</v>
    <v>Banking Services</v>
    <v>Stock</v>
    <v>46017.492881944447</v>
    <v>1035</v>
    <v>33.71</v>
    <v>653183500000</v>
    <v>Indian Overseas Bank</v>
    <v>Indian Overseas Bank</v>
    <v>33.81</v>
    <v>14.815899999999999</v>
    <v>33.92</v>
    <v>33.93</v>
    <v>19256590000</v>
    <v>IOB</v>
    <v>Indian Overseas Bank (XNSE:IOB)</v>
    <v>3999606</v>
    <v>9451690</v>
    <v>1937</v>
  </rv>
  <rv s="2">
    <v>1036</v>
  </rv>
  <rv s="0">
    <v>https://www.bing.com/financeapi/forcetrigger?t=ahi9kr&amp;q=XNSE%3aIGL&amp;form=skydnc</v>
    <v>Learn more on Bing</v>
  </rv>
  <rv s="1">
    <v>en-US</v>
    <v>ahi9kr</v>
    <v>268435456</v>
    <v>1</v>
    <v>Powered by Refinitiv</v>
    <v>0</v>
    <v>INDRAPRASTHA GAS LIMITED (XNSE:IGL)</v>
    <v>2</v>
    <v>3</v>
    <v>Finance</v>
    <v>4</v>
    <v>229</v>
    <v>172</v>
    <v>0.88029999999999997</v>
    <v>-0.2</v>
    <v>-1.0319999999999999E-3</v>
    <v>INR</v>
    <v>Indraprastha Gas Limited is a city gas distribution company. The Company is engaged in the sale of natural gas. It is focused on industrial and commercial business. It provides safe and uninterrupted gas supply to transport, domestic, commercial and industrial consumers through its distribution network. It offers piped natural gas (PNG), which includes methane-CH4, with a small percentage of other hydrocarbons. It also offers compressed natural gas (CNG), which is a gaseous fuel and is a mixture of hydrocarbons, mainly methane. Its operations cover various regions, including the NCT of Delhi, Noida, Greater Noida, Ghaziabad and Hapur, Gurugram, Meerut, Shamli, Muzaffarnagar, Karnal, Rewari, Kanpur, Hamirpur and Fatehpur districts, Kaithal, Ajmer, Pali, Rajsamand, Banda and others. It supplies PNG in all hotels, restaurants, malls, commercial complexes, educational/religious institutions and hospitals in various districts in and around Delhi-NCR under the commercial sector.</v>
    <v>720</v>
    <v>National Stock Exchange of India</v>
    <v>XNSE</v>
    <v>XNSE</v>
    <v>IGL Bhawan, Plot No. 4,, Community Centre, Sector 9, R K Puram, NEW DELHI, DELHI, 110022 IN</v>
    <v>194.67</v>
    <v>Natural Gas Utilities</v>
    <v>Stock</v>
    <v>46017.492881944447</v>
    <v>1038</v>
    <v>192.75</v>
    <v>271222300000</v>
    <v>INDRAPRASTHA GAS LIMITED</v>
    <v>INDRAPRASTHA GAS LIMITED</v>
    <v>193.97</v>
    <v>16.976900000000001</v>
    <v>193.73</v>
    <v>193.53</v>
    <v>1400002000</v>
    <v>IGL</v>
    <v>INDRAPRASTHA GAS LIMITED (XNSE:IGL)</v>
    <v>673273</v>
    <v>5456040</v>
    <v>1998</v>
  </rv>
  <rv s="2">
    <v>1039</v>
  </rv>
  <rv s="0">
    <v>https://www.bing.com/financeapi/forcetrigger?t=ahicfr&amp;q=XNSE%3aINDUSTOWER&amp;form=skydnc</v>
    <v>Learn more on Bing</v>
  </rv>
  <rv s="1">
    <v>en-US</v>
    <v>ahicfr</v>
    <v>268435456</v>
    <v>1</v>
    <v>Powered by Refinitiv</v>
    <v>0</v>
    <v>Indus Towers Limited (XNSE:INDUSTOWER)</v>
    <v>2</v>
    <v>3</v>
    <v>Finance</v>
    <v>4</v>
    <v>430</v>
    <v>312.55</v>
    <v>1.1026</v>
    <v>-4.05</v>
    <v>-9.554E-3</v>
    <v>INR</v>
    <v>Indus Towers Limited is an India-based telecommunications (telecom) infrastructure provider. The Company deploys, owns, and manages telecom towers and communication structures. Its offerings include tower, power, space; smart cities; tower operations centers (TOC), and green technology. It deploys the passive physical infrastructure necessary to house the active equipment - the base transceiver station, transmission link, and microwave antenna. Its towers range from the traditional lattice type structure, such as the ground-based tower and rooftop tower or pole, to lightweight hybrid poles, monopoles or camouflaged towers that merge with the backdrop. Its towers are powered by either grid-sourced electricity or diesel generators. It acquires the requisite space from residential and commercial property owners for placing its passive infrastructure at various locations. It owns and operates approximately 219,736 towers with 368,588 co-locations.</v>
    <v>3732</v>
    <v>National Stock Exchange of India</v>
    <v>XNSE</v>
    <v>XNSE</v>
    <v>Building No. 10, Tower-A, 4th Floor, DLF Cyber City, GURGAON, HARYANA, 122002 IN</v>
    <v>427.55</v>
    <v>Telecommunications Services</v>
    <v>Stock</v>
    <v>46017.492881944447</v>
    <v>1041</v>
    <v>419.05</v>
    <v>1117882000000</v>
    <v>Indus Towers Limited</v>
    <v>Indus Towers Limited</v>
    <v>423.9</v>
    <v>11.94</v>
    <v>423.9</v>
    <v>419.85</v>
    <v>2637135000</v>
    <v>INDUSTOWER</v>
    <v>Indus Towers Limited (XNSE:INDUSTOWER)</v>
    <v>2510361</v>
    <v>5833390</v>
    <v>2006</v>
  </rv>
  <rv s="2">
    <v>1042</v>
  </rv>
  <rv s="0">
    <v>https://www.bing.com/financeapi/forcetrigger?t=ahibur&amp;q=XNSE%3aINDUSINDBK&amp;form=skydnc</v>
    <v>Learn more on Bing</v>
  </rv>
  <rv s="1">
    <v>en-US</v>
    <v>ahibur</v>
    <v>268435456</v>
    <v>1</v>
    <v>Powered by Refinitiv</v>
    <v>0</v>
    <v>INDUSIND BANK LTD. (XNSE:INDUSINDBK)</v>
    <v>2</v>
    <v>3</v>
    <v>Finance</v>
    <v>4</v>
    <v>1086.55</v>
    <v>606</v>
    <v>1.3396999999999999</v>
    <v>1.8</v>
    <v>2.1229999999999999E-3</v>
    <v>INR</v>
    <v>IndusInd Bank Limited (the Bank) is engaged in providing financial services. The Bank offers a wide range of products and services for individuals and corporates, including microfinance, personal loans, personal and commercial vehicle loans, credit cards and small to medium enterprise (SME) loans. The Bank's segments include Treasury, Corporate/ Wholesale Banking, Retail Banking, and Other Banking Operation. The Treasury segment includes all investment portfolios, profit/ loss on sale of investments, profit/ loss on foreign exchange transactions, equities, income from derivatives and money market operations. The Corporate/ Wholesale Banking segment includes lending to and deposits from corporate customers and identified earnings and expenses of the segment. The Retail Banking segment includes lending to and deposits from retail customers and identifies earnings and expenses of the segment. The Retail Banking segment is sub-divided into Digital Banking and Other Retail Banking segment.</v>
    <v>44974</v>
    <v>National Stock Exchange of India</v>
    <v>XNSE</v>
    <v>XNSE</v>
    <v>8th floor, Tower 1, One World Center, Senapati Bapat Marg, Elphinstone Road (W), MUMBAI, MAHARASHTRA, 400013 IN</v>
    <v>858.9</v>
    <v>Banking Services</v>
    <v>Stock</v>
    <v>46017.492881944447</v>
    <v>1044</v>
    <v>837.1</v>
    <v>662097700000</v>
    <v>INDUSIND BANK LTD.</v>
    <v>INDUSIND BANK LTD.</v>
    <v>841.05</v>
    <v>0</v>
    <v>848.05</v>
    <v>849.85</v>
    <v>779076000</v>
    <v>INDUSINDBK</v>
    <v>INDUSIND BANK LTD. (XNSE:INDUSINDBK)</v>
    <v>4257972</v>
    <v>2918250</v>
    <v>1994</v>
  </rv>
  <rv s="2">
    <v>1045</v>
  </rv>
  <rv s="0">
    <v>https://www.bing.com/financeapi/forcetrigger?t=ahicu2&amp;q=XNSE%3aINOXWIND&amp;form=skydnc</v>
    <v>Learn more on Bing</v>
  </rv>
  <rv s="1">
    <v>en-US</v>
    <v>ahicu2</v>
    <v>268435456</v>
    <v>1</v>
    <v>Powered by Refinitiv</v>
    <v>0</v>
    <v>INOX WIND LIMITED (XNSE:INOXWIND)</v>
    <v>2</v>
    <v>3</v>
    <v>Finance</v>
    <v>4</v>
    <v>198.13</v>
    <v>118.28</v>
    <v>1.3501000000000001</v>
    <v>-0.32</v>
    <v>-2.5249999999999999E-3</v>
    <v>INR</v>
    <v>Inox Wind Limited is an India-based wind energy solutions provider servicing independent power producers, utilities, public sector units and corporate investors. The Company is engaged in the business of manufacturing and selling wind turbine generators (WTGs). It provides erection, procurement and commissioning (EPC), operations and maintenance and common infrastructure facilities services for WTGs and wind farm development services. It is also engaged in the business of generation and sale of wind energy and holds a strategic business interest in renewable energy. Its subsidiary, Inox Green Energy Services Ltd., is the pure-play renewable operation and maintenance services company in India. Its subsidiary, Inox Renewable Solutions, provides EPC services for wind projects and develops common infrastructure, including power evacuation infrastructure, for renewable projects. Its wind turbine products include INOX DF 2000 with RD 93, RD 100 and RD 113 and DF 3000/3300 with RD 145 models.</v>
    <v>1235</v>
    <v>National Stock Exchange of India</v>
    <v>XNSE</v>
    <v>XNSE</v>
    <v>INOXGFL Towers, Plot No. 17, Sector 16-A, Noida-201 301, NOIDA, UTTAR PRADESH, 201301 IN</v>
    <v>128.87</v>
    <v>Renewable Energy</v>
    <v>Stock</v>
    <v>46017.492881944447</v>
    <v>1047</v>
    <v>126</v>
    <v>218501100000</v>
    <v>INOX WIND LIMITED</v>
    <v>INOX WIND LIMITED</v>
    <v>126.75</v>
    <v>38.32</v>
    <v>126.75</v>
    <v>126.43</v>
    <v>1728238000</v>
    <v>INOXWIND</v>
    <v>INOX WIND LIMITED (XNSE:INOXWIND)</v>
    <v>4077428</v>
    <v>6111230</v>
    <v>2009</v>
  </rv>
  <rv s="2">
    <v>1048</v>
  </rv>
  <rv s="0">
    <v>https://www.bing.com/financeapi/forcetrigger?t=ahid3m&amp;q=XNSE%3aINTELLECT&amp;form=skydnc</v>
    <v>Learn more on Bing</v>
  </rv>
  <rv s="1">
    <v>en-US</v>
    <v>ahid3m</v>
    <v>268435456</v>
    <v>1</v>
    <v>Powered by Refinitiv</v>
    <v>0</v>
    <v>INTELLECT DESIGN ARENA LIMITED (XNSE:INTELLECT)</v>
    <v>2</v>
    <v>3</v>
    <v>Finance</v>
    <v>4</v>
    <v>1251.8599999999999</v>
    <v>575.95000000000005</v>
    <v>1.6263000000000001</v>
    <v>-18.8</v>
    <v>-1.8610000000000002E-2</v>
    <v>INR</v>
    <v>Intellect Design Arena Limited is an India-based holding company engaged in the development, marketing, and sale of integrated banking software systems and provides software product licenses and related services. It offers banking and insurance technology products through its three lines of businesses, including Intellect Global Consumer Banking (iGCB), Intellect Global Transaction Banking (iGTB), and Intellect Artificial Intelligence (AI). It offers a suite of platforms, which include event-driven, microservices-based, cloud-native, headless with underlying AI models (eMACH.ai); Cash Cloud; iColumbus; Xponent; Purple Fabric, and iTurmeric. Its eMACH.ai is the open finance platform that offers banks and financial institutions the ability to compose their own My Signature Solution. Purple Fabric is an open business impact AI platform. iTurmeric is a composable platform for integration and configuration, which enables banks and financial institutions to reimagine application development.</v>
    <v>6282</v>
    <v>National Stock Exchange of India</v>
    <v>XNSE</v>
    <v>XNSE</v>
    <v>Plot No.3/G -3,, SIPCOT IT Park,, Siruseri,, CHENNAI, TAMIL NADU, 600130 IN</v>
    <v>1018</v>
    <v>Financial Technology (Fintech) &amp; Infrastructure</v>
    <v>Stock</v>
    <v>46017.492881944447</v>
    <v>1050</v>
    <v>989.1</v>
    <v>138117300000</v>
    <v>INTELLECT DESIGN ARENA LIMITED</v>
    <v>INTELLECT DESIGN ARENA LIMITED</v>
    <v>1011.9</v>
    <v>34.619999999999997</v>
    <v>1010.2</v>
    <v>991.4</v>
    <v>139315500</v>
    <v>INTELLECT</v>
    <v>INTELLECT DESIGN ARENA LIMITED (XNSE:INTELLECT)</v>
    <v>110804</v>
    <v>183350</v>
    <v>2011</v>
  </rv>
  <rv s="2">
    <v>1051</v>
  </rv>
  <rv s="10">
    <v>en-US</v>
    <v>cfgn6h</v>
    <v>268435456</v>
    <v>1</v>
    <v>Powered by Refinitiv</v>
    <v>18</v>
    <v>INTERNATIONAL GEMMOLOGICAL INSTITUTE (INDIA) LIMITED (XNSE:IGIL)</v>
    <v>6</v>
    <v>3</v>
    <v>Finance</v>
    <v>4</v>
    <v>642.29999999999995</v>
    <v>282</v>
    <v>1.55</v>
    <v>6.1</v>
    <v>1.8547000000000001E-2</v>
    <v>INR</v>
    <v>International Gemmological Institute (India) Limited is an independent certification and accreditation services provider. It is engaged in the certification of diamonds, gemstones, jewelry and related education with comprehensive analysis and clear documentation for consumers. Its services include Diamond Screening, Diamond Sorting, Duplicate/Updated Report, IGI Laserscribe, Registration &amp; Recovery, IGI Gem and Jewelry Appraisal Services, and Blockchain-Based Digital Diamond Certificate. It provides the jewelry community and consumers with a broad range of services, including natural and laboratory-grown diamond reports, colored stone grading and origin reports, and jewelry identification and appraisal reports. It also has schools of Gemology at various locations and offers a variety of courses designed for professionals and consumer enthusiasts. It also operates laboratories and offices in Mumbai, Kolkata, New Delhi, Thrissur, Jaipur, Surat, Chennai, Ahmedabad, Hyderabad and others.</v>
    <v>890</v>
    <v>National Stock Exchange of India</v>
    <v>XNSE</v>
    <v>XNSE</v>
    <v>702, The Capital, Bandra Kurla Complex, Bandra (E), MUMBAI, MAHARASHTRA, 400051 IN</v>
    <v>337.4</v>
    <v>Professional &amp; Commercial Services</v>
    <v>Stock</v>
    <v>46017.492881944447</v>
    <v>327.39999999999998</v>
    <v>142137300000</v>
    <v>INTERNATIONAL GEMMOLOGICAL INSTITUTE (INDIA) LIMITED</v>
    <v>INTERNATIONAL GEMMOLOGICAL INSTITUTE (INDIA) LIMITED</v>
    <v>328.75</v>
    <v>26.07</v>
    <v>328.9</v>
    <v>335</v>
    <v>432159700</v>
    <v>IGIL</v>
    <v>INTERNATIONAL GEMMOLOGICAL INSTITUTE (INDIA) LIMITED (XNSE:IGIL)</v>
    <v>897860</v>
    <v>355280</v>
    <v>1999</v>
  </rv>
  <rv s="2">
    <v>1053</v>
  </rv>
  <rv s="10">
    <v>en-US</v>
    <v>cfgiu2</v>
    <v>268435456</v>
    <v>1</v>
    <v>Powered by Refinitiv</v>
    <v>18</v>
    <v>INVENTURUS KNOWLEDGE SOLUTIONS LIMITED (XNSE:IKS)</v>
    <v>6</v>
    <v>3</v>
    <v>Finance</v>
    <v>4</v>
    <v>2189</v>
    <v>1236.8</v>
    <v>0.87</v>
    <v>-19</v>
    <v>-1.0858000000000001E-2</v>
    <v>INR</v>
    <v>Inventurus Knowledge Solutions Limited is an India-based company. The Company is a technology-enabled healthcare solutions provider and offers a care enablement platform assisting physician enterprises in the United States, Canada and Australia, with a focus on the United States market. It offers a comprehensive platform that enables healthcare enterprises across outpatient and inpatient care. Its technology solutions include IKS EVE, Optimix, IKS Stacks, IKS AssuRx, Dashboard, and IKS Scribble. IKS EVE is its multi-channel patient access and patient engagement solution. Optimix is its proprietary workflow management platform for revenue optimization. IKS Stacks scans, identifies and abstracts relevant data from incoming clinical documents. In addition, it also uses robotic process automation (RPA) to help automate structured and repetitive processes in virtual desktop/ application environments. Its other platforms include QTranscribe/Medico-Legal, QDocprep, QScribe Assist, and QCode.</v>
    <v>7530</v>
    <v>National Stock Exchange of India</v>
    <v>XNSE</v>
    <v>XNSE</v>
    <v>801, Building No. 5&amp;6, 8th Floor,, Mindspace Business Park (SEZ), Thane-Belapur Road, Airoli, NAVI MUMBAI, MAHARASHTRA, 400708 IN</v>
    <v>1749.8</v>
    <v>Software &amp; IT Services</v>
    <v>Stock</v>
    <v>46017.492881944447</v>
    <v>1721.3</v>
    <v>292832400000</v>
    <v>INVENTURUS KNOWLEDGE SOLUTIONS LIMITED</v>
    <v>INVENTURUS KNOWLEDGE SOLUTIONS LIMITED</v>
    <v>1749.8</v>
    <v>47.9</v>
    <v>1749.8</v>
    <v>1730.8</v>
    <v>167351900</v>
    <v>IKS</v>
    <v>INVENTURUS KNOWLEDGE SOLUTIONS LIMITED (XNSE:IKS)</v>
    <v>60488</v>
    <v>196590</v>
    <v>2006</v>
  </rv>
  <rv s="2">
    <v>1055</v>
  </rv>
  <rv s="0">
    <v>https://www.bing.com/financeapi/forcetrigger?t=ahidnm&amp;q=XNSE%3aIPCALAB&amp;form=skydnc</v>
    <v>Learn more on Bing</v>
  </rv>
  <rv s="1">
    <v>en-US</v>
    <v>ahidnm</v>
    <v>268435456</v>
    <v>1</v>
    <v>Powered by Refinitiv</v>
    <v>0</v>
    <v>IPCA LABORATORIES LIMITED (XNSE:IPCALAB)</v>
    <v>2</v>
    <v>3</v>
    <v>Finance</v>
    <v>4</v>
    <v>1755.9</v>
    <v>1168.2</v>
    <v>0.70109999999999995</v>
    <v>25.1</v>
    <v>1.7742000000000001E-2</v>
    <v>INR</v>
    <v>Ipca Laboratories Limited is an India-based integrated pharmaceutical company. The Company is engaged in manufacturing and marketing over 350 formulations and approximately 80 active pharmaceutical ingredients (APIs) covering various therapeutic segments. It offers APIs, such as Atenolol, Chloroquine Phosphate, Chlorthalidone, Furosemide, Hydroxychloroquine sulfate, Losartan, Metoprolol Succinate, Metoprolol Tartrate, Pyrantel Salts and Propranolol. The Company offers brands, such as Zerodol, Lariago, HCQS, Perinorm, Rapither AB, Tenoric, Lumerax, Etova, Fexova, Malirid, Allsuth, Alwiz, AZR 50mg, Bacilon, Cinkona, Clarbact, Glyree MV, Halotop, Luliz, Ozepam, Pacimol, Pari, Xtor-F, Zabpro, Zilast, Ramcor, Sove, Venpower and Folitrax. The Company’s products are sold in over 100 countries across the globe. The Company has 18 manufacturing units in India manufacturing APIs and formulations. Its subsidiaries include Ipca Pharmaceuticals, Inc. and Ipca Pharma Nigeria Ltd.</v>
    <v>18043</v>
    <v>National Stock Exchange of India</v>
    <v>XNSE</v>
    <v>XNSE</v>
    <v>125, Kandivli Industrial Estate, Kandivli (West),, MUMBAI, MAHARASHTRA, 400067 IN</v>
    <v>1446</v>
    <v>Pharmaceuticals</v>
    <v>Stock</v>
    <v>46017.492881944447</v>
    <v>1057</v>
    <v>1398.1</v>
    <v>358915300000</v>
    <v>IPCA LABORATORIES LIMITED</v>
    <v>IPCA LABORATORIES LIMITED</v>
    <v>1420.4</v>
    <v>43.15</v>
    <v>1414.7</v>
    <v>1439.8</v>
    <v>253704200</v>
    <v>IPCALAB</v>
    <v>IPCA LABORATORIES LIMITED (XNSE:IPCALAB)</v>
    <v>99953</v>
    <v>113020</v>
    <v>1949</v>
  </rv>
  <rv s="2">
    <v>1058</v>
  </rv>
  <rv s="0">
    <v>https://www.bing.com/financeapi/forcetrigger?t=ahifp2&amp;q=XNSE%3aJBCHEPHARM&amp;form=skydnc</v>
    <v>Learn more on Bing</v>
  </rv>
  <rv s="1">
    <v>en-US</v>
    <v>ahifp2</v>
    <v>268435456</v>
    <v>1</v>
    <v>Powered by Refinitiv</v>
    <v>0</v>
    <v>J B CHEMICALS AND PHARMACEUTICALS LIMITED (XNSE:JBCHEPHARM)</v>
    <v>2</v>
    <v>3</v>
    <v>Finance</v>
    <v>4</v>
    <v>1918.5</v>
    <v>1385.75</v>
    <v>0.41760000000000003</v>
    <v>3.1</v>
    <v>1.7080000000000001E-3</v>
    <v>INR</v>
    <v>J.B. Chemicals &amp; Pharmaceuticals Limited is an India-based pharmaceutical company. The Company specializes in gastroenterology, hypertension and dermatology. It is also focused on other therapeutic categories like nephrology, respiratory, virology, diabetes, and nicotine replacement therapy (NRT). The Company is engaged in the business of manufacturing and marketing of a diverse range of pharmaceutical formulations, herbal remedies and active pharmaceutical ingredients (APIs). Its brands include Nicardia, Cilacar, Rantac, Metrogyl, and Cilacar-T. It specializes in manufacturing medicated and herbal lozenges. It produces hard-candy lozenges, soft-center lozenges and powder-filled lozenges for varied medical needs. Its API products include Diclofenac Sodium, Diclofenac Diethylamine, Diclofenac Acid, Nifedipine, and others. It maintains a direct presence in Russia and South Africa, while leveraging distributor partnerships across the United States, Asia, Africa, and Latin America.</v>
    <v>5517</v>
    <v>National Stock Exchange of India</v>
    <v>XNSE</v>
    <v>XNSE</v>
    <v>cnergy IT park, unit A2, 3rd floor &amp; uNIT A, 8th floor, Appa Saheb Marathe Marg, Prabhadevi, MUMBAI, MAHARASHTRA, 400025 IN</v>
    <v>1827.5</v>
    <v>Pharmaceuticals</v>
    <v>Stock</v>
    <v>46017.492881944447</v>
    <v>1060</v>
    <v>1801.7</v>
    <v>284399800000</v>
    <v>J B CHEMICALS AND PHARMACEUTICALS LIMITED</v>
    <v>J B CHEMICALS AND PHARMACEUTICALS LIMITED</v>
    <v>1827.5</v>
    <v>39.380000000000003</v>
    <v>1815.5</v>
    <v>1818.6</v>
    <v>156651000</v>
    <v>JBCHEPHARM</v>
    <v>J B CHEMICALS AND PHARMACEUTICALS LIMITED (XNSE:JBCHEPHARM)</v>
    <v>173611</v>
    <v>106160</v>
    <v>1976</v>
  </rv>
  <rv s="2">
    <v>1061</v>
  </rv>
  <rv s="0">
    <v>https://www.bing.com/financeapi/forcetrigger?t=ahihc7&amp;q=XNSE%3aJKCEMENT&amp;form=skydnc</v>
    <v>Learn more on Bing</v>
  </rv>
  <rv s="1">
    <v>en-US</v>
    <v>ahihc7</v>
    <v>268435456</v>
    <v>1</v>
    <v>Powered by Refinitiv</v>
    <v>0</v>
    <v>J. K. CEMENT LIMITED. (XNSE:JKCEMENT)</v>
    <v>2</v>
    <v>3</v>
    <v>Finance</v>
    <v>4</v>
    <v>7565.5</v>
    <v>4218.8999999999996</v>
    <v>0.98419999999999996</v>
    <v>-6.5</v>
    <v>-1.142E-3</v>
    <v>INR</v>
    <v>J.K. Cement Ltd. is an India-based cement and building products manufacturer company. The Company's product portfolio includes grey cement, white cement, wall putty, gypsum plaster and grouts, and paints. Grey cement offers JK Super Protect Cement, JK Super Strong Concrete Special, JK Super Cement Portland Pozzolana Cement (PPC), JK Super Ordinary Portland Cement (OPC) 43, JK Super OPC 53, JK Super Portland Slag Cement (PSC), and JK Super LC-3 Cement. The White cement portfolio includes JKC WhiteMaxX, and JKC GypsoMaxX. The Wall Putty portfolio provides JKC WallMaxX, JKC WallMaxX Advanced, JKC ShieldMaxX, JKC LevelMaxX, and JKC LevelMaxX Plus. Its JKMaxx Paints portfolio includes interior emulsions, exterior emulsions, distemper, enamel, and primers. Its Wood Finishes portfolio includes Italian Range of Wood Finishes, Indian Range of Wood Finishes, and Melamine Wood Finishes. The Company's subsidiaries include J.K. Cement (Fujairah) FZC, and Toshali Cements Pvt Ltd., among others.</v>
    <v>4772</v>
    <v>National Stock Exchange of India</v>
    <v>XNSE</v>
    <v>XNSE</v>
    <v>Prism Tower, 5th Floor, Ninaniya Estate, Gwal Pahari, Gurugram, HARYANA, 208001 IN</v>
    <v>5739</v>
    <v>Construction Materials</v>
    <v>Stock</v>
    <v>46017.492881944447</v>
    <v>1063</v>
    <v>5613</v>
    <v>439308700000</v>
    <v>J. K. CEMENT LIMITED.</v>
    <v>J. K. CEMENT LIMITED.</v>
    <v>5721.5</v>
    <v>42.52</v>
    <v>5692</v>
    <v>5685.5</v>
    <v>77268250</v>
    <v>JKCEMENT</v>
    <v>J. K. CEMENT LIMITED. (XNSE:JKCEMENT)</v>
    <v>106415</v>
    <v>71870</v>
    <v>1994</v>
  </rv>
  <rv s="2">
    <v>1064</v>
  </rv>
  <rv s="0">
    <v>https://www.bing.com/financeapi/forcetrigger?t=ahifur&amp;q=XNSE%3aJBMA&amp;form=skydnc</v>
    <v>Learn more on Bing</v>
  </rv>
  <rv s="1">
    <v>en-US</v>
    <v>ahifur</v>
    <v>268435456</v>
    <v>1</v>
    <v>Powered by Refinitiv</v>
    <v>0</v>
    <v>JBM AUTO LIMITED (XNSE:JBMA)</v>
    <v>2</v>
    <v>3</v>
    <v>Finance</v>
    <v>4</v>
    <v>860</v>
    <v>489.8</v>
    <v>0.44840000000000002</v>
    <v>-17.45</v>
    <v>-2.7268000000000001E-2</v>
    <v>INR</v>
    <v>JBM Auto Limited is an India-based manufacturer of auto systems with a presence in the e-mobility space. The Company manufactures and sells sheet metal components, tools, dies and molds and buses, including the sale of spare parts, accessories and maintenance contracts for buses. Its segments include sheet metal components, assemblies and sub-assemblies (Component Division); tool, dies and molds (Tool Room Division); and original equipment manufacturer (OEM) Division. The Component Division is engaged in the business of manufacturing of automobile parts for commercial and passenger vehicles. The Tool Room Division manufactures dies for the sheet metal segment or sells dies. The OEM Division includes activities related to the development, design, manufacture, assembly and sale of buses as well as parts, accessories and maintenance contracts of the same. The Company's products include auto systems, high-level assemblies, electric vehicles (EVs) and buses.</v>
    <v>3562</v>
    <v>National Stock Exchange of India</v>
    <v>XNSE</v>
    <v>XNSE</v>
    <v>Plot No. 133, Sector 24, FARIDABAD, HARYANA, 121005 IN</v>
    <v>640.1</v>
    <v>Automobiles &amp; Auto Parts</v>
    <v>Stock</v>
    <v>46017.492881944447</v>
    <v>1066</v>
    <v>615.6</v>
    <v>151344500000</v>
    <v>JBM AUTO LIMITED</v>
    <v>JBM AUTO LIMITED</v>
    <v>639.95000000000005</v>
    <v>72.52</v>
    <v>639.95000000000005</v>
    <v>622.5</v>
    <v>236494300</v>
    <v>JBMA</v>
    <v>JBM AUTO LIMITED (XNSE:JBMA)</v>
    <v>2552664</v>
    <v>4191950</v>
    <v>1996</v>
  </rv>
  <rv s="2">
    <v>1067</v>
  </rv>
  <rv s="0">
    <v>https://www.bing.com/financeapi/forcetrigger?t=ahihnm&amp;q=XNSE%3aJKTYRE&amp;form=skydnc</v>
    <v>Learn more on Bing</v>
  </rv>
  <rv s="1">
    <v>en-US</v>
    <v>ahihnm</v>
    <v>268435456</v>
    <v>1</v>
    <v>Powered by Refinitiv</v>
    <v>0</v>
    <v>JK Tyre &amp; Industries Limited (XNSE:JKTYRE)</v>
    <v>2</v>
    <v>3</v>
    <v>Finance</v>
    <v>4</v>
    <v>522.04999999999995</v>
    <v>243</v>
    <v>1.0202</v>
    <v>-11.05</v>
    <v>-2.1726000000000002E-2</v>
    <v>INR</v>
    <v>JK Tyre &amp; Industries Limited is an India-based tire manufacturer. The Company and its subsidiaries are engaged in developing, manufacturing, marketing and distributing automotive tires, tubes, flaps and retreads. Its segments include India, Mexico and Others. It markets its tires for sale to vehicle manufacturers for fitment in original equipment and for sale in replacement markets worldwide. It provides end-to-end solutions across segments of passenger vehicles, commercial vehicles, farming, off-the-road, and two and three-wheelers. It provides Smart Tyre technology and Tyre Pressure Monitoring Systems, which offers TREEL sensors that monitor the tire’s vital statistics, including pressure and temperature. It also has a network of over 6000 dealers and 900 brand shops called Steel Wheels, Truck Wheels and Xpress Wheels. It also exports to more than 100 countries with over 230 global distributors. It has approximately 11 manufacturing facilities: nine in India and two in Mexico.</v>
    <v>5666</v>
    <v>National Stock Exchange of India</v>
    <v>XNSE</v>
    <v>XNSE</v>
    <v>Patriot House 3, Bahadur Shah Zafar Marg, NEW DELHI, DELHI, 110002 IN</v>
    <v>508.6</v>
    <v>Automobiles &amp; Auto Parts</v>
    <v>Stock</v>
    <v>46017.492881944447</v>
    <v>1069</v>
    <v>496.5</v>
    <v>136338700000</v>
    <v>JK Tyre &amp; Industries Limited</v>
    <v>JK Tyre &amp; Industries Limited</v>
    <v>508.6</v>
    <v>26.04</v>
    <v>508.6</v>
    <v>497.55</v>
    <v>274020000</v>
    <v>JKTYRE</v>
    <v>JK Tyre &amp; Industries Limited (XNSE:JKTYRE)</v>
    <v>545484</v>
    <v>1834470</v>
    <v>1951</v>
  </rv>
  <rv s="2">
    <v>1070</v>
  </rv>
  <rv s="0">
    <v>https://www.bing.com/financeapi/forcetrigger?t=ahihw7&amp;q=XNSE%3aJMFINANCIL&amp;form=skydnc</v>
    <v>Learn more on Bing</v>
  </rv>
  <rv s="1">
    <v>en-US</v>
    <v>ahihw7</v>
    <v>268435456</v>
    <v>1</v>
    <v>Powered by Refinitiv</v>
    <v>0</v>
    <v>JM FINANCIAL LIMITED (XNSE:JMFINANCIL)</v>
    <v>2</v>
    <v>3</v>
    <v>Finance</v>
    <v>4</v>
    <v>199.8</v>
    <v>80.2</v>
    <v>1.0829</v>
    <v>-0.62</v>
    <v>-4.2789999999999998E-3</v>
    <v>INR</v>
    <v>JM Financial Limited is a diversified financial company. The Company's segments include Corporate Advisory and Capital Markets, Wealth and Asset Management, Private Markets, Affordable home Loans, and Treasury and others. The Corporate Advisory and Capital Markets segment caters to institutional, corporate, promoters, government and high net worth clients and include investment banking, and institutional equities and research. The Wealth and Asset Management segment includes a wealth management business, broking, portfolio management services (PMS), equity &amp; debt AIFs, and a mutual fund business. The Private markets segment comprises private credit (corporate, bespoke, real estate and distressed credit) and investments (private equity funds, real estate investment trust (REIT)). The Affordable Home Loans segment includes the affordable housing finance business.</v>
    <v>4680</v>
    <v>National Stock Exchange of India</v>
    <v>XNSE</v>
    <v>XNSE</v>
    <v>7th Floor, Cnergy, Appasaheb Marathe Marg, Prabhadevi, MUMBAI, MAHARASHTRA, 400025 IN</v>
    <v>146.19999999999999</v>
    <v>Investment Banking &amp; Investment Services</v>
    <v>Stock</v>
    <v>46017.492881944447</v>
    <v>1072</v>
    <v>143.6</v>
    <v>138582600000</v>
    <v>JM FINANCIAL LIMITED</v>
    <v>JM FINANCIAL LIMITED</v>
    <v>145.44999999999999</v>
    <v>12.12</v>
    <v>144.91</v>
    <v>144.29</v>
    <v>956335900</v>
    <v>JMFINANCIL</v>
    <v>JM FINANCIAL LIMITED (XNSE:JMFINANCIL)</v>
    <v>2181347</v>
    <v>2874850</v>
    <v>1986</v>
  </rv>
  <rv s="2">
    <v>1073</v>
  </rv>
  <rv s="10">
    <v>en-US</v>
    <v>cazhgh</v>
    <v>268435456</v>
    <v>1</v>
    <v>Powered by Refinitiv</v>
    <v>18</v>
    <v>JSW INFRASTRUCTURE LIMITED (XNSE:JSWINFRA)</v>
    <v>6</v>
    <v>3</v>
    <v>Finance</v>
    <v>4</v>
    <v>349</v>
    <v>218.2</v>
    <v>1.7070000000000001</v>
    <v>-4.95</v>
    <v>-1.7113E-2</v>
    <v>INR</v>
    <v>JSW Infrastructure Limited is an India-based port-related infrastructure company. The Company is primarily engaged in the business of developing, operating and maintaining the ports services, ports-related infrastructure development activities and development of infrastructure. Its segments include Port Operation and Logistic Operation. The Port Operation segment includes developing, operating and maintaining ports and terminals, related infrastructure and value-added services. Its Logistic Operation segment mainly includes logistics business. It handles a diverse range of cargo types, from dry bulk and break bulk to liquid bulk, gases, and containers. It offers comprehensive maritime services that encompass cargo handling, storage solutions, logistics services, and value-added offerings, positioning it as an evolving end-to-end logistics solutions provider. The Company’s subsidiaries include JSW Jaigarh Port Limited, Southwest Port Limited, JSW Shipyard Private Limited, and others.</v>
    <v>884</v>
    <v>National Stock Exchange of India</v>
    <v>XNSE</v>
    <v>XNSE</v>
    <v>JSW Centre, Bandra Kurla Complex, Bandra East, MUMBAI, MAHARASHTRA, 400051 IN</v>
    <v>288.95</v>
    <v>Transport Infrastructure</v>
    <v>Stock</v>
    <v>46017.492881944447</v>
    <v>284</v>
    <v>602044400000</v>
    <v>JSW INFRASTRUCTURE LIMITED</v>
    <v>JSW INFRASTRUCTURE LIMITED</v>
    <v>288.95</v>
    <v>37.86</v>
    <v>289.25</v>
    <v>284.3</v>
    <v>2081398000</v>
    <v>JSWINFRA</v>
    <v>JSW INFRASTRUCTURE LIMITED (XNSE:JSWINFRA)</v>
    <v>559955</v>
    <v>971340</v>
    <v>2006</v>
  </rv>
  <rv s="2">
    <v>1075</v>
  </rv>
  <rv s="0">
    <v>https://www.bing.com/financeapi/forcetrigger?t=ahiiec&amp;q=XNSE%3aJPPOWER&amp;form=skydnc</v>
    <v>Learn more on Bing</v>
  </rv>
  <rv s="1">
    <v>en-US</v>
    <v>ahiiec</v>
    <v>268435456</v>
    <v>1</v>
    <v>Powered by Refinitiv</v>
    <v>0</v>
    <v>JAIPRAKASH POWER VENTURES LIMITED (XNSE:JPPOWER)</v>
    <v>2</v>
    <v>3</v>
    <v>Finance</v>
    <v>4</v>
    <v>27.7</v>
    <v>12.36</v>
    <v>0.68489999999999995</v>
    <v>-0.3</v>
    <v>-1.7035999999999999E-2</v>
    <v>INR</v>
    <v>Jaiprakash Power Ventures Limited is an India-based company, which is engaged in the business of generation of thermal and hydropower, cement grinding and captive coal mining. Its segments include Power, Coal, Sand Mining, and Others, Cement Grinding. The Company owns and operates approximately 400 megawatts (MW) JaypeeVishnuprayag Hydro Electric Plant in District Chamoli, Uttarakhand; 1320 MW JaypeeNigrie Super Thermal Power Plant at Nigrie, District Singrauli, Madhya Pradesh, and 500 MW JaypeeBina Thermal Power Plant at Village Sirchopi, District Sagar, Madhya Pradesh. It is operating a cement grinding unit at Nigrie, District Singrauli, Madhya Pradesh and is also engaged in captive coal mining operations at Amelia Coal Block for the supply of coal to JaypeeNigrie Super Thermal Power Plant. The Company's subsidiaries include Sangam Power Generation Company Limited, Jaypee Arunachal Power Limited, Jaypee Meghalaya Power Limited and Bina Mines and Supply Limited.</v>
    <v>1906</v>
    <v>National Stock Exchange of India</v>
    <v>XNSE</v>
    <v>XNSE</v>
    <v>JA House, 63, Basant Lok,, Vasant Vihar, NEW DELHI, DELHI, 110057 IN</v>
    <v>17.68</v>
    <v>Electrical Utilities &amp; IPPs</v>
    <v>Stock</v>
    <v>46017.492881944447</v>
    <v>1077</v>
    <v>17.22</v>
    <v>120689400000</v>
    <v>JAIPRAKASH POWER VENTURES LIMITED</v>
    <v>JAIPRAKASH POWER VENTURES LIMITED</v>
    <v>17.61</v>
    <v>6.06</v>
    <v>17.61</v>
    <v>17.309999999999999</v>
    <v>6853459000</v>
    <v>JPPOWER</v>
    <v>JAIPRAKASH POWER VENTURES LIMITED (XNSE:JPPOWER)</v>
    <v>30160277</v>
    <v>27611380</v>
    <v>1994</v>
  </rv>
  <rv s="2">
    <v>1078</v>
  </rv>
  <rv s="0">
    <v>https://www.bing.com/financeapi/forcetrigger?t=ahih9c&amp;q=XNSE%3aJ%26KBANK&amp;form=skydnc</v>
    <v>Learn more on Bing</v>
  </rv>
  <rv s="1">
    <v>en-US</v>
    <v>ahih9c</v>
    <v>268435456</v>
    <v>1</v>
    <v>Powered by Refinitiv</v>
    <v>0</v>
    <v>JAMMU AND KASHMIR BANK LIMITED (XNSE:J&amp;KBANK)</v>
    <v>2</v>
    <v>3</v>
    <v>Finance</v>
    <v>4</v>
    <v>117.25</v>
    <v>86.61</v>
    <v>0.93289999999999995</v>
    <v>-0.78</v>
    <v>-7.8549999999999991E-3</v>
    <v>INR</v>
    <v>Jammu and Kashmir Bank Limited (the Bank) is engaged in banking and financial services. Its segments include Retail, Corporate and Treasury. The Bank offers a range of products and services, such as loans, personal accounts, term deposits, insurance, cards, business accounts, agriculture loans and others. The Bank offers a range of retail credit products, including home finance, personal loans, education loans, agriculture lending, trade credit and consumer credit and a number of financial products tailored to the needs of various customer segments. It provides loans, such as housing loan, consumer loan, JK bank personal consumption loan scheme, laptop/ pc finance, festival advance scheme, education loan scheme and others. It operates through over 996 branches and 1414 Automated Teller Machine spread over 18 states and four union territories across the country. It serves different sectors, such as employees of the government, semi-government and autonomous bodies, farmers, and others.</v>
    <v>12505</v>
    <v>National Stock Exchange of India</v>
    <v>XNSE</v>
    <v>XNSE</v>
    <v>M A Road, SRINAGAR, JAMMU AND KASHMIR, 190001 IN</v>
    <v>99.86</v>
    <v>Banking Services</v>
    <v>Stock</v>
    <v>46017.492881944447</v>
    <v>1080</v>
    <v>98.45</v>
    <v>109347400000</v>
    <v>JAMMU AND KASHMIR BANK LIMITED</v>
    <v>JAMMU AND KASHMIR BANK LIMITED</v>
    <v>99.86</v>
    <v>5.23</v>
    <v>99.3</v>
    <v>98.52</v>
    <v>1101182000</v>
    <v>J&amp;KBANK</v>
    <v>JAMMU AND KASHMIR BANK LIMITED (XNSE:J&amp;KBANK)</v>
    <v>1152603</v>
    <v>2008240</v>
    <v>1938</v>
  </rv>
  <rv s="2">
    <v>1081</v>
  </rv>
  <rv s="0">
    <v>https://www.bing.com/financeapi/forcetrigger?t=ahiglh&amp;q=XNSE%3aJINDALSAW&amp;form=skydnc</v>
    <v>Learn more on Bing</v>
  </rv>
  <rv s="1">
    <v>en-US</v>
    <v>ahiglh</v>
    <v>268435456</v>
    <v>1</v>
    <v>Powered by Refinitiv</v>
    <v>0</v>
    <v>JINDAL SAW LIMITED (XNSE:JINDALSAW)</v>
    <v>2</v>
    <v>3</v>
    <v>Finance</v>
    <v>4</v>
    <v>307.5</v>
    <v>153</v>
    <v>0.52059999999999995</v>
    <v>-0.66</v>
    <v>-3.9569999999999996E-3</v>
    <v>INR</v>
    <v>Jindal Saw Limited is an India-based company, which is a manufacturer and supplier of iron and steel pipes and pellets. The Company has one primary business segment, namely, Iron &amp; Steel products. The Company manufactures submerged arc welded (SAW) pipes and spiral pipes for the energy transportation sector; carbon, alloy and seamless pipes and tubes for industrial applications; DI pipes and fittings for water and wastewater transportation. It serves a range of customers, including oil and gas exploration, transportation, power generation, supply of water for drinking, drainage, irrigation purposes, and others. The Company has manufacturing facilities in India, the United States of America (USA), Europe, and United Arab Emirates (UAE). It has a pellet plant in Bhilwara, Rajasthan. The Company's subsidiaries include Jindal Saw Holdings FZE, Jindal SAW Gulf LLC, and others.</v>
    <v>7511</v>
    <v>National Stock Exchange of India</v>
    <v>XNSE</v>
    <v>XNSE</v>
    <v>Jindal Centre,, 12 Bhikaiji Cama Place, NEW DELHI, DELHI, 110066 IN</v>
    <v>168.39</v>
    <v>Metals &amp; Mining</v>
    <v>Stock</v>
    <v>46017.492881944447</v>
    <v>1083</v>
    <v>165.82</v>
    <v>106266500000</v>
    <v>JINDAL SAW LIMITED</v>
    <v>JINDAL SAW LIMITED</v>
    <v>167.5</v>
    <v>7.73</v>
    <v>166.78</v>
    <v>166.12</v>
    <v>637165600</v>
    <v>JINDALSAW</v>
    <v>JINDAL SAW LIMITED (XNSE:JINDALSAW)</v>
    <v>576880</v>
    <v>1227890</v>
    <v>1984</v>
  </rv>
  <rv s="2">
    <v>1084</v>
  </rv>
  <rv s="0">
    <v>https://www.bing.com/financeapi/forcetrigger?t=ahiih7&amp;q=XNSE%3aJSL&amp;form=skydnc</v>
    <v>Learn more on Bing</v>
  </rv>
  <rv s="1">
    <v>en-US</v>
    <v>ahiih7</v>
    <v>268435456</v>
    <v>1</v>
    <v>Powered by Refinitiv</v>
    <v>0</v>
    <v>JINDAL STAINLESS LIMITED (XNSE:JSL)</v>
    <v>2</v>
    <v>3</v>
    <v>Finance</v>
    <v>4</v>
    <v>826</v>
    <v>496.6</v>
    <v>0.72499999999999998</v>
    <v>-2.6</v>
    <v>-3.2719999999999997E-3</v>
    <v>INR</v>
    <v>Jindal Stainless Limited is a stainless-steel manufacturer. It is engaged in the manufacturing of stainless-steel flat products in austenitic, ferritic, martensitic and duplex grades. Its products include slabs, blooms, hot rolled (HR) coils, cold rolled (CR) coils, plates and specialty products. Blooms, as semi-finished stainless-steel products, are created using smaller mold sizes. CR produces smooth sheets and strips with precise dimensions and improved surface finishes. Plates are produced by continuously casting slabs, which are then hot rolled after undergoing annealing and pickling. Specialty Product Division serves the precision and specialty stainless steel needs of customers in India and abroad. These include coin blanks, blade steel and precision strips. HR primarily involves deforming the slab/bloom at high temperature and roll pressure. Its subsidiaries include PT. Jindal Stainless Indonesia, Evergreat International Investment Pte Ltd, Jindal Stainless FZE and others.</v>
    <v>5420</v>
    <v>National Stock Exchange of India</v>
    <v>XNSE</v>
    <v>XNSE</v>
    <v>Jindal Centre, 12, Bhikaiji Cama Place, NEW DELHI, DELHI, 110066 IN</v>
    <v>799.45</v>
    <v>Metals &amp; Mining</v>
    <v>Stock</v>
    <v>46017.492881944447</v>
    <v>1086</v>
    <v>787.35</v>
    <v>654558500000</v>
    <v>JINDAL STAINLESS LIMITED</v>
    <v>JINDAL STAINLESS LIMITED</v>
    <v>794.5</v>
    <v>23.66</v>
    <v>794.65</v>
    <v>792.05</v>
    <v>823706700</v>
    <v>JSL</v>
    <v>JINDAL STAINLESS LIMITED (XNSE:JSL)</v>
    <v>167964</v>
    <v>407600</v>
    <v>1980</v>
  </rv>
  <rv s="2">
    <v>1087</v>
  </rv>
  <rv s="0">
    <v>https://www.bing.com/financeapi/forcetrigger?t=c12gec&amp;q=XNSE%3aJUBLINGREA&amp;form=skydnc</v>
    <v>Learn more on Bing</v>
  </rv>
  <rv s="1">
    <v>en-US</v>
    <v>c12gec</v>
    <v>268435456</v>
    <v>1</v>
    <v>Powered by Refinitiv</v>
    <v>0</v>
    <v>JUBILANT INGREVIA LIMITED (XNSE:JUBLINGREA)</v>
    <v>2</v>
    <v>3</v>
    <v>Finance</v>
    <v>4</v>
    <v>885</v>
    <v>535.20000000000005</v>
    <v>1.1792</v>
    <v>-0.25</v>
    <v>-3.5180000000000004E-4</v>
    <v>INR</v>
    <v>Jubilant Ingrevia Limited is a vertically integrated provider of life sciences products and solutions. Its segments include Specialty chemicals, Nutrition &amp; Health solutions and Chemical intermediates. The Specialty Chemicals segment includes bio-pyridine &amp; bio-picolines, fine chemicals, agro chemicals, custom development and manufacturing organization, and microbial control solutions. The Nutrition &amp; Health solutions segment includes nutrition and health ingredients and animal and human nutrition health solutions. The Chemical Intermediates segment includes acetyls and specialty ethanol. In agro chemicals, it offers value-added derivatives, derived from specialty building blocks such as pyridine, picoline and diketene derivatives. This sub-segment includes insecticides, herbicides and fungicides. Its product portfolio includes vital nutritional ingredients, including Vitamin B3, Vitamin B4, Picolinates, and premix formulations designed for both animal and human nutrition.</v>
    <v>2139</v>
    <v>National Stock Exchange of India</v>
    <v>XNSE</v>
    <v>XNSE</v>
    <v>1A, Sector 16A, NOIDA, UTTAR PRADESH, 201301 IN</v>
    <v>726.55</v>
    <v>Chemicals</v>
    <v>Stock</v>
    <v>46017.492881944447</v>
    <v>1089</v>
    <v>708.1</v>
    <v>112271300000</v>
    <v>JUBILANT INGREVIA LIMITED</v>
    <v>JUBILANT INGREVIA LIMITED</v>
    <v>711</v>
    <v>38.979999999999997</v>
    <v>710.7</v>
    <v>710.45</v>
    <v>157972800</v>
    <v>JUBLINGREA</v>
    <v>JUBILANT INGREVIA LIMITED (XNSE:JUBLINGREA)</v>
    <v>101038</v>
    <v>258870</v>
    <v>2019</v>
  </rv>
  <rv s="2">
    <v>1090</v>
  </rv>
  <rv s="0">
    <v>https://www.bing.com/financeapi/forcetrigger?t=ahiivh&amp;q=XNSE%3aJUBLPHARMA&amp;form=skydnc</v>
    <v>Learn more on Bing</v>
  </rv>
  <rv s="1">
    <v>en-US</v>
    <v>ahiivh</v>
    <v>268435456</v>
    <v>1</v>
    <v>Powered by Refinitiv</v>
    <v>0</v>
    <v>JUBILANT PHARMOVA LIMITED (XNSE:JUBLPHARMA)</v>
    <v>2</v>
    <v>3</v>
    <v>Finance</v>
    <v>4</v>
    <v>1248</v>
    <v>802</v>
    <v>1.0697000000000001</v>
    <v>8</v>
    <v>7.4999999999999997E-3</v>
    <v>INR</v>
    <v>Jubilant Pharmova Limited is an India-based integrated pharmaceutical company. The Company’s segments include Radiopharma, Allergy Immunotherapy, Contract Development and Manufacturing Organisation-Sterile Injectables, Generics, Contract Research, Development and Manufacturing Organisation, Proprietary Novel Drugs, and Management Services. The Radiopharma segment comprises radiopharmaceuticals, including radio pharmacies. The Contract Development and Manufacturing Organisation-Sterile Injectables segment includes contract development and manufacturing organisation-sterile injectables products. The Generics segment includes solid dosage formulations. The Contract Research, Development and Manufacturing Organisation segment includes drug discovery services and active pharmaceutical ingredients. The Proprietary Novel Drugs segment includes patient-focused biopharmaceutical businesses working to address unmet medical needs in oncology and autoimmune diseases.</v>
    <v>978</v>
    <v>National Stock Exchange of India</v>
    <v>XNSE</v>
    <v>XNSE</v>
    <v>1A, Sector 16A, NOIDA, UTTAR PRADESH, 201301 IN</v>
    <v>1077</v>
    <v>Pharmaceuticals</v>
    <v>Stock</v>
    <v>46017.492881944447</v>
    <v>1092</v>
    <v>1057.0999999999999</v>
    <v>168814700000</v>
    <v>JUBILANT PHARMOVA LIMITED</v>
    <v>JUBILANT PHARMOVA LIMITED</v>
    <v>1057.0999999999999</v>
    <v>35.380000000000003</v>
    <v>1066.5999999999999</v>
    <v>1074.5999999999999</v>
    <v>158273700</v>
    <v>JUBLPHARMA</v>
    <v>JUBILANT PHARMOVA LIMITED (XNSE:JUBLPHARMA)</v>
    <v>67409</v>
    <v>104490</v>
    <v>1978</v>
  </rv>
  <rv s="2">
    <v>1093</v>
  </rv>
  <rv s="0">
    <v>https://www.bing.com/financeapi/forcetrigger?t=ahhckr&amp;q=XNSE%3aJWL&amp;form=skydnc</v>
    <v>Learn more on Bing</v>
  </rv>
  <rv s="1">
    <v>en-US</v>
    <v>ahhckr</v>
    <v>268435456</v>
    <v>1</v>
    <v>Powered by Refinitiv</v>
    <v>0</v>
    <v>JUPITER WAGONS LIMITED (XNSE:JWL)</v>
    <v>2</v>
    <v>3</v>
    <v>Finance</v>
    <v>4</v>
    <v>544.79999999999995</v>
    <v>247.15</v>
    <v>0.33639999999999998</v>
    <v>6.95</v>
    <v>2.0405000000000003E-2</v>
    <v>INR</v>
    <v>Jupiter Wagons Limited is an integrated railway engineering company for freight wagons and passenger coach items for the Indian Railways. The Company is engaged in the business of metal fabrication, comprising load bodies for commercial vehicles, rail freight wagons, and manufacturing railway transportation equipment. Its products include wagons, wagon accessories, brake systems, brake discs, complete track solutions, commercial vehicle load bodies, commercial electric vehicles, and containers. It caters to industries such as railways, metro rail, automobile, transportation, logistics, construction equipment, municipalities, healthcare, energy, mining, and infrastructure. The Company provides services to Indian Railways, American Railroads, and the Indian Ministry of Defense. Its subsidiaries are Jupiter Electric Mobility Private Limited, Stone India Limited, Bonatrans India Private Limited, and Habitation RealEstate LLP.</v>
    <v>1016</v>
    <v>National Stock Exchange of India</v>
    <v>XNSE</v>
    <v>XNSE</v>
    <v>4/2. Middleton Street,, KOLKATA, WEST BENGAL, 700071 IN</v>
    <v>358</v>
    <v>Machinery, Equipment &amp; Components</v>
    <v>Stock</v>
    <v>46017.492881944447</v>
    <v>1095</v>
    <v>332.55</v>
    <v>145562400000</v>
    <v>JUPITER WAGONS LIMITED</v>
    <v>JUPITER WAGONS LIMITED</v>
    <v>340</v>
    <v>51.63</v>
    <v>340.6</v>
    <v>347.55</v>
    <v>427370400</v>
    <v>JWL</v>
    <v>JUPITER WAGONS LIMITED (XNSE:JWL)</v>
    <v>31891269</v>
    <v>26471610</v>
    <v>1979</v>
  </rv>
  <rv s="2">
    <v>1096</v>
  </rv>
  <rv s="0">
    <v>https://www.bing.com/financeapi/forcetrigger?t=ahijdm&amp;q=XNSE%3aJYOTHYLAB&amp;form=skydnc</v>
    <v>Learn more on Bing</v>
  </rv>
  <rv s="1">
    <v>en-US</v>
    <v>ahijdm</v>
    <v>268435456</v>
    <v>1</v>
    <v>Powered by Refinitiv</v>
    <v>0</v>
    <v>JYOTHY LABS LIMITED (XNSE:JYOTHYLAB)</v>
    <v>2</v>
    <v>3</v>
    <v>Finance</v>
    <v>4</v>
    <v>423</v>
    <v>276.60000000000002</v>
    <v>0.87680000000000002</v>
    <v>3.1</v>
    <v>1.1101000000000001E-2</v>
    <v>INR</v>
    <v>Jyothy Labs Limited is an India-based fast-moving consumer goods (FMCG) company. The Company manufactures and markets a variety of products, such as fabric care, household insecticides, personal care, and dishwashing products catering to a diverse range of consumer needs and preferences. The Dishwashing segment includes dish wash bar, gel, liquid, dish wash scrubber, dishwash steel scrubber and dishwash powder. The Fabric Care segment includes fabric whitener, fabric enhancer, fabric conditioner, detergent powder, detergent liquid and bar soap. The Household Insecticides segment includes mosquito repellent coil, liquid, racquet and aerosol. The Personal Care segment includes body soap, toothpaste, deodorants, talcum powder, after shave and hand wash. The Others segment includes laundry services, incense sticks, toilet cleaner and floor cleaner. Through its Fabric Spa brand, the Company also provides laundry and dry-cleaning services.</v>
    <v>3035</v>
    <v>National Stock Exchange of India</v>
    <v>XNSE</v>
    <v>XNSE</v>
    <v>Ujala House, Ram Krishna Mandir Road, Off Andheri Kurla Road, Kondivita, Andheri East, MUMBAI, MAHARASHTRA, 400059 IN</v>
    <v>283.5</v>
    <v>Personal &amp; Household Products &amp; Services</v>
    <v>Stock</v>
    <v>46017.492881944447</v>
    <v>1098</v>
    <v>276.60000000000002</v>
    <v>103683000000</v>
    <v>JYOTHY LABS LIMITED</v>
    <v>JYOTHY LABS LIMITED</v>
    <v>280.3</v>
    <v>29.43</v>
    <v>279.25</v>
    <v>282.35000000000002</v>
    <v>367214500</v>
    <v>JYOTHYLAB</v>
    <v>JYOTHY LABS LIMITED (XNSE:JYOTHYLAB)</v>
    <v>697018</v>
    <v>207760</v>
    <v>1992</v>
  </rv>
  <rv s="2">
    <v>1099</v>
  </rv>
  <rv s="10">
    <v>en-US</v>
    <v>cc66m7</v>
    <v>268435456</v>
    <v>1</v>
    <v>Powered by Refinitiv</v>
    <v>18</v>
    <v>JYOTI CNC AUTOMATION LIMITED (XNSE:JYOTICNC)</v>
    <v>6</v>
    <v>3</v>
    <v>Finance</v>
    <v>4</v>
    <v>1416.45</v>
    <v>750.1</v>
    <v>2.5089999999999999</v>
    <v>-7.3</v>
    <v>-7.3689999999999997E-3</v>
    <v>INR</v>
    <v>Jyoti CNC Automation Limited is an India-based company, which is engaged in the manufacturing and selling of metal-cutting computer numerical control (CNC) machines. The Company is a manufacturer of simultaneous 5-Axis CNC machines in India and supplies a diverse portfolio of CNC machines, including CNC Turning Centers, CNC Turn Mill Centers, CNC Vertical Machining Centers (VMCs) and CNC Horizontal Machining Centers (HMCs). It offers solutions suited for transitioning towards Industry (i) 4.0, including its flagship multifunctional solutions package, such as 7th Sense. 7th Sense is an i4.0 solution that performs mundane and repeat tasks independently, allowing humans to focus on the outcomes of these operations. 7th Sense gives a quick overview of current tasks, completion stages, and other insights. It serves various industries, including aerospace and defense, auto and auto components, general engineering, dies and molds, and others.</v>
    <v>2156</v>
    <v>National Stock Exchange of India</v>
    <v>XNSE</v>
    <v>XNSE</v>
    <v>G-506 &amp; 2839,, Lodhika, G.I.D.C., Vill. Metoda,, RAJKOT, GUJARAT, 360021 IN</v>
    <v>993.6</v>
    <v>Machinery, Equipment &amp; Components</v>
    <v>Stock</v>
    <v>46017.492881944447</v>
    <v>980.8</v>
    <v>225285300000</v>
    <v>JYOTI CNC AUTOMATION LIMITED</v>
    <v>JYOTI CNC AUTOMATION LIMITED</v>
    <v>991.6</v>
    <v>64.605800000000002</v>
    <v>990.6</v>
    <v>983.3</v>
    <v>227423100</v>
    <v>JYOTICNC</v>
    <v>JYOTI CNC AUTOMATION LIMITED (XNSE:JYOTICNC)</v>
    <v>98610</v>
    <v>310890</v>
    <v>1991</v>
  </rv>
  <rv s="2">
    <v>1101</v>
  </rv>
  <rv s="0">
    <v>https://www.bing.com/financeapi/forcetrigger?t=ahiocw&amp;q=XNSE%3aKPRMILL&amp;form=skydnc</v>
    <v>Learn more on Bing</v>
  </rv>
  <rv s="1">
    <v>en-US</v>
    <v>ahiocw</v>
    <v>268435456</v>
    <v>1</v>
    <v>Powered by Refinitiv</v>
    <v>0</v>
    <v>K.P.R. MILL LIMITED (XNSE:KPRMILL)</v>
    <v>2</v>
    <v>3</v>
    <v>Finance</v>
    <v>4</v>
    <v>1389</v>
    <v>755.5</v>
    <v>0.7147</v>
    <v>-2.7</v>
    <v>-2.8699999999999997E-3</v>
    <v>INR</v>
    <v>K.P.R. Mill Limited is an India-based apparel manufacturing company, which is engaged in the business of yarn, fabrics, garments, green power, sugar and ethanol. The Company's segments include textile, sugar, and others. It produces yarns in a comprehensive range of varieties, like compact yarn, combed yarn, carded yarn, melange yarn, polyester cotton, viscose yarn, grindel yarn and red label yarn. Its fabric products include an entire range of single jersey (also with lycra/spandex), interlock, rib, two and three thread fleece, pique polo, and flat bed collar. The Company provides a range of inner wear and athleisure wear for the Indian market under the brand name FASO. It provides men's wear and women's wear. It provides various garment types, such as casual wear, sportswear, active wear, sleep wear and work wear. It has the capacity to produce approximately 1,00,000 metric tons (MT) of cotton yarn and 10,000 MT Viscose vortex yarn per annum; 40,000 MT fabrics per annum, and others.</v>
    <v>20478</v>
    <v>National Stock Exchange of India</v>
    <v>XNSE</v>
    <v>XNSE</v>
    <v>1st Floor, Srivari Shrimat, 1045, Avinashi Road, COIMBATORE, TAMIL NADU, 641018 IN</v>
    <v>958.9</v>
    <v>Textiles &amp; Apparel</v>
    <v>Stock</v>
    <v>46017.492893518516</v>
    <v>1103</v>
    <v>930.8</v>
    <v>321578600000</v>
    <v>K.P.R. MILL LIMITED</v>
    <v>K.P.R. MILL LIMITED</v>
    <v>940.7</v>
    <v>38.39</v>
    <v>940.8</v>
    <v>938.1</v>
    <v>341814000</v>
    <v>KPRMILL</v>
    <v>K.P.R. MILL LIMITED (XNSE:KPRMILL)</v>
    <v>204247</v>
    <v>136690</v>
    <v>2003</v>
  </rv>
  <rv s="2">
    <v>1104</v>
  </rv>
  <rv s="0">
    <v>https://www.bing.com/financeapi/forcetrigger?t=ahil6h&amp;q=XNSE%3aKEI&amp;form=skydnc</v>
    <v>Learn more on Bing</v>
  </rv>
  <rv s="1">
    <v>en-US</v>
    <v>ahil6h</v>
    <v>268435456</v>
    <v>1</v>
    <v>Powered by Refinitiv</v>
    <v>0</v>
    <v>KEI INDUSTRIES LIMITED (XNSE:KEI)</v>
    <v>2</v>
    <v>3</v>
    <v>Finance</v>
    <v>4</v>
    <v>4572.7</v>
    <v>2424</v>
    <v>1.2476</v>
    <v>-41.4</v>
    <v>-9.389999999999999E-3</v>
    <v>INR</v>
    <v>KEI Industries Limited is a manufacturer of wires and cables. The Company's segments include Cables and Wires, Stainless Steel Wire, and Engineering, Procurement and Construction (EPC) Projects. Cables and Wires segment is engaged in the manufacturing, sale and marketing of all ranges of power cables, such as low tension (LT), high tension (HT) and extra-high voltage (EHV), control and instrumentation cables, specialty cables, elastomeric/rubber cables, flexible and house wires, and winding wires. Stainless Steel Wire segment comprises manufacturing, sale and job work related to stainless steel wire. EPC Projects segment comprises the design, engineering, supply, erection, testing and commissioning of high-voltage and extra-high-voltage underground cabling projects from 33 kilovolts (kV) to 400 kV, substations (AIS &amp; GIS) on a turnkey basis up to 400 KV and conversion of overhead line to underground line for complete town including HT and LT distribution system, among others.</v>
    <v>2050</v>
    <v>National Stock Exchange of India</v>
    <v>XNSE</v>
    <v>XNSE</v>
    <v>D-90, OKHLA INDUSTRIAL AREA PHASE -I, NEW DELHI, DELHI, 110020 IN</v>
    <v>4452.8999999999996</v>
    <v>Machinery, Equipment &amp; Components</v>
    <v>Stock</v>
    <v>46017.492893518516</v>
    <v>1106</v>
    <v>4345.6000000000004</v>
    <v>421483900000</v>
    <v>KEI INDUSTRIES LIMITED</v>
    <v>KEI INDUSTRIES LIMITED</v>
    <v>4409</v>
    <v>52.72</v>
    <v>4408.8</v>
    <v>4367.3999999999996</v>
    <v>95600590</v>
    <v>KEI</v>
    <v>KEI INDUSTRIES LIMITED (XNSE:KEI)</v>
    <v>110584</v>
    <v>271550</v>
    <v>1992</v>
  </rv>
  <rv s="2">
    <v>1107</v>
  </rv>
  <rv s="0">
    <v>https://www.bing.com/financeapi/forcetrigger?t=ahior7&amp;q=XNSE%3aKSB&amp;form=skydnc</v>
    <v>Learn more on Bing</v>
  </rv>
  <rv s="1">
    <v>en-US</v>
    <v>ahior7</v>
    <v>268435456</v>
    <v>1</v>
    <v>Powered by Refinitiv</v>
    <v>0</v>
    <v>KSB LIMITED (XNSE:KSB)</v>
    <v>2</v>
    <v>3</v>
    <v>Finance</v>
    <v>4</v>
    <v>912</v>
    <v>582.25</v>
    <v>0.70909999999999995</v>
    <v>-11.5</v>
    <v>-1.4905999999999999E-2</v>
    <v>INR</v>
    <v>KSB Limited is an India-based company engaged in the manufacturing of different types of power-driven pumps and industrial valves. It operates in two segments: Pumps and Valves. The Pumps segment includes the manufacturing and trading of all types of pumps, such as industrial pumps, submersible pumps, effluent treatment pumps, and related spares and services. The Valves segment encompasses the manufacturing and trading of industrial valves, along with spares and services related to them. The Company offers products across multiple categories, including pumps, valves, systems, valve actuators, valve automation, and pump automation. It serves a range of industries, such as chemical production, building services, energy technology, mining, dredging, oil and gas technology, wastewater technology, and others. It has an investment in its subsidiary, Pofran Sales and Agency Limited. The Company operates six manufacturing plants, five of which are located in Maharashtra, and one in Tamil Nadu.</v>
    <v>2165</v>
    <v>National Stock Exchange of India</v>
    <v>XNSE</v>
    <v>XNSE</v>
    <v>Mumbai - Pune Road, Pimpri, PUNE, MAHARASHTRA, 411018 IN</v>
    <v>777.15</v>
    <v>Machinery, Equipment &amp; Components</v>
    <v>Stock</v>
    <v>46017.492893518516</v>
    <v>1109</v>
    <v>755.05</v>
    <v>134271300000</v>
    <v>KSB LIMITED</v>
    <v>KSB LIMITED</v>
    <v>772.5</v>
    <v>50.365499999999997</v>
    <v>771.5</v>
    <v>760</v>
    <v>174039200</v>
    <v>KSB</v>
    <v>KSB LIMITED (XNSE:KSB)</v>
    <v>47080</v>
    <v>145080</v>
    <v>1960</v>
  </rv>
  <rv s="2">
    <v>1110</v>
  </rv>
  <rv s="0">
    <v>https://www.bing.com/financeapi/forcetrigger?t=ahijm7&amp;q=XNSE%3aKAJARIACER&amp;form=skydnc</v>
    <v>Learn more on Bing</v>
  </rv>
  <rv s="1">
    <v>en-US</v>
    <v>ahijm7</v>
    <v>268435456</v>
    <v>1</v>
    <v>Powered by Refinitiv</v>
    <v>0</v>
    <v>KAJARIA CERAMICS LIMITED (XNSE:KAJARIACER)</v>
    <v>2</v>
    <v>3</v>
    <v>Finance</v>
    <v>4</v>
    <v>1321.9</v>
    <v>758.7</v>
    <v>1.2142999999999999</v>
    <v>0.2</v>
    <v>2.053E-4</v>
    <v>INR</v>
    <v>Kajaria Ceramics Limited is an India-based manufacturer of ceramic/vitrified tiles. The Company's segments include Tiles and Others. The Tiles segment is engaged in the manufacturing and trading of ceramic and vitrified wall and floor tiles. The Others segment is engaged in the manufacturing of sanitaryware and faucet and trading of plywood and laminates. Its product categories include glazed vitrified tiles - Eternity, ceramic wall and floor tiles, polished vitrified tiles and tile adhesives. The Company's wall tiles product categories include bathroom, kitchen, outdoor, living room, bedroom and wall tiles for commercial spaces. Its floor tiles product categories include living room, outdoor, bedroom, kitchen, bathroom and floor tiles for commercial spaces. The Company's Eternity glazed vitrified tiles include admiral brown, bolvia grey, ambrosia, ambrosia decor, apollo grey, astonia bronze, astonia nero and blossom beige decor.</v>
    <v>2590</v>
    <v>National Stock Exchange of India</v>
    <v>XNSE</v>
    <v>XNSE</v>
    <v>J-1/B-1 (Extn.), Mohan Co-op Ind Estate, (Opp. Badarpur Thermal Power Station), NEW DELHI, DELHI, 110044 IN</v>
    <v>984.3</v>
    <v>Homebuilding &amp; Construction Supplies</v>
    <v>Stock</v>
    <v>46017.492881944447</v>
    <v>1112</v>
    <v>966.8</v>
    <v>155179000000</v>
    <v>KAJARIA CERAMICS LIMITED</v>
    <v>KAJARIA CERAMICS LIMITED</v>
    <v>979</v>
    <v>37.54</v>
    <v>974.3</v>
    <v>974.5</v>
    <v>159272300</v>
    <v>KAJARIACER</v>
    <v>KAJARIA CERAMICS LIMITED (XNSE:KAJARIACER)</v>
    <v>509060</v>
    <v>405870</v>
    <v>1985</v>
  </rv>
  <rv s="2">
    <v>1113</v>
  </rv>
  <rv s="0">
    <v>https://www.bing.com/financeapi/forcetrigger?t=ahijrw&amp;q=XNSE%3aKALPATPOWR&amp;form=skydnc</v>
    <v>Learn more on Bing</v>
  </rv>
  <rv s="1">
    <v>en-US</v>
    <v>ahijrw</v>
    <v>268435456</v>
    <v>1</v>
    <v>Powered by Refinitiv</v>
    <v>0</v>
    <v>KALPATARU PROJECTS INTERNATIONAL LIMITED (XNSE:KPIL)</v>
    <v>2</v>
    <v>3</v>
    <v>Finance</v>
    <v>4</v>
    <v>1340</v>
    <v>786.3</v>
    <v>0.65290000000000004</v>
    <v>-4.2</v>
    <v>-3.4989999999999999E-3</v>
    <v>INR</v>
    <v>Kalpataru Projects International Limited is a specialized engineering, procurement and construction (EPC) company. It is engaged in Power Transmission &amp; Distribution, Buildings &amp; Factories, Water Supply &amp; Irrigation, Railways, Oil &amp; Gas Pipelines, Urban Mobility (Flyovers &amp; Metro Rail), Highways and Airports. It is executing projects in over 30 countries and has a global footprint in 73 countries. It is an EPC contractor in railway infrastructure space and caters to turnkey solutions for conventional rail lines and metro rail. It undertakes railway projects for overhead electrification, traction substation, track-laying, earthwork, bridges, buildings, stations, signaling and telecommunications and others. It undertakes EPC contracting for cross-country pipelines, terminals, process plants and gas gathering stations for oil and gas sector across territories throughout the globe. It provides end-to-end solutions ranging from in-house design, testing, procurement, fabrication and others.</v>
    <v>9870</v>
    <v>National Stock Exchange of India</v>
    <v>XNSE</v>
    <v>XNSE</v>
    <v>101, Kalpataru Synergy, Opp. Grand Hyatt, Santacruz(E), MUMBAI, MAHARASHTRA, 400055 IN</v>
    <v>1213.9000000000001</v>
    <v>Construction &amp; Engineering</v>
    <v>Stock</v>
    <v>46017.492893518516</v>
    <v>1115</v>
    <v>1191.0999999999999</v>
    <v>204978300000</v>
    <v>KALPATARU PROJECTS INTERNATIONAL LIMITED</v>
    <v>KALPATARU PROJECTS INTERNATIONAL LIMITED</v>
    <v>1210</v>
    <v>24.77</v>
    <v>1200.3</v>
    <v>1196.0999999999999</v>
    <v>170772600</v>
    <v>KPIL</v>
    <v>KALPATARU PROJECTS INTERNATIONAL LIMITED (XNSE:KPIL)</v>
    <v>52527</v>
    <v>138780</v>
    <v>1981</v>
  </rv>
  <rv s="2">
    <v>1116</v>
  </rv>
  <rv s="0">
    <v>https://www.bing.com/financeapi/forcetrigger?t=c1d29c&amp;q=XNSE%3aKALYANKJIL&amp;form=skydnc</v>
    <v>Learn more on Bing</v>
  </rv>
  <rv s="1">
    <v>en-US</v>
    <v>c1d29c</v>
    <v>268435456</v>
    <v>1</v>
    <v>Powered by Refinitiv</v>
    <v>0</v>
    <v>KALYAN JEWELLERS INDIA LIMITED (XNSE:KALYANKJIL)</v>
    <v>2</v>
    <v>3</v>
    <v>Finance</v>
    <v>4</v>
    <v>795.4</v>
    <v>399.4</v>
    <v>0.95740000000000003</v>
    <v>3.95</v>
    <v>8.1079999999999989E-3</v>
    <v>INR</v>
    <v>Kalyan Jewellers India Limited is an India-based international retail jewelry chain, which is engaged in the manufacturing and retailing of primarily gold and precious stone-studded jewelry. The Company’s brands include Mudhra, Nimah, Anokhi, Rang, Tejasvi, Ziah, Laya, Glo, Candere, Vedha, Apoorva, and Hera. Its products include chain, necklace, bangles, bracelets, nose studs, choker set, daily wear, vaddanam, jewellery set, rings, earrings, pendant, anklets, pearl studs, moti set, jhumka, locket, haram, kada, payal, and second stud. The Company manufactures jewelry from various metals, such as gold, diamond, silver, platinum, gemstone, white gold, and rose gold. It has approximately 316 retail stores across India, the Middle East, and the United States of America. Its subsidiaries include Kalyan Jewellers FZE, Kalyan Jewellers LLC, Kalyan Jewellers for Golden Jewelry Company, W.L.L., Kalyan Jewelers, Inc., Kalyan Jewellers Bahrain W.L.L, and Enovate Lifestyles Private Limited.</v>
    <v>12534</v>
    <v>National Stock Exchange of India</v>
    <v>XNSE</v>
    <v>XNSE</v>
    <v>TC-32/204/2, SITARAM MILL ROAD / PREMJI ROAD, PUNKUNNAM, THRICHUR, KERALA, 680002 IN</v>
    <v>496.3</v>
    <v>Specialty Retailers</v>
    <v>Stock</v>
    <v>46017.492893518516</v>
    <v>1118</v>
    <v>485</v>
    <v>503113300000</v>
    <v>KALYAN JEWELLERS INDIA LIMITED</v>
    <v>KALYAN JEWELLERS INDIA LIMITED</v>
    <v>485.1</v>
    <v>54.435499999999998</v>
    <v>487.2</v>
    <v>491.15</v>
    <v>1032663000</v>
    <v>KALYANKJIL</v>
    <v>KALYAN JEWELLERS INDIA LIMITED (XNSE:KALYANKJIL)</v>
    <v>1210787</v>
    <v>1757630</v>
    <v>2009</v>
  </rv>
  <rv s="2">
    <v>1119</v>
  </rv>
  <rv s="0">
    <v>https://www.bing.com/financeapi/forcetrigger?t=ahikim&amp;q=XNSE%3aKARURVYSYA&amp;form=skydnc</v>
    <v>Learn more on Bing</v>
  </rv>
  <rv s="1">
    <v>en-US</v>
    <v>ahikim</v>
    <v>268435456</v>
    <v>1</v>
    <v>Powered by Refinitiv</v>
    <v>0</v>
    <v>THE KARUR VYSYA BANK LIMITED (XNSE:KARURVYSYA)</v>
    <v>2</v>
    <v>3</v>
    <v>Finance</v>
    <v>4</v>
    <v>271.77999999999997</v>
    <v>154.62</v>
    <v>1.1632</v>
    <v>12.71</v>
    <v>5.0819999999999997E-2</v>
    <v>INR</v>
    <v>The Karur Vysya Bank Limited (the Bank) is a banking company. It is engaged in providing a range of banking and financial services, including commercial banking and treasury operations. Its segments include Treasury, Corporate and Wholesale Banking, Retail Banking, and Other Banking Operations. The Treasury segment comprises of investments in central and state government securities, debt instruments of banks, insurance companies, PSUs and corporates, certificate of deposits, mutual funds, and security and receipts, among others. The Corporate and Wholesale Banking segment includes all advances to trusts, partnership firms, companies and statutory bodies. The Retail Banking segment includes Digital Banking and Other Retail Banking. It comprises of lending of funds and other banking services to any legal person including small business customers. The Other Banking Operations segment includes para-banking activities like bancassurance, third party product distribution, and demat services.</v>
    <v>9765</v>
    <v>National Stock Exchange of India</v>
    <v>XNSE</v>
    <v>XNSE</v>
    <v>No. 20, Erode Road,, Vadivel Nagar, L.N.S., KARUR, TAMIL NADU, 639002 IN</v>
    <v>271.77999999999997</v>
    <v>Banking Services</v>
    <v>Stock</v>
    <v>46017.492893518516</v>
    <v>1121</v>
    <v>249.24</v>
    <v>241752300000</v>
    <v>THE KARUR VYSYA BANK LIMITED</v>
    <v>THE KARUR VYSYA BANK LIMITED</v>
    <v>250.1</v>
    <v>11.47</v>
    <v>250.1</v>
    <v>262.81</v>
    <v>966622600</v>
    <v>KARURVYSYA</v>
    <v>THE KARUR VYSYA BANK LIMITED (XNSE:KARURVYSYA)</v>
    <v>15108791</v>
    <v>1084810</v>
    <v>1916</v>
  </rv>
  <rv s="2">
    <v>1122</v>
  </rv>
  <rv s="10">
    <v>en-US</v>
    <v>c84aw7</v>
    <v>268435456</v>
    <v>1</v>
    <v>Powered by Refinitiv</v>
    <v>18</v>
    <v>KAYNES TECHNOLOGY INDIA LIMITED (XNSE:KAYNES)</v>
    <v>6</v>
    <v>3</v>
    <v>Finance</v>
    <v>4</v>
    <v>7822</v>
    <v>3712.5</v>
    <v>1.228</v>
    <v>-58</v>
    <v>-1.4083000000000002E-2</v>
    <v>INR</v>
    <v>Kaynes Technology India Limited is an end-to-end and Internet of Things (IoT) solutions-enabled integrated electronics manufacturer. It is engaged in providing conceptual design, process engineering, integrated manufacturing, and life cycle support for players in the automotive, industrial, aerospace and defense, outer-space, nuclear, medical, railways, IoT/information technology (IT) and other segments. It offers Original Equipment Manufacturer (OEM)-Turnkey Solutions-Box Build, OEM-Turnkey Solutions-Printed Circuit Board Assemblies (PCBAs), Original Design Manufacturer (ODM), and Product Design &amp; Engineering and IoT Solutions. It offers turnkey electronics manufacturing services for PCBAs, cable harnesses, magnetics, and plastics. Its ODM offers smart metering technology, smart street lighting, inverter technology, and gallium nitride-based charging technology. It is also involved in the business of supply, installation, operations, and maintenance of smart meters in India.</v>
    <v>4852</v>
    <v>National Stock Exchange of India</v>
    <v>XNSE</v>
    <v>XNSE</v>
    <v>23-25 Belagola Food Industrial Estate,, Metagalli PO, MYSORE, KARNATAKA, 570016 IN</v>
    <v>4166</v>
    <v>Electronic Equipment &amp; Parts</v>
    <v>Stock</v>
    <v>46017.492893518516</v>
    <v>4032.5</v>
    <v>276082200000</v>
    <v>KAYNES TECHNOLOGY INDIA LIMITED</v>
    <v>KAYNES TECHNOLOGY INDIA LIMITED</v>
    <v>4119.5</v>
    <v>70.069999999999993</v>
    <v>4118.5</v>
    <v>4060.5</v>
    <v>67034650</v>
    <v>KAYNES</v>
    <v>KAYNES TECHNOLOGY INDIA LIMITED (XNSE:KAYNES)</v>
    <v>922774</v>
    <v>3661000</v>
    <v>2008</v>
  </rv>
  <rv s="2">
    <v>1124</v>
  </rv>
  <rv s="0">
    <v>https://www.bing.com/financeapi/forcetrigger?t=ahikzr&amp;q=XNSE%3aKEC&amp;form=skydnc</v>
    <v>Learn more on Bing</v>
  </rv>
  <rv s="1">
    <v>en-US</v>
    <v>ahikzr</v>
    <v>268435456</v>
    <v>1</v>
    <v>Powered by Refinitiv</v>
    <v>0</v>
    <v>KEC INTERNATIONAL LIMITED (XNSE:KEC)</v>
    <v>2</v>
    <v>3</v>
    <v>Finance</v>
    <v>4</v>
    <v>1249.45</v>
    <v>627.45000000000005</v>
    <v>0.67079999999999995</v>
    <v>-9.35</v>
    <v>-1.2611000000000001E-2</v>
    <v>INR</v>
    <v>KEC International Limited is an India-based global infrastructure engineering, procurement and construction (EPC) company. Its segments include EPC and others. Its EPC comprises infrastructure-related projects, systems, products and related activities for power transmission and distribution, railway track-laying, electrification, civil, urban infrastructure, and oil and gas pipelines laying. Its Others segment comprises the sale of cables. Its power transmission and distribution vertical offer integrated solutions ranging from design, manufacturing, supply, installation, and commissioning of transmission lines, substations and underground cabling in both domestic and international markets. The Company's civil vertical is focused on projects, in segments such as buildings and factories, public spaces, water projects, data centers, and metro projects. Its railways vertical offers end-to-end EPC services for railway track-laying, over-head electrification (OHE), and civil infrastructure.</v>
    <v>7692</v>
    <v>National Stock Exchange of India</v>
    <v>XNSE</v>
    <v>XNSE</v>
    <v>RPG House, 463, Dr. Annie Besant Road, Worli, MUMBAI, MAHARASHTRA, 400030 IN</v>
    <v>743.85</v>
    <v>Construction &amp; Engineering</v>
    <v>Stock</v>
    <v>46017.492893518516</v>
    <v>1126</v>
    <v>729.1</v>
    <v>197360700000</v>
    <v>KEC INTERNATIONAL LIMITED</v>
    <v>KEC INTERNATIONAL LIMITED</v>
    <v>737.1</v>
    <v>28.88</v>
    <v>741.4</v>
    <v>732.05</v>
    <v>266200000</v>
    <v>KEC</v>
    <v>KEC INTERNATIONAL LIMITED (XNSE:KEC)</v>
    <v>272360</v>
    <v>1473400</v>
    <v>2005</v>
  </rv>
  <rv s="2">
    <v>1127</v>
  </rv>
  <rv s="10">
    <v>en-US</v>
    <v>c8gy3m</v>
    <v>268435456</v>
    <v>1</v>
    <v>Powered by Refinitiv</v>
    <v>18</v>
    <v>KFIN TECHNOLOGIES LIMITED (XNSE:KFINTECH)</v>
    <v>6</v>
    <v>3</v>
    <v>Finance</v>
    <v>4</v>
    <v>1641.35</v>
    <v>784.15</v>
    <v>1.4039999999999999</v>
    <v>9</v>
    <v>8.2469999999999991E-3</v>
    <v>INR</v>
    <v>KFin Technologies Limited is engaged in providing service of registrar to the public issue of securities, registrar to the securities transfers, and back-office operations to mutual fund houses and data processing activities. Its business segments include Domestic mutual fund investor solutions, Issuer solutions, International and other investor solutions and Global business services. It is an investor solutions provider to asset management firms and issuer solutions provider to both listed and unlisted corporations in India, in terms of the number of clients served. It also offers investor solutions and fund administration to asset managers in GIFT City (India), Malaysia, the Philippines, Singapore, Hong Kong, Thailand, and Canada. It offers platform-as-a-service and software-as-a-service based solutions, such as digital onboarding for investors, transfer agency, fund accounting, fund administration, transaction management and other diverse digital services to global asset managers.</v>
    <v>6371</v>
    <v>National Stock Exchange of India</v>
    <v>XNSE</v>
    <v>XNSE</v>
    <v>Selenium Building, Tower-B, Plot No 31 &amp; 32, Financial District, Nanakramguda, Serilingampally, Rangareddi, HYDERABAD, TELANGANA, 500032 IN</v>
    <v>1104.8</v>
    <v>Financial Technology (Fintech) &amp; Infrastructure</v>
    <v>Stock</v>
    <v>46017.492893518516</v>
    <v>1083.2</v>
    <v>188202200000</v>
    <v>KFIN TECHNOLOGIES LIMITED</v>
    <v>KFIN TECHNOLOGIES LIMITED</v>
    <v>1090</v>
    <v>54.29</v>
    <v>1091.3</v>
    <v>1100.3</v>
    <v>172456900</v>
    <v>KFINTECH</v>
    <v>KFIN TECHNOLOGIES LIMITED (XNSE:KFINTECH)</v>
    <v>695026</v>
    <v>1160590</v>
    <v>2017</v>
  </rv>
  <rv s="2">
    <v>1129</v>
  </rv>
  <rv s="0">
    <v>https://www.bing.com/financeapi/forcetrigger?t=ahimec&amp;q=XNSE%3aKIRLOSBROS&amp;form=skydnc</v>
    <v>Learn more on Bing</v>
  </rv>
  <rv s="1">
    <v>en-US</v>
    <v>ahimec</v>
    <v>268435456</v>
    <v>1</v>
    <v>Powered by Refinitiv</v>
    <v>0</v>
    <v>KIRLOSKAR BROTHERS LIMITED (XNSE:KIRLOSBROS)</v>
    <v>2</v>
    <v>3</v>
    <v>Finance</v>
    <v>4</v>
    <v>2475</v>
    <v>1422.35</v>
    <v>1.0630999999999999</v>
    <v>-15</v>
    <v>-9.2779999999999998E-3</v>
    <v>INR</v>
    <v>Kirloskar Brothers Limited is engaged in providing fluid management solutions globally. The core products of the Company are engineered pumps, industrial pumps, agricultural and domestic pumps, valves, and hydro turbines. The Company’s business verticals include building and construction, process industry, irrigation, marine and defense, oil and gas, power, valves, water resource management, and retail pumps. It provides complete fluid management solutions for large infrastructure projects in the areas of water supply, power plants, irrigation, building and construction, oil and gas industry, and marine and defense. Its product type includes end suction pumps, split-case pumps, multi-stage pump, sump pump, vertical inline pump, vertical turbine pump, non-clog submersible pump, and special engineered pump. Its applications include water distribution, and lift irrigation. Its services include reverse engineering and refurbishment, energy audit, and pump testing.</v>
    <v>2606</v>
    <v>National Stock Exchange of India</v>
    <v>XNSE</v>
    <v>XNSE</v>
    <v>Yamuna, Survey No. 98(3-7),, Baner,, PUNE, MAHARASHTRA, 411045 IN</v>
    <v>1647.7</v>
    <v>Machinery, Equipment &amp; Components</v>
    <v>Stock</v>
    <v>46017.492893518516</v>
    <v>1131</v>
    <v>1600</v>
    <v>127197200000</v>
    <v>KIRLOSKAR BROTHERS LIMITED</v>
    <v>KIRLOSKAR BROTHERS LIMITED</v>
    <v>1616</v>
    <v>32.75</v>
    <v>1616.8</v>
    <v>1601.8</v>
    <v>79408930</v>
    <v>KIRLOSBROS</v>
    <v>KIRLOSKAR BROTHERS LIMITED (XNSE:KIRLOSBROS)</v>
    <v>34252</v>
    <v>79020</v>
    <v>1920</v>
  </rv>
  <rv s="2">
    <v>1132</v>
  </rv>
  <rv s="0">
    <v>https://www.bing.com/financeapi/forcetrigger?t=ahimh7&amp;q=XNSE%3aKIRLOSENG&amp;form=skydnc</v>
    <v>Learn more on Bing</v>
  </rv>
  <rv s="1">
    <v>en-US</v>
    <v>ahimh7</v>
    <v>268435456</v>
    <v>1</v>
    <v>Powered by Refinitiv</v>
    <v>0</v>
    <v>KIRLOSKAR OIL ENGINES LIMITED (XNSE:KIRLOSENG)</v>
    <v>2</v>
    <v>3</v>
    <v>Finance</v>
    <v>4</v>
    <v>1329</v>
    <v>544.4</v>
    <v>1.6575</v>
    <v>6.2</v>
    <v>4.9069999999999999E-3</v>
    <v>INR</v>
    <v>Kirloskar Oil Engines Limited is an India-based company, which is engaged in the business of manufacturing of engines, generating sets, pump sets and power tillers and spares thereof. The Company operates through three segments: Business to Business (B2B), Business to Customer (B2C), and Financial Services. Its B2B segment includes businesses related to fuel agnostic internal combustion engine platforms. The businesses include power generation, industrial, and distribution &amp; aftermarket and international business. Its power generation business includes engines, gensets, and backup solutions, across a range of power output from 2.1 kilovolt amperes (kVA) to 5200 kVA. The industrial engine business manufactures a variety of diesel engines and offers from 20 horsepower (hp) to 750 hp in the industrial engine. Its B2C segment consists of water management solutions and farm mechanization solutions such as pumps and pump-sets to induction motors, small engines, column pipes and cable.</v>
    <v>2476</v>
    <v>National Stock Exchange of India</v>
    <v>XNSE</v>
    <v>XNSE</v>
    <v>Laxmanrao Kirloskar Road, Khadki, PUNE, MAHARASHTRA, 411003 IN</v>
    <v>1275</v>
    <v>Machinery, Equipment &amp; Components</v>
    <v>Stock</v>
    <v>46017.492893518516</v>
    <v>1134</v>
    <v>1243.3</v>
    <v>184541800000</v>
    <v>KIRLOSKAR OIL ENGINES LIMITED</v>
    <v>KIRLOSKAR OIL ENGINES LIMITED</v>
    <v>1263.5999999999999</v>
    <v>36.56</v>
    <v>1263.5999999999999</v>
    <v>1269.8</v>
    <v>145331400</v>
    <v>KIRLOSENG</v>
    <v>KIRLOSKAR OIL ENGINES LIMITED (XNSE:KIRLOSENG)</v>
    <v>231331</v>
    <v>1473860</v>
    <v>2009</v>
  </rv>
  <rv s="2">
    <v>1135</v>
  </rv>
  <rv s="0">
    <v>https://www.bing.com/financeapi/forcetrigger?t=c2k8c7&amp;q=XNSE%3aKIMS&amp;form=skydnc</v>
    <v>Learn more on Bing</v>
  </rv>
  <rv s="1">
    <v>en-US</v>
    <v>c2k8c7</v>
    <v>268435456</v>
    <v>1</v>
    <v>Powered by Refinitiv</v>
    <v>0</v>
    <v>KRISHNA INSTITUTE OF MEDICAL SCIENCES LIMITED (XNSE:KIMS)</v>
    <v>2</v>
    <v>3</v>
    <v>Finance</v>
    <v>4</v>
    <v>798.4</v>
    <v>474.05</v>
    <v>0.65080000000000005</v>
    <v>-3.6</v>
    <v>-5.7159999999999997E-3</v>
    <v>INR</v>
    <v>Krishna Institute of Medical Sciences Ltd is an India-based company, which is principally engaged in the business of rendering medical and healthcare services. The Company’s departments include accident, Alzheimer center, andrology and infertility center, pediatric obesity, pediatric oncology and hematology center, pediatric orthopedics and rheumatology, pediatric renal center, pediatric surgical center, female urology center, fertility center, gastrointestinal oncology, general surgery, heart wellness center, hepatobiliary surgery center, and others. Its medical technologies include 4-Arm HD da Vinci Robotic Surgical System, O-Arm Scanner, Novalis Tx Linear Accelerator, 3 Tesla MRI, EBUS, Spy Glass, Mako Robotic for Knee Replacement, Impella, and others. The Company’s institutes include the Institute of Cardiac Sciences, Institute of Dental Science, Institute of Gastroenterology &amp; Hepatology, Institute of Heart &amp; Lung Transplantation, among others.</v>
    <v>5264</v>
    <v>National Stock Exchange of India</v>
    <v>XNSE</v>
    <v>XNSE</v>
    <v>1-8-31/1, Minister Rd, Krishna Nagar Colony, Begumpet, SECUNDERABAD, TELANGANA, 500003 IN</v>
    <v>634.20000000000005</v>
    <v>Healthcare Providers &amp; Services</v>
    <v>Stock</v>
    <v>46017.492893518516</v>
    <v>1137</v>
    <v>624.20000000000005</v>
    <v>250587000000</v>
    <v>KRISHNA INSTITUTE OF MEDICAL SCIENCES LIMITED</v>
    <v>KRISHNA INSTITUTE OF MEDICAL SCIENCES LIMITED</v>
    <v>629.6</v>
    <v>75.040000000000006</v>
    <v>629.85</v>
    <v>626.25</v>
    <v>400138900</v>
    <v>KIMS</v>
    <v>KRISHNA INSTITUTE OF MEDICAL SCIENCES LIMITED (XNSE:KIMS)</v>
    <v>249232</v>
    <v>430320</v>
    <v>1973</v>
  </rv>
  <rv s="2">
    <v>1138</v>
  </rv>
  <rv s="0">
    <v>https://www.bing.com/financeapi/forcetrigger?t=ahis1h&amp;q=XNSE%3aL%26TFH&amp;form=skydnc</v>
    <v>Learn more on Bing</v>
  </rv>
  <rv s="1">
    <v>en-US</v>
    <v>ahis1h</v>
    <v>268435456</v>
    <v>1</v>
    <v>Powered by Refinitiv</v>
    <v>0</v>
    <v>L&amp;T Finance Limited (XNSE:LTF)</v>
    <v>2</v>
    <v>3</v>
    <v>Finance</v>
    <v>4</v>
    <v>315.35000000000002</v>
    <v>129.19999999999999</v>
    <v>1.7730999999999999</v>
    <v>-1.95</v>
    <v>-6.43E-3</v>
    <v>INR</v>
    <v>L&amp;T Finance Limited is an India-based non-banking financial company with presence across the lending business, catering to the diverse financing needs of both urban and rural segments. It offers personal loans, two-wheeler loans, home loans, rural business finance, farm loans, loans against property, business loans and gold loans. It offers personal loans for medical emergencies, home renovations, weddings and celebrations, vacations and education, among others. Its two-wheeler loans include electric two-wheeler loan, super bike loan and commuter tw loan. Its business loans include small and medium-sized enterprises (SME) loans, doctor loans, chartered accountant loans, professional loans and supply chain financing. Its rural business finance includes Vikaas Loan (Group Loan), Vishwas Loan (Group Loan), Pragati Loan (Group Loan) and Micro Loan Against Property. It also offers a range of insurance products, such as Life Insurance, Health Insurance and General Insurance.</v>
    <v>36521</v>
    <v>National Stock Exchange of India</v>
    <v>XNSE</v>
    <v>XNSE</v>
    <v>Brindavan, Plot no. 177,CST Road, Kalina, Santacruz (East), MUMBAI, MAHARASHTRA, 400098 IN</v>
    <v>304.85000000000002</v>
    <v>Banking Services</v>
    <v>Stock</v>
    <v>46017.492893518516</v>
    <v>1140</v>
    <v>299.7</v>
    <v>753605400000</v>
    <v>L&amp;T Finance Limited</v>
    <v>L&amp;T Finance Limited</v>
    <v>303.25</v>
    <v>28.05</v>
    <v>303.25</v>
    <v>301.3</v>
    <v>2501180000</v>
    <v>LTF</v>
    <v>L&amp;T Finance Limited (XNSE:LTF)</v>
    <v>3394545</v>
    <v>3869840</v>
    <v>2008</v>
  </rv>
  <rv s="2">
    <v>1141</v>
  </rv>
  <rv s="0">
    <v>https://www.bing.com/financeapi/forcetrigger?t=ahiqsm&amp;q=XNSE%3aLICHSGFIN&amp;form=skydnc</v>
    <v>Learn more on Bing</v>
  </rv>
  <rv s="1">
    <v>en-US</v>
    <v>ahiqsm</v>
    <v>268435456</v>
    <v>1</v>
    <v>Powered by Refinitiv</v>
    <v>0</v>
    <v>LIC HOUSING FINANCE LTD (XNSE:LICHSGFIN)</v>
    <v>2</v>
    <v>3</v>
    <v>Finance</v>
    <v>4</v>
    <v>646.5</v>
    <v>483.7</v>
    <v>1.2586999999999999</v>
    <v>0</v>
    <v>0</v>
    <v>INR</v>
    <v>LIC Housing Finance Limited is a housing finance company. It provides long-term finance to individuals for the purchase or construction of a house/flat for residential purposes in India. It provides finance on existing property for business/ personal needs and gives loans to professionals for the purchase/construction of clinics/nursing homes/ diagnostic centers/ office space and for the purchase of equipment. Its Loans segment offers finance for purchase, construction, repairs, renovation of house/buildings. Its Other Segments include the Financial Services segment, which involves the business of marketing Financial Products and Services on its own account as well as for and on behalf of other service providers, Construction Segment operates assisted living community centers for elderly citizens, Asset Management segment, which includes promoting and managing different schemes on behalf of LIC Mutual Fund and Trusteeship segment which supervises activities of LIC Mutual Fund.</v>
    <v>2352</v>
    <v>National Stock Exchange of India</v>
    <v>XNSE</v>
    <v>XNSE</v>
    <v>131, Maker Tower-F Premises, 13th Floor,, Cuffe Parade, MUMBAI, MAHARASHTRA, 400005 IN</v>
    <v>541.70000000000005</v>
    <v>Banking Services</v>
    <v>Stock</v>
    <v>46017.492893518516</v>
    <v>1143</v>
    <v>537.75</v>
    <v>296731500000</v>
    <v>LIC HOUSING FINANCE LTD</v>
    <v>LIC HOUSING FINANCE LTD</v>
    <v>539.45000000000005</v>
    <v>5.37</v>
    <v>539.45000000000005</v>
    <v>539.45000000000005</v>
    <v>550063000</v>
    <v>LICHSGFIN</v>
    <v>LIC HOUSING FINANCE LTD (XNSE:LICHSGFIN)</v>
    <v>925693</v>
    <v>829900</v>
    <v>1989</v>
  </rv>
  <rv s="2">
    <v>1144</v>
  </rv>
  <rv s="0">
    <v>https://www.bing.com/financeapi/forcetrigger?t=ahhhh7&amp;q=XNSE%3aDAAWAT&amp;form=skydnc</v>
    <v>Learn more on Bing</v>
  </rv>
  <rv s="1">
    <v>en-US</v>
    <v>ahhhh7</v>
    <v>268435456</v>
    <v>1</v>
    <v>Powered by Refinitiv</v>
    <v>0</v>
    <v>LT FOODS LIMITED (XNSE:LTFOODS)</v>
    <v>2</v>
    <v>3</v>
    <v>Finance</v>
    <v>4</v>
    <v>518.54999999999995</v>
    <v>288.25</v>
    <v>1.1592</v>
    <v>-3.15</v>
    <v>-7.7949999999999998E-3</v>
    <v>INR</v>
    <v>LT Foods Limited is an India-based fast moving consumer goods (FMCG) company in the consumer food space. The Company is engaged in the specialty rice and rice-based foods business. The Company delivers its products in over 80 countries across India, the United States, the United Kingdom, Europe, the Middle East, the Far East and the Rest of the World. Its flagship brands include Daawat and Royal, both are basmati brands. It offers organic staples through the brand Ecolife in global markets and supplies organic agricultural ingredients to businesses. It has a distribution network with 1300+ distributors across the globe. Its segments include Basmati and Other Specialty Rice, Organic Foods and Ingredients, and Ready-to-Eat and Ready-to-Cook segments. The Basmati and Other Specialty Rice segment offers a variety of specialty rice and rice-based food under the brand Daawat, Royal and other regional brands, such as Heritage, 817 Elephant, Gold Seal Indus Valley, Rozana, and others.</v>
    <v>1302</v>
    <v>National Stock Exchange of India</v>
    <v>XNSE</v>
    <v>XNSE</v>
    <v>Mvl-I Park 4th Floor, Sector 15, Near 32nd, Milestone, GURGAON, HARYANA, 122001 IN</v>
    <v>405.9</v>
    <v>Food &amp; Tobacco</v>
    <v>Stock</v>
    <v>46017.492893518516</v>
    <v>1146</v>
    <v>399</v>
    <v>140324900000</v>
    <v>LT FOODS LIMITED</v>
    <v>LT FOODS LIMITED</v>
    <v>404</v>
    <v>22.06</v>
    <v>404.1</v>
    <v>400.95</v>
    <v>347252900</v>
    <v>LTFOODS</v>
    <v>LT FOODS LIMITED (XNSE:LTFOODS)</v>
    <v>259597</v>
    <v>436570</v>
    <v>1990</v>
  </rv>
  <rv s="2">
    <v>1147</v>
  </rv>
  <rv s="0">
    <v>https://www.bing.com/financeapi/forcetrigger?t=ahipz2&amp;q=XNSE%3aLAURUSLABS&amp;form=skydnc</v>
    <v>Learn more on Bing</v>
  </rv>
  <rv s="1">
    <v>en-US</v>
    <v>ahipz2</v>
    <v>268435456</v>
    <v>1</v>
    <v>Powered by Refinitiv</v>
    <v>0</v>
    <v>LAURUS LABS LIMITED (XNSE:LAURUSLABS)</v>
    <v>2</v>
    <v>3</v>
    <v>Finance</v>
    <v>4</v>
    <v>1092.5999999999999</v>
    <v>501.15</v>
    <v>0.9143</v>
    <v>0.2</v>
    <v>1.8440000000000001E-4</v>
    <v>INR</v>
    <v>Laurus Labs Limited is an India-based pharmaceutical and biotechnology company. The Company offers an integrated portfolio of Active Pharma Ingredients (API) including intermediates, Generic Finished dosage forms (FDF) and Contract Research services to cater to the needs of the global pharmaceutical industry. It operates through four divisions: Generics API, Generics FDF, CDMO custom synthesis (Laurus Synthesis), and Biotechnology (Laurus Bio). The Generics API is a third-party API supplier for antiretrovirals. The Generic FDF business focuses on oral solid formulations. Laurus Synthesis provides drug development and manufacturing services to global pharma, crop science, animal health, and others. Laurus Bio offers comprehensive services from clone and strain engineering to production, supporting clients across the microbial precision fermentation spectrum. Its solutions cater for sectors, such as regenerative medicine, vaccines, cultured meat, and others.</v>
    <v>6167</v>
    <v>National Stock Exchange of India</v>
    <v>XNSE</v>
    <v>XNSE</v>
    <v>2nd Floor, Serene Chambers,, Road No. 7, Banjara Hills,, HYDERABAD, TELANGANA, 500034 IN</v>
    <v>1089.0999999999999</v>
    <v>Pharmaceuticals</v>
    <v>Stock</v>
    <v>46017.492893518516</v>
    <v>1149</v>
    <v>1078.9000000000001</v>
    <v>585744400000</v>
    <v>LAURUS LABS LIMITED</v>
    <v>LAURUS LABS LIMITED</v>
    <v>1086</v>
    <v>85.52</v>
    <v>1084.8</v>
    <v>1085</v>
    <v>539856600</v>
    <v>LAURUSLABS</v>
    <v>LAURUS LABS LIMITED (XNSE:LAURUSLABS)</v>
    <v>940862</v>
    <v>1320190</v>
    <v>2005</v>
  </rv>
  <rv s="2">
    <v>1150</v>
  </rv>
  <rv s="10">
    <v>en-US</v>
    <v>cgxy77</v>
    <v>268435456</v>
    <v>1</v>
    <v>Powered by Refinitiv</v>
    <v>18</v>
    <v>LEELA PALACES HOTELS &amp; RESORTS LIMITED (XNSE:THELEELA)</v>
    <v>6</v>
    <v>3</v>
    <v>Finance</v>
    <v>4</v>
    <v>474.4</v>
    <v>382.5</v>
    <v>0.39900000000000002</v>
    <v>13.75</v>
    <v>3.2663999999999999E-2</v>
    <v>INR</v>
    <v>Leela Palaces Hotels &amp; Resorts Limited, formerly Schloss Bangalore Limited, is a luxury hospitality company. It owns, operates, manages and develops luxury hotels and resorts under The Leela brand. Its portfolio includes The Leela Palaces, The Leela Hotels and The Leela Resorts. It undertakes business through direct ownership of hotels and hotel management agreements with third-party hotel owners. Its portfolio includes 3,553 keys across 13 operational hotels, comprising five-owned hotels, seven hotels that are managed by it pursuant to hotel management agreements and one hotel which is owned and operated by a third-party owner under a franchise arrangement with it. Its modern palace hotels are in Bengaluru (Karnataka), Chennai (Tamil Nadu) and New Delhi (Delhi). Its pipeline includes modern palaces, hotels and resorts, including expansion in segments: wildlife, spiritual and heritage tourism, diversifying its geographical footprint across additional cities and tourist destinations.</v>
    <v>2657</v>
    <v>National Stock Exchange of India</v>
    <v>XNSE</v>
    <v>XNSE</v>
    <v>Tower 4, Third Floor, Equinox Business Park, Kurla West, MUMBAI, MAHARASHTRA, 400070 IN</v>
    <v>442.3</v>
    <v>Hotels &amp; Entertainment Services</v>
    <v>Stock</v>
    <v>46017.492905092593</v>
    <v>419.2</v>
    <v>140579600000</v>
    <v>LEELA PALACES HOTELS &amp; RESORTS LIMITED</v>
    <v>LEELA PALACES HOTELS &amp; RESORTS LIMITED</v>
    <v>424</v>
    <v>46.723300000000002</v>
    <v>420.95</v>
    <v>434.7</v>
    <v>333957900</v>
    <v>THELEELA</v>
    <v>LEELA PALACES HOTELS &amp; RESORTS LIMITED (XNSE:THELEELA)</v>
    <v>543010</v>
    <v>184370</v>
    <v>2019</v>
  </rv>
  <rv s="2">
    <v>1152</v>
  </rv>
  <rv s="0">
    <v>https://www.bing.com/financeapi/forcetrigger?t=azlv5r&amp;q=XNSE%3aLEMONTREE&amp;form=skydnc</v>
    <v>Learn more on Bing</v>
  </rv>
  <rv s="1">
    <v>en-US</v>
    <v>azlv5r</v>
    <v>268435456</v>
    <v>1</v>
    <v>Powered by Refinitiv</v>
    <v>0</v>
    <v>LEMON TREE HOTELS LIMITED (XNSE:LEMONTREE)</v>
    <v>2</v>
    <v>3</v>
    <v>Finance</v>
    <v>4</v>
    <v>180.68</v>
    <v>117.51</v>
    <v>0.60919999999999996</v>
    <v>-1.26</v>
    <v>-7.7380000000000001E-3</v>
    <v>INR</v>
    <v>Lemon Tree Hotels Limited is an India-based hotel chain company. The Company offers hotel service including accommodation/rooms, dining, bar, banquets, conference, meeting rooms, spa, fitness center, swimming pool, and more. The Company’s portfolio covers hotels and resorts across upper upscale, upscale, upper midscale, midscale, leisure, wildlife, and spiritual segments. The Company operates through various brands, including Aurika Hotels &amp; Resorts, Lemon Tree Premier, Lemon Tree Hotels, Red Fox, Keys Prima, Keys Select, and Keys Lite. The Company operates approximately 120 hotels across 75+ cities in India and abroad. The Company’s hotels are located across India in metro regions, including the Delhi National Capital Region (NCR), Mumbai, Kolkata, Bengaluru, Hyderabad and Chennai to tier II and III cities, such as Jaipur, Ahmedabad, Indore, Udaipur, Kochi, and Indore, as well as it has international presence in Dubai, Bhutan, and Nepal.</v>
    <v>2952</v>
    <v>National Stock Exchange of India</v>
    <v>XNSE</v>
    <v>XNSE</v>
    <v>Asset No. 6, Aerocity Hospitality District, IGI Airport, NEW DELHI, DELHI, 110037 IN</v>
    <v>163.44999999999999</v>
    <v>Hotels &amp; Entertainment Services</v>
    <v>Stock</v>
    <v>46017.492893518516</v>
    <v>1154</v>
    <v>161.18</v>
    <v>128944500000</v>
    <v>LEMON TREE HOTELS LIMITED</v>
    <v>LEMON TREE HOTELS LIMITED</v>
    <v>162.86000000000001</v>
    <v>58.42</v>
    <v>162.84</v>
    <v>161.58000000000001</v>
    <v>791847600</v>
    <v>LEMONTREE</v>
    <v>LEMON TREE HOTELS LIMITED (XNSE:LEMONTREE)</v>
    <v>825150</v>
    <v>1280540</v>
    <v>1992</v>
  </rv>
  <rv s="2">
    <v>1155</v>
  </rv>
  <rv s="0">
    <v>https://www.bing.com/financeapi/forcetrigger?t=ahir52&amp;q=XNSE%3aLINDEINDIA&amp;form=skydnc</v>
    <v>Learn more on Bing</v>
  </rv>
  <rv s="1">
    <v>en-US</v>
    <v>ahir52</v>
    <v>268435456</v>
    <v>1</v>
    <v>Powered by Refinitiv</v>
    <v>0</v>
    <v>LINDE INDIA LIMITED (XNSE:LINDEINDIA)</v>
    <v>2</v>
    <v>3</v>
    <v>Finance</v>
    <v>4</v>
    <v>7860.87</v>
    <v>5236.32</v>
    <v>1.0243</v>
    <v>123</v>
    <v>2.1086999999999998E-2</v>
    <v>INR</v>
    <v>Linde India Limited is an India-based industrial gases and engineering company. It operates through two segments: Gases and Related Products &amp; Services, and Project Engineering. Gases and Related Products &amp; Services comprise the manufacture and sale of industrial, medical and special gases, as well as related products and services. Gases and Related Products &amp; Services segment includes onsite, bulk, and packaged gas solutions tailored to the needs of diverse industries. The Project Engineering segment comprises the sale of cryogenic and non-cryogenic air separation plants and projects. Its portfolio includes a range of industrial and specialty gases, mixtures, equipment, and engineering services. It supplies pipeline gases to large-scale industries, such as primary steel, glass, and chemicals, ensuring uninterrupted and efficient supply. It also covers nitrogen plants, pressure swing adsorption systems, and complete gas distribution solutions. Its operations span over 80 countries.</v>
    <v>256</v>
    <v>National Stock Exchange of India</v>
    <v>XNSE</v>
    <v>XNSE</v>
    <v>Oxygen House, P43, Taratala Road, KOLKATA, WEST BENGAL, 700088 IN</v>
    <v>6000</v>
    <v>Chemicals</v>
    <v>Stock</v>
    <v>46017.492893518516</v>
    <v>1157</v>
    <v>5803.5</v>
    <v>497462900000</v>
    <v>LINDE INDIA LIMITED</v>
    <v>LINDE INDIA LIMITED</v>
    <v>5832</v>
    <v>99.031000000000006</v>
    <v>5833</v>
    <v>5956</v>
    <v>85284220</v>
    <v>LINDEINDIA</v>
    <v>LINDE INDIA LIMITED (XNSE:LINDEINDIA)</v>
    <v>44590</v>
    <v>21860</v>
    <v>1935</v>
  </rv>
  <rv s="2">
    <v>1158</v>
  </rv>
  <rv s="10">
    <v>en-US</v>
    <v>cacexm</v>
    <v>268435456</v>
    <v>1</v>
    <v>Powered by Refinitiv</v>
    <v>18</v>
    <v>LLOYDS METALS AND ENERGY LIMITED (XNSE:LLOYDSME)</v>
    <v>6</v>
    <v>3</v>
    <v>Finance</v>
    <v>4</v>
    <v>1612</v>
    <v>942.15</v>
    <v>1.47</v>
    <v>-5.4</v>
    <v>-3.9269999999999999E-3</v>
    <v>INR</v>
    <v>Lloyds Metals and Energy Limited is a direct reduced iron (DRI) manufacturer and is a merchant iron ore miner in Maharashtra, India. The Company's segments include Mining, Sponge Iron, Power and Pellet trading. The Mining Segment is engaged in extraction of iron ore from mines. The Sponge Iron segment is engaged in the production and manufacturing of sponge iron. The Power segment includes generation of power. The Pellet trading segment includes pellets procured from Mandovi River Pellets Private Limited, the producer of pellets derived from iron ore supplied by the Company. The Company's other by products include char, fly ash, ESP dust, bed materials and iron ore fines. It has an approximately 3,40,000 TPA capacity for DRI across two districts in Maharashtra and a 34 megawatts (MW) waste heat recovery based (WHRB) power plant. The Company has a capacity of approximately 10 million metric tons per annum (MTPA) of iron ore at Surjagarh Village, Gadchiroli district in Maharashtra.</v>
    <v>1834</v>
    <v>National Stock Exchange of India</v>
    <v>XNSE</v>
    <v>XNSE</v>
    <v>A-2, 2nd Floor, Madhu Estate, Pandurang Budhkar Marg, Lower Parel (West), MUMBAI, MAHARASHTRA, 400013 IN</v>
    <v>1384</v>
    <v>Metals &amp; Mining</v>
    <v>Stock</v>
    <v>46017.492893518516</v>
    <v>1359.8</v>
    <v>726650300000</v>
    <v>LLOYDS METALS AND ENERGY LIMITED</v>
    <v>LLOYDS METALS AND ENERGY LIMITED</v>
    <v>1374.4</v>
    <v>39.86</v>
    <v>1375.2</v>
    <v>1369.8</v>
    <v>528396100</v>
    <v>LLOYDSME</v>
    <v>LLOYDS METALS AND ENERGY LIMITED (XNSE:LLOYDSME)</v>
    <v>180818</v>
    <v>958170</v>
    <v>1977</v>
  </rv>
  <rv s="2">
    <v>1160</v>
  </rv>
  <rv s="0">
    <v>https://www.bing.com/financeapi/forcetrigger?t=ahisfr&amp;q=XNSE%3aLUPIN&amp;form=skydnc</v>
    <v>Learn more on Bing</v>
  </rv>
  <rv s="1">
    <v>en-US</v>
    <v>ahisfr</v>
    <v>268435456</v>
    <v>1</v>
    <v>Powered by Refinitiv</v>
    <v>0</v>
    <v>LUPIN LIMITED (XNSE:LUPIN)</v>
    <v>2</v>
    <v>3</v>
    <v>Finance</v>
    <v>4</v>
    <v>2402.9</v>
    <v>1795.2</v>
    <v>0.68840000000000001</v>
    <v>5.4</v>
    <v>2.5629999999999997E-3</v>
    <v>INR</v>
    <v>Lupin Limited is a global pharmaceutical company, with products distributed in over 100 markets. It specializes in pharmaceutical products, including branded and generic formulations, complex generics, biotechnology products, and active pharmaceutical ingredients. It operates in India and the United States across multiple therapy areas, including respiratory, cardiovascular, anti-diabetic, anti-infective, gastrointestinal, central nervous system, and women’s health. It has a presence in the Cardiovascular, Diabetology, Asthma, Pediatrics, Central Nervous System, Gastro-Intestinal, Anti-Infectives and Nonsteroidal Anti-Inflammatory Drug therapy segments and operates in the Anti-TB and Cephalosporins segments. Its generic formulations include Filgrastim, Peg filgrastim, Etanercept and Albuterol. Its diabetes brands include Gibtulio, Ajaduo, Gibtulio Met, ONDERO and ONDERO MET. Its other brands include AntaGolin, RyChol and others. Its Huminsulin range of products includes Insulin Human.</v>
    <v>19979</v>
    <v>National Stock Exchange of India</v>
    <v>XNSE</v>
    <v>XNSE</v>
    <v>3rd Floor, Kalpataru Inspire,, Off. Western Expressway Highway,, Santacruz (East),, MUMBAI, MAHARASHTRA, 400055 IN</v>
    <v>2117</v>
    <v>Pharmaceuticals</v>
    <v>Stock</v>
    <v>46017.492893518516</v>
    <v>1162</v>
    <v>2095.6999999999998</v>
    <v>962475100000</v>
    <v>LUPIN LIMITED</v>
    <v>LUPIN LIMITED</v>
    <v>2107.1999999999998</v>
    <v>22.24</v>
    <v>2107</v>
    <v>2112.4</v>
    <v>456798800</v>
    <v>LUPIN</v>
    <v>LUPIN LIMITED (XNSE:LUPIN)</v>
    <v>987508</v>
    <v>531340</v>
    <v>1983</v>
  </rv>
  <rv s="2">
    <v>1163</v>
  </rv>
  <rv s="0">
    <v>https://www.bing.com/financeapi/forcetrigger?t=ahizp2&amp;q=XNSE%3aMMTC&amp;form=skydnc</v>
    <v>Learn more on Bing</v>
  </rv>
  <rv s="1">
    <v>en-US</v>
    <v>ahizp2</v>
    <v>268435456</v>
    <v>1</v>
    <v>Powered by Refinitiv</v>
    <v>0</v>
    <v>MMTC LIMITED (XNSE:MMTC)</v>
    <v>2</v>
    <v>3</v>
    <v>Finance</v>
    <v>4</v>
    <v>88.19</v>
    <v>44.5</v>
    <v>1.9559</v>
    <v>6.71</v>
    <v>0.116635</v>
    <v>INR</v>
    <v>MMTC Limited is an India-based trading company. The principal activities of the Company are the export of minerals and the import of precious metals, non-ferrous metals, fertilizers, agro products, coal, and hydrocarbons, among others. Its trade activities span across various countries in Asia, Europe, Africa, the Middle East, Latin America, and North America. Its segments include Minerals, Precious Metals, Metals, Agro Products, Coal &amp; Hydrocarbon, Fertilizer and General Trade/others. The Company is engaged in trading agricultural products, such as wheat, rice cleared of the husk, corn, soybean food, edible oil, and pulses, among others. The Company is engaged in exploration, search, prospecting, development, extraction and exploitation of the mineral blocks/deposits. It sells imported non-ferrous metals, minor metals, industrial raw materials, and non-ferrous metal alloys. It imports gold, silver, platinum, palladium, rough diamonds, emeralds, rubies, and other semi-precious stones.</v>
    <v>287</v>
    <v>National Stock Exchange of India</v>
    <v>XNSE</v>
    <v>XNSE</v>
    <v>Core-1 Scope Complex, 7 Institutional Area, Lodhi Road, NEW DELHI, DELHI, 110003 IN</v>
    <v>65.400000000000006</v>
    <v>Metals &amp; Mining</v>
    <v>Stock</v>
    <v>46017.492893518516</v>
    <v>1165</v>
    <v>57.25</v>
    <v>86295000000</v>
    <v>MMTC LIMITED</v>
    <v>MMTC LIMITED</v>
    <v>57.75</v>
    <v>39</v>
    <v>57.53</v>
    <v>64.239999999999995</v>
    <v>1500000000</v>
    <v>MMTC</v>
    <v>MMTC LIMITED (XNSE:MMTC)</v>
    <v>71880168</v>
    <v>2201300</v>
    <v>1963</v>
  </rv>
  <rv s="2">
    <v>1166</v>
  </rv>
  <rv s="0">
    <v>https://www.bing.com/financeapi/forcetrigger?t=ahj29c&amp;q=XNSE%3aMRF&amp;form=skydnc</v>
    <v>Learn more on Bing</v>
  </rv>
  <rv s="1">
    <v>en-US</v>
    <v>ahj29c</v>
    <v>268435456</v>
    <v>1</v>
    <v>Powered by Refinitiv</v>
    <v>0</v>
    <v>MRF LIMITED (XNSE:MRF)</v>
    <v>2</v>
    <v>3</v>
    <v>Finance</v>
    <v>4</v>
    <v>163600</v>
    <v>102124.05</v>
    <v>0.92889999999999995</v>
    <v>-1230</v>
    <v>-8.1220000000000007E-3</v>
    <v>INR</v>
    <v>MRF Limited is an India-based multinational tire maker. The Company is engaged in the manufacture of rubber products, such as tires, tubes, flaps, tread rubber. The Company's tires products include SHAKTI LIFE PLUS, SHAKTI LIFE, MUSCLEROK, SAND GRIP, STEEL MUSCLE-S3K4, MUSCLE-LIFT, PERFINZA CLX1, and others. The Company provides paints and coats, including Interior Wall Paints, Exterior Wall Paints, Primers, Multi-purpose Coatings, Wood Coating Interior, Wood Coating Exterior, and Special Coating. It offers a wide range of world-class motorsport tires for rally, circuit racing, kart-cross, student formula, go-kart and motocross competitions. The Company's subsidiaries include MRF Corp Ltd, MRF International Ltd, MRF Lanka (P) Ltd., and MRF SG PTE. LTD.</v>
    <v>17850</v>
    <v>National Stock Exchange of India</v>
    <v>XNSE</v>
    <v>XNSE</v>
    <v>New No 114 Old No 124, Mrf House, Greams Road, Thousand Lights, CHENNAI, TAMIL NADU, 600006 IN</v>
    <v>152295</v>
    <v>Automobiles &amp; Auto Parts</v>
    <v>Stock</v>
    <v>46017.492893518516</v>
    <v>1168</v>
    <v>150000</v>
    <v>637040900000</v>
    <v>MRF LIMITED</v>
    <v>MRF LIMITED</v>
    <v>152200</v>
    <v>34.65</v>
    <v>151435</v>
    <v>150205</v>
    <v>4241140</v>
    <v>MRF</v>
    <v>MRF LIMITED (XNSE:MRF)</v>
    <v>3539</v>
    <v>3740</v>
    <v>1960</v>
  </rv>
  <rv s="2">
    <v>1169</v>
  </rv>
  <rv s="0">
    <v>https://www.bing.com/financeapi/forcetrigger?t=ahiyh7&amp;q=XNSE%3aMGL&amp;form=skydnc</v>
    <v>Learn more on Bing</v>
  </rv>
  <rv s="1">
    <v>en-US</v>
    <v>ahiyh7</v>
    <v>268435456</v>
    <v>1</v>
    <v>Powered by Refinitiv</v>
    <v>0</v>
    <v>MAHANAGAR GAS LIMITED (XNSE:MGL)</v>
    <v>2</v>
    <v>3</v>
    <v>Finance</v>
    <v>4</v>
    <v>1586.9</v>
    <v>1092.3</v>
    <v>1.2665999999999999</v>
    <v>6.5</v>
    <v>5.7520000000000002E-3</v>
    <v>INR</v>
    <v>Mahanagar Gas Limited is an India-based natural gas distribution company. The Company is engaged in the distribution of compressed natural gas (CNG) and piped natural gas (PNG) in Mumbai, Thane and Raigad districts of Maharashtra. It operates through the selling of the natural gas segment. It offers PNG for domestic, commercial and industrial purposes. Its domestic PNG is used for various purposes, like cooking and water heating. It is also used by hospitals, nursing homes, hotels, flight kitchens, restaurants, places of worship and others. It offers PNG for various industries, including metal, pharmaceuticals, food and beverages, printing and dyeing, oil mills, power generation and air conditioning. It supplies CNG to Brihanmumbai Electricity Supply and Transport/Thane Municipal Transport/Maharashtra State Road Transport Corporation/Navi Mumbai Municipal Transport (BEST/TMT/MSRTC/NMMT) buses, light commercial vehicles (LCVs)/ tempos/ trucks/private buses. It also installs gas geysers.</v>
    <v>579</v>
    <v>National Stock Exchange of India</v>
    <v>XNSE</v>
    <v>XNSE</v>
    <v>MGL House,G-33 Block,, Bandra-Kurla Complex,, Bandra (East), MUMBAI, MAHARASHTRA, 400051 IN</v>
    <v>1142.8</v>
    <v>Natural Gas Utilities</v>
    <v>Stock</v>
    <v>46017.492893518516</v>
    <v>1171</v>
    <v>1126.0999999999999</v>
    <v>111628800000</v>
    <v>MAHANAGAR GAS LIMITED</v>
    <v>MAHANAGAR GAS LIMITED</v>
    <v>1136.9000000000001</v>
    <v>11.42</v>
    <v>1130.0999999999999</v>
    <v>1136.5999999999999</v>
    <v>98777780</v>
    <v>MGL</v>
    <v>MAHANAGAR GAS LIMITED (XNSE:MGL)</v>
    <v>108171</v>
    <v>237950</v>
    <v>1995</v>
  </rv>
  <rv s="2">
    <v>1172</v>
  </rv>
  <rv s="0">
    <v>https://www.bing.com/financeapi/forcetrigger?t=ahiu5r&amp;q=XNSE%3aMAHSCOOTER&amp;form=skydnc</v>
    <v>Learn more on Bing</v>
  </rv>
  <rv s="1">
    <v>en-US</v>
    <v>ahiu5r</v>
    <v>268435456</v>
    <v>1</v>
    <v>Powered by Refinitiv</v>
    <v>0</v>
    <v>MAHARASHTRA SCOOTERS LTD (XNSE:MAHSCOOTER)</v>
    <v>2</v>
    <v>3</v>
    <v>Finance</v>
    <v>4</v>
    <v>18538</v>
    <v>8803.35</v>
    <v>0.58120000000000005</v>
    <v>29</v>
    <v>2.055E-3</v>
    <v>INR</v>
    <v>Maharashtra Scooters Limited is an India-based investment company. The Company has a single business segment, namely investments. Its business activities include Financial and Insurance Service and Other financial activities. The Company is a subsidiary of Bajaj Holdings and Investment Limited.</v>
    <v>4</v>
    <v>National Stock Exchange of India</v>
    <v>XNSE</v>
    <v>XNSE</v>
    <v>Corporate Office Extn.,Secretarial Department, 3rd Floor, Panchshil Tech Park, Viman Naga, PUNE, MAHARASHTRA, 411014 IN</v>
    <v>14190</v>
    <v>Holding Companies</v>
    <v>Stock</v>
    <v>46017.492893518516</v>
    <v>1174</v>
    <v>14003</v>
    <v>161291400000</v>
    <v>MAHARASHTRA SCOOTERS LTD</v>
    <v>MAHARASHTRA SCOOTERS LTD</v>
    <v>14175</v>
    <v>45.2318</v>
    <v>14113</v>
    <v>14142</v>
    <v>11428570</v>
    <v>MAHSCOOTER</v>
    <v>MAHARASHTRA SCOOTERS LTD (XNSE:MAHSCOOTER)</v>
    <v>2164</v>
    <v>2870</v>
    <v>1975</v>
  </rv>
  <rv s="2">
    <v>1175</v>
  </rv>
  <rv s="0">
    <v>https://www.bing.com/financeapi/forcetrigger?t=ahiu8m&amp;q=XNSE%3aMAHSEAMLES&amp;form=skydnc</v>
    <v>Learn more on Bing</v>
  </rv>
  <rv s="1">
    <v>en-US</v>
    <v>ahiu8m</v>
    <v>268435456</v>
    <v>1</v>
    <v>Powered by Refinitiv</v>
    <v>0</v>
    <v>MAHARASHTRA SEAMLESS LIMITED (XNSE:MAHSEAMLES)</v>
    <v>2</v>
    <v>3</v>
    <v>Finance</v>
    <v>4</v>
    <v>773.8</v>
    <v>540.5</v>
    <v>0.66069999999999995</v>
    <v>-0.15</v>
    <v>-2.721E-4</v>
    <v>INR</v>
    <v>Maharashtra Seamless Limited is India-based company, which is engaged in manufacturing steel pipes and tubes. The Company operates through three segments: Steel Pipes &amp; Tubes, Power Electricity, and RIG. The Company manufactures seamless pipes and tubes with a product range using CPE technology. The Company offers electric resistance welding (ERW) pipes, including mild steel (MS) and galvanized pipes, American Petroleum Institute (API) line pipes and oil country tubular goods (OTCG) casing tubing; seamless pipes, such as hot finished pipes and tubes, cold drawn tubes, boiler tubes, OTCG casing tubing and OTCG drill pipe; coated pipes, including three-layer polyethylene coating, fusion-bonded epoxy coating, internal coating and three-layer polypropylene, and pipe fittings. The Company has also diversified into renewable power generation and rig operations.</v>
    <v>1829</v>
    <v>National Stock Exchange of India</v>
    <v>XNSE</v>
    <v>XNSE</v>
    <v>Jindal Corporate Centre, Plot No. 30, Institutional Sector 44, GURGAON, HARYANA, 122001 IN</v>
    <v>557.70000000000005</v>
    <v>Metals &amp; Mining</v>
    <v>Stock</v>
    <v>46017.492893518516</v>
    <v>1177</v>
    <v>548.45000000000005</v>
    <v>73880480000</v>
    <v>MAHARASHTRA SEAMLESS LIMITED</v>
    <v>MAHARASHTRA SEAMLESS LIMITED</v>
    <v>552.54999999999995</v>
    <v>9.8800000000000008</v>
    <v>551.35</v>
    <v>551.20000000000005</v>
    <v>133999300</v>
    <v>MAHSEAMLES</v>
    <v>MAHARASHTRA SEAMLESS LIMITED (XNSE:MAHSEAMLES)</v>
    <v>190670</v>
    <v>124850</v>
    <v>1988</v>
  </rv>
  <rv s="2">
    <v>1178</v>
  </rv>
  <rv s="0">
    <v>https://www.bing.com/financeapi/forcetrigger?t=ahizjc&amp;q=XNSE%3aM%26MFIN&amp;form=skydnc</v>
    <v>Learn more on Bing</v>
  </rv>
  <rv s="1">
    <v>en-US</v>
    <v>ahizjc</v>
    <v>268435456</v>
    <v>1</v>
    <v>Powered by Refinitiv</v>
    <v>0</v>
    <v>MAHINDRA AND MAHINDRA FINANCIAL SERVICES LIMITED (XNSE:M&amp;MFIN)</v>
    <v>2</v>
    <v>3</v>
    <v>Finance</v>
    <v>4</v>
    <v>412.2</v>
    <v>231.52</v>
    <v>1.4392</v>
    <v>4.5</v>
    <v>1.1549E-2</v>
    <v>INR</v>
    <v>Mahindra and Mahindra Financial Services Limited is an India-based non-banking finance company. The Company is offering broad and diverse customer base, primarily located across rural and semi-urban India. The Company's segments include financing activities and other reconciling items. The financing activities segment includes financing and leasing of automobiles, tractors, commercial vehicles, small and medium enterprises (SMEs) and housing finance. The other reconciling items segment includes insurance broking, asset management services and trusteeship services. The Company offers a comprehensive range of financing, investment, and insurance solutions designed to meet the specific needs of individuals, entrepreneurs, and businesses in these regions. It caters to customers across multiple sectors, including agriculture, transportation, and SMEs, many of whom seek financial assistance for the purchase of vehicles, tractors, commercial equipment, housing, and other essential assets.</v>
    <v>25261</v>
    <v>National Stock Exchange of India</v>
    <v>XNSE</v>
    <v>XNSE</v>
    <v>4th Floor, Mahindra Towers, Dr. G.M. Bhosale Marg, P.K. Kurne Chowk,Worli, MUMBAI, MAHARASHTRA, 400018 IN</v>
    <v>397.4</v>
    <v>Banking Services</v>
    <v>Stock</v>
    <v>46017.492893518516</v>
    <v>1180</v>
    <v>387.25</v>
    <v>547628900000</v>
    <v>MAHINDRA AND MAHINDRA FINANCIAL SERVICES LIMITED</v>
    <v>MAHINDRA AND MAHINDRA FINANCIAL SERVICES LIMITED</v>
    <v>389.65</v>
    <v>20.55</v>
    <v>389.65</v>
    <v>394.15</v>
    <v>1389392000</v>
    <v>M&amp;MFIN</v>
    <v>MAHINDRA AND MAHINDRA FINANCIAL SERVICES LIMITED (XNSE:M&amp;MFIN)</v>
    <v>2982630</v>
    <v>4463780</v>
    <v>1991</v>
  </rv>
  <rv s="2">
    <v>1181</v>
  </rv>
  <rv s="0">
    <v>https://www.bing.com/financeapi/forcetrigger?t=ahiv52&amp;q=XNSE%3aMANAPPURAM&amp;form=skydnc</v>
    <v>Learn more on Bing</v>
  </rv>
  <rv s="1">
    <v>en-US</v>
    <v>ahiv52</v>
    <v>268435456</v>
    <v>1</v>
    <v>Powered by Refinitiv</v>
    <v>0</v>
    <v>MANAPPURAM FINANCE LIMITED (XNSE:MANAPPURAM)</v>
    <v>2</v>
    <v>3</v>
    <v>Finance</v>
    <v>4</v>
    <v>318.89999999999998</v>
    <v>168.83</v>
    <v>1.2864</v>
    <v>-1.2</v>
    <v>-3.8150000000000002E-3</v>
    <v>INR</v>
    <v>Manappuram Finance Limited is an India-based non-banking financial company (NBFC). The Company is a retail financial services provider and engages in activities, such as providing loans against gold jeweler, loans against property, loans for purchase of commercial vehicles, loans to MSMEs and other complementary lending activities. Its segments include Gold loan and others, and Micao Finance. It provides credit services to people belonging to the lower socio-economic classes, particularly in rural and semi-urban areas of India. It has a diversified lending portfolio encompassing retail, microfinance, small and medium-sized enterprises (SME) and commercial segments. Its products include gold loan, online gold loan, vehicle loan, two-wheeler finance, balance transfer and top-up, business loan, home improvement loan, housing loan, loan to salaried employees, property loan, digital personal loan, forex &amp; money transfer, corporate loans, MAkash - digital wallet and other services.</v>
    <v>24650</v>
    <v>National Stock Exchange of India</v>
    <v>XNSE</v>
    <v>XNSE</v>
    <v>IV / 470 (old) W638A (New), Manappuram House,, Valapad, TRICHUR, KERALA, 680567 IN</v>
    <v>318.89999999999998</v>
    <v>Banking Services</v>
    <v>Stock</v>
    <v>46017.492893518516</v>
    <v>1183</v>
    <v>309.95</v>
    <v>266246000000</v>
    <v>MANAPPURAM FINANCE LIMITED</v>
    <v>MANAPPURAM FINANCE LIMITED</v>
    <v>316.10000000000002</v>
    <v>60.85</v>
    <v>314.55</v>
    <v>313.35000000000002</v>
    <v>846434800</v>
    <v>MANAPPURAM</v>
    <v>MANAPPURAM FINANCE LIMITED (XNSE:MANAPPURAM)</v>
    <v>6023960</v>
    <v>4585560</v>
    <v>1992</v>
  </rv>
  <rv s="2">
    <v>1184</v>
  </rv>
  <rv s="0">
    <v>https://www.bing.com/financeapi/forcetrigger?t=ahj2f2&amp;q=XNSE%3aMRPL&amp;form=skydnc</v>
    <v>Learn more on Bing</v>
  </rv>
  <rv s="1">
    <v>en-US</v>
    <v>ahj2f2</v>
    <v>268435456</v>
    <v>1</v>
    <v>Powered by Refinitiv</v>
    <v>0</v>
    <v>MANGALORE REFINERY AND PETROCHEMICALS LIMITED (XNSE:MRPL)</v>
    <v>2</v>
    <v>3</v>
    <v>Finance</v>
    <v>4</v>
    <v>185</v>
    <v>98.92</v>
    <v>0.6532</v>
    <v>-1.04</v>
    <v>-7.1209999999999997E-3</v>
    <v>INR</v>
    <v>Mangalore Refinery and Petrochemicals Limited (MRPL) is an India-based company engaged in the business of refining of crude oil. The Company operates through the Petroleum Products segment. It offers various direct sales products such as Bitumen, Diesel, Sulfur, Petcoke, ATF (thru' JV), Polypropylene, Xylol (Xylenes), and others. Its refinery has producing capacity of a range of petroleum products like Naphtha, liquified petroleum gas (LPG), Motor Spirit, High-Speed Diesel, Kerosene, Aviation Turbine Fuel, Sulfur, Xylene, Bitumen along with Pet Coke, and Polypropylene. It operates an Aromatic Complex, a petrochemical unit capable of producing 0.905 MMTPA of Para Xylene and 0.273 MMTPA of Benzene. MRPL has two Captive Jetties in New Mangalore Port Trust (NMPT), Single Point Mooring Facility, While Oil Loading Facility, Rail Wagon Loading Silo for Petcoke, and Truck Loading Silos for Petcoke. The Company is a subsidiary of Oil and Natural Gas Corporation Limited.</v>
    <v>2530</v>
    <v>National Stock Exchange of India</v>
    <v>XNSE</v>
    <v>XNSE</v>
    <v>Kuthethur P.O., Via Katipalla, MANGALORE, KARNATAKA, 574149 IN</v>
    <v>146.94999999999999</v>
    <v>Oil &amp; Gas</v>
    <v>Stock</v>
    <v>46017.492893518516</v>
    <v>1186</v>
    <v>144.41</v>
    <v>255967000000</v>
    <v>MANGALORE REFINERY AND PETROCHEMICALS LIMITED</v>
    <v>MANGALORE REFINERY AND PETROCHEMICALS LIMITED</v>
    <v>144.57</v>
    <v>24.4573</v>
    <v>146.05000000000001</v>
    <v>145.01</v>
    <v>1752599000</v>
    <v>MRPL</v>
    <v>MANGALORE REFINERY AND PETROCHEMICALS LIMITED (XNSE:MRPL)</v>
    <v>1443674</v>
    <v>2847160</v>
    <v>1988</v>
  </rv>
  <rv s="2">
    <v>1187</v>
  </rv>
  <rv s="10">
    <v>en-US</v>
    <v>c9qntc</v>
    <v>268435456</v>
    <v>1</v>
    <v>Powered by Refinitiv</v>
    <v>18</v>
    <v>MANKIND PHARMA LIMITED (XNSE:MANKIND)</v>
    <v>6</v>
    <v>3</v>
    <v>Finance</v>
    <v>4</v>
    <v>3054.8</v>
    <v>2090</v>
    <v>0.628</v>
    <v>-0.3</v>
    <v>-1.3679999999999999E-4</v>
    <v>INR</v>
    <v>Mankind Pharma Limited is an India-based pharmaceutical company. The Company is engaged in developing, manufacturing, and marketing a range of pharmaceutical formulations across various acute and chronic therapeutic areas, as well as several consumer healthcare products. It also offers pet care, crop protection solutions, and veterinary care. It offers healthcare solutions for a range of healthcare needs with a portfolio that includes anti-infectives, cardiovascular, gastrointestinal, anti-diabetic, neuro/central nervous system, vitamins, minerals and nutrients, derma, fertility, and respiratory therapies. Its portfolio of brands includes Nurokind, Telmikind, Manforce (Rx), Gudcef, Moxikind, Amlokind, Glimestar, Asthakind, Codistar, Candiforce, Mahacef, Dydroboon, Cefakind, Zenflox, Monticope, Dynaglipt, and others. Its subsidiaries include Lifestar Pharma Private Limited, Magnet Labs Private Limited, Jaspack Industries Private Limited, and others.</v>
    <v>27000</v>
    <v>National Stock Exchange of India</v>
    <v>XNSE</v>
    <v>XNSE</v>
    <v>262, Okhla Industrial Estate, Phase-III, NEW DELHI, DELHI, 110020 IN</v>
    <v>2211.4</v>
    <v>Pharmaceuticals</v>
    <v>Stock</v>
    <v>46017.492893518516</v>
    <v>2171</v>
    <v>905405400000</v>
    <v>MANKIND PHARMA LIMITED</v>
    <v>MANKIND PHARMA LIMITED</v>
    <v>2206</v>
    <v>51.54</v>
    <v>2193.3000000000002</v>
    <v>2193</v>
    <v>412805100</v>
    <v>MANKIND</v>
    <v>MANKIND PHARMA LIMITED (XNSE:MANKIND)</v>
    <v>254903</v>
    <v>522910</v>
    <v>1991</v>
  </rv>
  <rv s="2">
    <v>1189</v>
  </rv>
  <rv s="0">
    <v>https://www.bing.com/financeapi/forcetrigger?t=ahiw4c&amp;q=XNSE%3aMARICO&amp;form=skydnc</v>
    <v>Learn more on Bing</v>
  </rv>
  <rv s="1">
    <v>en-US</v>
    <v>ahiw4c</v>
    <v>268435456</v>
    <v>1</v>
    <v>Powered by Refinitiv</v>
    <v>0</v>
    <v>MARICO LIMITED (XNSE:MARICO)</v>
    <v>2</v>
    <v>3</v>
    <v>Finance</v>
    <v>4</v>
    <v>765.3</v>
    <v>577.85</v>
    <v>0.52590000000000003</v>
    <v>8.5500000000000007</v>
    <v>1.1637E-2</v>
    <v>INR</v>
    <v>Marico Limited is an India-based consumer goods company operating in the global beauty and wellness categories. The Company operates in product categories such as Coconut Oil, Refined Edible Oils, Value Added Hair Oils, Leave-in Hair Conditioners, Male Grooming and Packaged Foods, among others. Its product portfolio caters to a diverse range of consumer needs and preferences, ranging from hair nourishment and styling to nutrition, immunity, and healthy snacking. The Company manufactures and markets products under the brands such as Parachute, Saffola, Saffola FITTIFY, Hair &amp; Care, Parachute Advansed, Nihar Naturals, Mediker, Pure Sense, Coco Soul, Revive, Set Wet, Livon, Beardo, Just Herbs, True Elements and Plix. The Company's international product portfolio includes brands, such as Parachute, Parachute Advansed, HairCode, Fiancee, Purite de Provence, oliv, Caivil, Hercules, Black Chic, Code 10, Ingwe, X-Men, Thuan Phat and IsoPlus.</v>
    <v>1908</v>
    <v>National Stock Exchange of India</v>
    <v>XNSE</v>
    <v>XNSE</v>
    <v>7th Floor, Grande Palladium, 175,CST Road, Kalina,, Santacruz (East), MUMBAI, MAHARASHTRA, 400098 IN</v>
    <v>746.5</v>
    <v>Food &amp; Tobacco</v>
    <v>Stock</v>
    <v>46017.492893518516</v>
    <v>1191</v>
    <v>732.7</v>
    <v>951287800000</v>
    <v>MARICO LIMITED</v>
    <v>MARICO LIMITED</v>
    <v>735.05</v>
    <v>57.738799999999998</v>
    <v>734.75</v>
    <v>743.3</v>
    <v>1294709000</v>
    <v>MARICO</v>
    <v>MARICO LIMITED (XNSE:MARICO)</v>
    <v>996756</v>
    <v>1390790</v>
    <v>1988</v>
  </rv>
  <rv s="2">
    <v>1192</v>
  </rv>
  <rv s="0">
    <v>https://www.bing.com/financeapi/forcetrigger?t=ahiyec&amp;q=XNSE%3aMFSL&amp;form=skydnc</v>
    <v>Learn more on Bing</v>
  </rv>
  <rv s="1">
    <v>en-US</v>
    <v>ahiyec</v>
    <v>268435456</v>
    <v>1</v>
    <v>Powered by Refinitiv</v>
    <v>0</v>
    <v>Max Financial Services Limited (XNSE:MFSL)</v>
    <v>2</v>
    <v>3</v>
    <v>Finance</v>
    <v>4</v>
    <v>1751.4</v>
    <v>950</v>
    <v>0.65259999999999996</v>
    <v>-6.5</v>
    <v>-3.8729999999999997E-3</v>
    <v>INR</v>
    <v>Max Financial Services Limited is an India-based holding company. The Company is primarily engaged in growing and nurturing business investments and providing management advisory services to its group companies. Its business is categorized into two segments: Life Insurance and Business Investments and Others. The Life Insurance segment represents the life insurance business conducted across India by the Company’s subsidiary. The Business Investments and others segment is represented by treasury investments. The Company has an investment in its subsidiary, Axis Max Life Insurance Limited, which is a non-bank private life insurance company engaged in the business of life insurance and annuities. The subsidiary offers participating, non-participating, and linked products covering life insurance, pensions, and health benefits, including riders for individual and group segments. These products are distributed through individual agents, corporate agents, banks, brokers, and other channels.</v>
    <v>10</v>
    <v>National Stock Exchange of India</v>
    <v>XNSE</v>
    <v>XNSE</v>
    <v>L21, Max Towers, Plot No. C-001/A/1 Sector-16B, NOIDA, UTTAR PRADESH, 201301 IN</v>
    <v>1680</v>
    <v>Insurance</v>
    <v>Stock</v>
    <v>46017.492893518516</v>
    <v>1194</v>
    <v>1661.9</v>
    <v>577031900000</v>
    <v>Max Financial Services Limited</v>
    <v>Max Financial Services Limited</v>
    <v>1678.5</v>
    <v>349.06</v>
    <v>1678.5</v>
    <v>1672</v>
    <v>345114800</v>
    <v>MFSL</v>
    <v>Max Financial Services Limited (XNSE:MFSL)</v>
    <v>184519</v>
    <v>405970</v>
    <v>1988</v>
  </rv>
  <rv s="2">
    <v>1195</v>
  </rv>
  <rv s="0">
    <v>https://www.bing.com/financeapi/forcetrigger?t=bprmww&amp;q=XNSE%3aMETROPOLIS&amp;form=skydnc</v>
    <v>Learn more on Bing</v>
  </rv>
  <rv s="1">
    <v>en-US</v>
    <v>bprmww</v>
    <v>268435456</v>
    <v>1</v>
    <v>Powered by Refinitiv</v>
    <v>0</v>
    <v>METROPOLIS HEALTHCARE LIMITED (XNSE:METROPOLIS)</v>
    <v>2</v>
    <v>3</v>
    <v>Finance</v>
    <v>4</v>
    <v>2263</v>
    <v>1315</v>
    <v>0.63529999999999998</v>
    <v>31.2</v>
    <v>1.6532000000000002E-2</v>
    <v>INR</v>
    <v>Metropolis Healthcare Limited is engaged in providing diagnostic services to patients, healthcare providers, and corporates across India and Africa. The Company has a single operating segment, namely Pathology services. It is engaged in the business of running laboratories for carrying out pathological investigations of various branches of biochemistry, hematology, histopathology, microbiology, electrophoresis, immuno-chemistry, immunology, virology, cytology, other pathological and radiological investigations. It serves a diverse customer base, including B2C, B2B, and institutional clients. It offers a comprehensive range of more than 4,000 tests and profiles, including advanced tests for diagnosing cancer, neurological disorders, infectious diseases, and various genetic abnormalities. Its footprint spans 28 states, seven Union Territories, and over 750 towns in India, supported by a robust network of more than 220 laboratories, 4,450+ service centers, and over 10,000 touchpoints.</v>
    <v>4823</v>
    <v>National Stock Exchange of India</v>
    <v>XNSE</v>
    <v>XNSE</v>
    <v>4th Floor, East Wing, Nirlon House,, Dr. Annie Besant Road, Worli,, MUMBAI, MAHARASHTRA, 400030 IN</v>
    <v>1927</v>
    <v>Healthcare Providers &amp; Services</v>
    <v>Stock</v>
    <v>46017.492893518516</v>
    <v>1197</v>
    <v>1878</v>
    <v>99420470000</v>
    <v>METROPOLIS HEALTHCARE LIMITED</v>
    <v>METROPOLIS HEALTHCARE LIMITED</v>
    <v>1887</v>
    <v>61.52</v>
    <v>1887.3</v>
    <v>1918.5</v>
    <v>51821980</v>
    <v>METROPOLIS</v>
    <v>METROPOLIS HEALTHCARE LIMITED (XNSE:METROPOLIS)</v>
    <v>20125</v>
    <v>27830</v>
    <v>2000</v>
  </rv>
  <rv s="2">
    <v>1198</v>
  </rv>
  <rv s="0">
    <v>https://www.bing.com/financeapi/forcetrigger?t=c5mf3m&amp;q=XNSE%3aMSUMI&amp;form=skydnc</v>
    <v>Learn more on Bing</v>
  </rv>
  <rv s="1">
    <v>en-US</v>
    <v>c5mf3m</v>
    <v>268435456</v>
    <v>1</v>
    <v>Powered by Refinitiv</v>
    <v>0</v>
    <v>MOTHERSON SUMI WIRING INDIA LIMITED (XNSE:MSUMI)</v>
    <v>2</v>
    <v>3</v>
    <v>Finance</v>
    <v>4</v>
    <v>50.54</v>
    <v>30.72</v>
    <v>0.91769999999999996</v>
    <v>-0.15</v>
    <v>-3.313E-3</v>
    <v>INR</v>
    <v>Motherson Sumi Wiring India Limited is an India-based automotive supplier company, which provides full-system solutions to original equipment manufacturers (OEMs) in the wiring harness segment. It meets the customer needs at every stage of the supply chain, from initial product design and validation to tool design and manufacturing, finishing, processing, assembly, and finally, production of integrated electrical and electronic distribution systems for the power supply or data transfer across vehicles. It offers a variety of harnesses for different vehicles including passenger and commercial vehicles, two and three-wheelers, farm equipment and off-road vehicles. Its services encompass three-dimensional (3D) computer-aided design, printed circuit board design and routing, 3D printing, prototyping, virtual and physical validation and technology implementation support. The Company operates 26 facilities consisting of manufacturing and assembly sites and technical centers across India.</v>
    <v>6041</v>
    <v>National Stock Exchange of India</v>
    <v>XNSE</v>
    <v>XNSE</v>
    <v>Motherson Corporate Tower, Plot no. 1, 5th Floor, Sector 127, Greater Noida Expressway, NOIDA, UTTAR PRADESH, 201301 IN</v>
    <v>45.39</v>
    <v>Automobiles &amp; Auto Parts</v>
    <v>Stock</v>
    <v>46017.492893518516</v>
    <v>1200</v>
    <v>45</v>
    <v>300281700000</v>
    <v>MOTHERSON SUMI WIRING INDIA LIMITED</v>
    <v>MOTHERSON SUMI WIRING INDIA LIMITED</v>
    <v>45.28</v>
    <v>53.4</v>
    <v>45.28</v>
    <v>45.13</v>
    <v>6631662000</v>
    <v>MSUMI</v>
    <v>MOTHERSON SUMI WIRING INDIA LIMITED (XNSE:MSUMI)</v>
    <v>3087500</v>
    <v>9268760</v>
    <v>2020</v>
  </rv>
  <rv s="2">
    <v>1201</v>
  </rv>
  <rv s="0">
    <v>https://www.bing.com/financeapi/forcetrigger?t=ahj1ww&amp;q=XNSE%3aMOTILALOFS&amp;form=skydnc</v>
    <v>Learn more on Bing</v>
  </rv>
  <rv s="1">
    <v>en-US</v>
    <v>ahj1ww</v>
    <v>268435456</v>
    <v>1</v>
    <v>Powered by Refinitiv</v>
    <v>0</v>
    <v>MOTILAL OSWAL FINANCIAL SERVICES LIMITED (XNSE:MOTILALOFS)</v>
    <v>2</v>
    <v>3</v>
    <v>Finance</v>
    <v>4</v>
    <v>1097.0999999999999</v>
    <v>513</v>
    <v>0.18160000000000001</v>
    <v>-30.25</v>
    <v>-3.3852E-2</v>
    <v>INR</v>
    <v>Motilal Oswal Financial Services Limited is an integrated technology-based financial services company. It offers a range of services including retail and institutional broking and financial product distribution. Its segments include Wealth Management, Capital Markets, Asset and Private Wealth Management, Home finance, and Treasury Investments. The Wealth Management includes broking services. Capital Market activities include broking services to clients, research and advisory services, financial product distribution, depository services, investment banking, and margin trading funding. The Asset and Wealth Management includes fee-based services for management of assets. Home Finance represents interest and other related income from the affordable housing finance business. Treasury Investments include investment and financing activities. It provides financial services, such as brokerage, distribution of investment products, advisory, lending, investment banking and institutional equity.</v>
    <v>9281</v>
    <v>National Stock Exchange of India</v>
    <v>XNSE</v>
    <v>XNSE</v>
    <v>Motilal Oswal Tower, Rahimtullah Sayani Road, Opposite Parel ST. Depot, Prabhadevi, MUMBAI, MAHARASHTRA, 400025 IN</v>
    <v>893.6</v>
    <v>Investment Banking &amp; Investment Services</v>
    <v>Stock</v>
    <v>46017.492893518516</v>
    <v>1203</v>
    <v>858.95</v>
    <v>537170800000</v>
    <v>MOTILAL OSWAL FINANCIAL SERVICES LIMITED</v>
    <v>MOTILAL OSWAL FINANCIAL SERVICES LIMITED</v>
    <v>893.6</v>
    <v>25.5593</v>
    <v>893.6</v>
    <v>863.35</v>
    <v>601131200</v>
    <v>MOTILALOFS</v>
    <v>MOTILAL OSWAL FINANCIAL SERVICES LIMITED (XNSE:MOTILALOFS)</v>
    <v>819247</v>
    <v>1076440</v>
    <v>2005</v>
  </rv>
  <rv s="2">
    <v>1204</v>
  </rv>
  <rv s="0">
    <v>https://www.bing.com/financeapi/forcetrigger?t=ahixkr&amp;q=XNSE%3aMCX&amp;form=skydnc</v>
    <v>Learn more on Bing</v>
  </rv>
  <rv s="1">
    <v>en-US</v>
    <v>ahixkr</v>
    <v>268435456</v>
    <v>1</v>
    <v>Powered by Refinitiv</v>
    <v>0</v>
    <v>MULTI COMMODITY EXCHANGE OF INDIA LIMITED (XNSE:MCX)</v>
    <v>2</v>
    <v>3</v>
    <v>Finance</v>
    <v>4</v>
    <v>11110</v>
    <v>4408.1499999999996</v>
    <v>1.0698000000000001</v>
    <v>227</v>
    <v>2.0969999999999999E-2</v>
    <v>INR</v>
    <v>Multi Commodity Exchange of India Limited is a commodity derivatives exchange. The Company facilitates online trading of commodity futures and options, data feed subscription and membership. It offers a platform for trading in varied commodity derivative contracts across product segments: bullion, base metals, energy, agricultural commodities and indices. Its flagship index series, MCX iCOMDEX, is a series of real-time commodity futures price indices, which give information on market movements in key segments traded on the exchange. The MCX iCOMDEX series consists of a composite index, apart from two sectoral indices, such as the Base Metal index, and the Bullion index, and four single-commodity indices, such as Gold, Silver, Copper, and Crude Oil. Its subsidiary, Multi Commodity Exchange Clearing Corporation Ltd, provides collateral management and risk management services, along with clearing and settlement of trades executed on the exchange.</v>
    <v>400</v>
    <v>National Stock Exchange of India</v>
    <v>XNSE</v>
    <v>XNSE</v>
    <v>Exchange Square, Suren Road chakala, Andheri (East), MUMBAI, MAHARASHTRA, 400093 IN</v>
    <v>11110</v>
    <v>Investment Banking &amp; Investment Services</v>
    <v>Stock</v>
    <v>46017.492893518516</v>
    <v>1206</v>
    <v>10808</v>
    <v>552057400000</v>
    <v>MULTI COMMODITY EXCHANGE OF INDIA LIMITED</v>
    <v>MULTI COMMODITY EXCHANGE OF INDIA LIMITED</v>
    <v>10887</v>
    <v>79.31</v>
    <v>10825</v>
    <v>11052</v>
    <v>50998370</v>
    <v>MCX</v>
    <v>MULTI COMMODITY EXCHANGE OF INDIA LIMITED (XNSE:MCX)</v>
    <v>408344</v>
    <v>417870</v>
    <v>2002</v>
  </rv>
  <rv s="2">
    <v>1207</v>
  </rv>
  <rv s="0">
    <v>https://www.bing.com/financeapi/forcetrigger?t=ahj4dm&amp;q=XNSE%3aNATCOPHARM&amp;form=skydnc</v>
    <v>Learn more on Bing</v>
  </rv>
  <rv s="1">
    <v>en-US</v>
    <v>ahj4dm</v>
    <v>268435456</v>
    <v>1</v>
    <v>Powered by Refinitiv</v>
    <v>0</v>
    <v>NATCO PHARMA LIMITED (XNSE:NATCOPHARM)</v>
    <v>2</v>
    <v>3</v>
    <v>Finance</v>
    <v>4</v>
    <v>1445.85</v>
    <v>726.8</v>
    <v>0.79159999999999997</v>
    <v>-7.75</v>
    <v>-8.4580000000000002E-3</v>
    <v>INR</v>
    <v>Natco Pharma Limited is an India-based vertically integrated pharmaceutical company with a focus on research and development. It develops, manufactures and distributes generic and branded pharmaceuticals, specialty pharmaceuticals, active pharmaceutical ingredients and crop protection products. Its segments include Pharmaceuticals and Agro chemicals. The Pharmaceuticals segment is engaged in the manufacturing and selling of bulk drugs, finished dosage formulations. The Agro Chemicals segment focuses on the manufacturing and selling of agro chemicals. It is also engaged in developing, manufacturing and marketing finished dosage formulations (FDF), active pharmaceutical ingredients (APIs) and intermediates. Its product portfolio consists of two categories of agrochemicals - pesticides and bioproducts. The key focus area is to fill the gaps in the portfolio through crop phenology analysis. It has manufacturing facilities in India which cater to both domestic and international markets.</v>
    <v>4199</v>
    <v>National Stock Exchange of India</v>
    <v>XNSE</v>
    <v>XNSE</v>
    <v>Natco House, Road No 2, Banjara Hills, HYDERABAD, TELANGANA, 500034 IN</v>
    <v>920.9</v>
    <v>Pharmaceuticals</v>
    <v>Stock</v>
    <v>46017.492893518516</v>
    <v>1209</v>
    <v>906.2</v>
    <v>162721300000</v>
    <v>NATCO PHARMA LIMITED</v>
    <v>NATCO PHARMA LIMITED</v>
    <v>920.7</v>
    <v>10.66</v>
    <v>916.25</v>
    <v>908.5</v>
    <v>179109900</v>
    <v>NATCOPHARM</v>
    <v>NATCO PHARMA LIMITED (XNSE:NATCOPHARM)</v>
    <v>283088</v>
    <v>1310770</v>
    <v>1981</v>
  </rv>
  <rv s="2">
    <v>1210</v>
  </rv>
  <rv s="0">
    <v>https://www.bing.com/financeapi/forcetrigger?t=ahj51h&amp;q=XNSE%3aNBCC&amp;form=skydnc</v>
    <v>Learn more on Bing</v>
  </rv>
  <rv s="1">
    <v>en-US</v>
    <v>ahj51h</v>
    <v>268435456</v>
    <v>1</v>
    <v>Powered by Refinitiv</v>
    <v>0</v>
    <v>NBCC (INDIA) LIMITED (XNSE:NBCC)</v>
    <v>2</v>
    <v>3</v>
    <v>Finance</v>
    <v>4</v>
    <v>130.69999999999999</v>
    <v>70.8</v>
    <v>1.8365</v>
    <v>5.9</v>
    <v>5.0792000000000004E-2</v>
    <v>INR</v>
    <v>NBCC (India) Limited is an India-based company engaged in providing infrastructure facilities. The Company's segments include Project Management Consultancy (PMC), Real Estate, and Engineering, Procurement &amp; Construction (EPC). The PMC segment includes tasks such as geotechnical investigations, topographical surveys, resource planning, detailed engineering design, execution supervision, and other related activities. The Real Estate segment involves the sale of property, sale of additional parking slots, maintenance services, and other real related services. The EPC segment focuses on the construction, manufacturing, and development of assets on behalf of customers. This is considered a single performance obligation, as the bundle of goods and services represent the combined output for which the customer has contracted that is, construction of the project/asset. Its subsidiaries include NBCC Services Limited, HSCC (India) Limited, and Hindustan Steelworks Construction Limited.</v>
    <v>1172</v>
    <v>National Stock Exchange of India</v>
    <v>XNSE</v>
    <v>XNSE</v>
    <v>NBCC Bhawan, Lodhi Road, NEW DELHI, DELHI, 110003 IN</v>
    <v>122.5</v>
    <v>Construction &amp; Engineering</v>
    <v>Stock</v>
    <v>46017.492893518516</v>
    <v>1212</v>
    <v>116.16</v>
    <v>313632000000</v>
    <v>NBCC (INDIA) LIMITED</v>
    <v>NBCC (INDIA) LIMITED</v>
    <v>116.51</v>
    <v>52.2</v>
    <v>116.16</v>
    <v>122.06</v>
    <v>2700000000</v>
    <v>NBCC</v>
    <v>NBCC (INDIA) LIMITED (XNSE:NBCC)</v>
    <v>45284006</v>
    <v>12423140</v>
    <v>1960</v>
  </rv>
  <rv s="2">
    <v>1213</v>
  </rv>
  <rv s="0">
    <v>https://www.bing.com/financeapi/forcetrigger?t=ahj5a2&amp;q=XNSE%3aNCC&amp;form=skydnc</v>
    <v>Learn more on Bing</v>
  </rv>
  <rv s="1">
    <v>en-US</v>
    <v>ahj5a2</v>
    <v>268435456</v>
    <v>1</v>
    <v>Powered by Refinitiv</v>
    <v>0</v>
    <v>NCC LIMITED (XNSE:NCC)</v>
    <v>2</v>
    <v>3</v>
    <v>Finance</v>
    <v>4</v>
    <v>291.95</v>
    <v>152.19999999999999</v>
    <v>1.3224</v>
    <v>-3.42</v>
    <v>-2.1173000000000001E-2</v>
    <v>INR</v>
    <v>NCC Limited is an India-based company, which is engaged in the infrastructure sector and undertaking turn-key engineering, procurement and construction (EPC) contracts. The Company's segments include Construction, Real estate and Others. The Company is focused on the construction of industrial, institutional, hospital, hospitality and commercial buildings, airports, housing projects, transportation projects, including roads, bridges, flyovers, metros and tunnels, water supply and environment projects, railway projects, electrical distribution, transmission lines and smart meter projects, irrigation projects, mining projects and others. Its Real Estate segment comprises its real estate development / real estate construction business. Its Others segment comprises BOT Projects. Its mining division focuses on businesses for mine developer-cum-operator (MDO), removal of overburden and the extraction of coal / lignite / other minerals from open cast mines in India.</v>
    <v>7366</v>
    <v>National Stock Exchange of India</v>
    <v>XNSE</v>
    <v>XNSE</v>
    <v>NCC House, Madhapur, HYDERABAD, TELANGANA, 500081 IN</v>
    <v>162.30000000000001</v>
    <v>Construction &amp; Engineering</v>
    <v>Stock</v>
    <v>46017.492893518516</v>
    <v>1215</v>
    <v>157.58000000000001</v>
    <v>101416100000</v>
    <v>NCC LIMITED</v>
    <v>NCC LIMITED</v>
    <v>160.5</v>
    <v>12.5115</v>
    <v>161.53</v>
    <v>158.11000000000001</v>
    <v>627846600</v>
    <v>NCC</v>
    <v>NCC LIMITED (XNSE:NCC)</v>
    <v>3282226</v>
    <v>3071560</v>
    <v>1990</v>
  </rv>
  <rv s="2">
    <v>1216</v>
  </rv>
  <rv s="0">
    <v>https://www.bing.com/financeapi/forcetrigger?t=ahj827&amp;q=XNSE%3aNLCINDIA&amp;form=skydnc</v>
    <v>Learn more on Bing</v>
  </rv>
  <rv s="1">
    <v>en-US</v>
    <v>ahj827</v>
    <v>268435456</v>
    <v>1</v>
    <v>Powered by Refinitiv</v>
    <v>0</v>
    <v>NLC INDIA LIMITED (XNSE:NLCINDIA)</v>
    <v>2</v>
    <v>3</v>
    <v>Finance</v>
    <v>4</v>
    <v>292.2</v>
    <v>186.03</v>
    <v>1.5558000000000001</v>
    <v>0.16</v>
    <v>6.4060000000000007E-4</v>
    <v>INR</v>
    <v>NLC India Limited is an India-based company, which is engaged in the business of mining of lignite, coal and generation of power by using lignite as well as renewable energy sources and consultancy. Its segments include Mining and Power generation. The Mining segment includes mining of lignite and coal. The Power generation segment includes generation of power and sale to power utilities across the country. It operates three opencast Lignite Mines at Neyveli in Tamil Nadu and one opencast Lignite Mine at Barsingsar in Rajasthan, with a combined mining capacity of 30.10 million Tons Per Annum (MTPA). It also operates Talabira Open Cast Mine in Odisha, with a mining capacity of 20.00 MTPA. It is operating five lignite based thermal power stations, four at Neyveli, in Tamil Nadu and one at Barsingsar, in Rajasthan with capacity of over 3,640 megawatts. The total combined mining capacity of lignite and coal for the Company is 50.10 MTPA.</v>
    <v>10227</v>
    <v>National Stock Exchange of India</v>
    <v>XNSE</v>
    <v>XNSE</v>
    <v>Block - 1, Neyveli, CUDDALORE, TAMIL NADU, 607801 IN</v>
    <v>257.2</v>
    <v>Electrical Utilities &amp; IPPs</v>
    <v>Stock</v>
    <v>46017.492893518516</v>
    <v>1218</v>
    <v>247.23</v>
    <v>346340200000</v>
    <v>NLC INDIA LIMITED</v>
    <v>NLC INDIA LIMITED</v>
    <v>250</v>
    <v>12.918900000000001</v>
    <v>249.77</v>
    <v>249.93</v>
    <v>1386637000</v>
    <v>NLCINDIA</v>
    <v>NLC INDIA LIMITED (XNSE:NLCINDIA)</v>
    <v>1753210</v>
    <v>1141680</v>
    <v>1956</v>
  </rv>
  <rv s="2">
    <v>1219</v>
  </rv>
  <rv s="0">
    <v>https://www.bing.com/financeapi/forcetrigger?t=ahj852&amp;q=XNSE%3aNMDC&amp;form=skydnc</v>
    <v>Learn more on Bing</v>
  </rv>
  <rv s="1">
    <v>en-US</v>
    <v>ahj852</v>
    <v>268435456</v>
    <v>1</v>
    <v>Powered by Refinitiv</v>
    <v>0</v>
    <v>NMDC LIMITED (XNSE:NMDC)</v>
    <v>2</v>
    <v>3</v>
    <v>Finance</v>
    <v>4</v>
    <v>83.25</v>
    <v>59.53</v>
    <v>0.88360000000000005</v>
    <v>1.18</v>
    <v>1.4491E-2</v>
    <v>INR</v>
    <v>NMDC Limited is an India-based producer of iron ore. The Company owns and operates highly mechanized iron ore mines in the state of Chhattisgarh and Karnataka. It also operates the mechanized diamond mine in India at Panna, Madhya Pradesh. It offers a diverse range of iron ore products, each tailored to meet specific industrial requirements. It produces rough diamonds that cater to the gem and jewelry industry. The Company's segments include Iron Ore, and Pellet, Other Minerals &amp; Services. Its products include Baila ROM, Baila Lump, DR CLO, 10-20 mm Baila, Baila Fine, Doni Lump, Kumaraswamy Lump, Kumaraswamy Lump Ore, Doni Fines, Kumaraswamy Fine, Iron Ore Pellets, and Rough Diamonds. It holds around 26% stake in International Coal Ventures Pvt. Ltd (ICVL). ICVL owns coking coal deposit in Mozambique. The Company, through its subsidiary, Legacy Iron Ore Limited, carries out exploration in its 21 exploration tenements in Western Australia in iron ore, gold, tungsten and base metals.</v>
    <v>5677</v>
    <v>National Stock Exchange of India</v>
    <v>XNSE</v>
    <v>XNSE</v>
    <v>Khanij Bhavan, Masab Tank, HYDERABAD, TELANGANA, 500028 IN</v>
    <v>83.25</v>
    <v>Metals &amp; Mining</v>
    <v>Stock</v>
    <v>46017.492893518516</v>
    <v>1221</v>
    <v>81.37</v>
    <v>715917700000</v>
    <v>NMDC LIMITED</v>
    <v>NMDC LIMITED</v>
    <v>81.7</v>
    <v>10.19</v>
    <v>81.430000000000007</v>
    <v>82.61</v>
    <v>8791817000</v>
    <v>NMDC</v>
    <v>NMDC LIMITED (XNSE:NMDC)</v>
    <v>26105816</v>
    <v>21188910</v>
    <v>1958</v>
  </rv>
  <rv s="2">
    <v>1222</v>
  </rv>
  <rv s="3">
    <v>en-US</v>
    <v>c8v62w</v>
    <v>268435456</v>
    <v>1</v>
    <v>Powered by Refinitiv</v>
    <v>5</v>
    <v>NMDC STEEL LIMITED (XNSE:NSLNISP)</v>
    <v>6</v>
    <v>7</v>
    <v>Finance</v>
    <v>4</v>
    <v>49.65</v>
    <v>32.130000000000003</v>
    <v>0.14000000000000001</v>
    <v>3.3729999999999997E-3</v>
    <v>INR</v>
    <v>NMDC Steel Limited is an India-based company. The Company is primarily engaged in the manufacturing of iron and steel products. The Company owns and operates the approximately 3.0 million tons per annum (MTPA) steel plant at Nagarnar, Chhattisgarh. The Company’s product mix consists of low carbon steel, HSLA &amp; Dual Phase Steel and API quality steel that can be rolled into thicknesses ranging from 1-16 millimeters (mm). It produces Hot Rolled (HR) coils, HR sheets/ plates, Liquid Steel, gross sinter, gross coke, and pig iron and by-products. HR coils and HR sheets/ plates are used in various applications such as high tensile structures, structural forming &amp; flanging, and ship building.</v>
    <v>1062</v>
    <v>National Stock Exchange of India</v>
    <v>XNSE</v>
    <v>XNSE</v>
    <v>Khanij Bhavan, 10-3-311/A, Castle Hills, Masab Tank, HYDERABAD, TELANGANA, 500 028 IN</v>
    <v>42.86</v>
    <v>Metals &amp; Mining</v>
    <v>Stock</v>
    <v>46017.492893518516</v>
    <v>41.3</v>
    <v>121649400000</v>
    <v>NMDC STEEL LIMITED</v>
    <v>NMDC STEEL LIMITED</v>
    <v>41.55</v>
    <v>0</v>
    <v>41.51</v>
    <v>41.65</v>
    <v>2930606000</v>
    <v>NSLNISP</v>
    <v>NMDC STEEL LIMITED (XNSE:NSLNISP)</v>
    <v>4299085</v>
    <v>2212980</v>
    <v>2015</v>
  </rv>
  <rv s="2">
    <v>1224</v>
  </rv>
  <rv s="10">
    <v>en-US</v>
    <v>cfao77</v>
    <v>268435456</v>
    <v>1</v>
    <v>Powered by Refinitiv</v>
    <v>18</v>
    <v>NTPC GREEN ENERGY LIMITED (XNSE:NTPCGREEN)</v>
    <v>6</v>
    <v>3</v>
    <v>Finance</v>
    <v>4</v>
    <v>137.09</v>
    <v>84.55</v>
    <v>1.726</v>
    <v>-0.28999999999999998</v>
    <v>-3.1090000000000002E-3</v>
    <v>INR</v>
    <v>NTPC Green Energy Limited is an India-based green energy solutions company. The Company operates in one segment, which is the generation of electricity. The Company’s green portfolio includes solar power, wind power, floating solar power, energy storage, hybrid power, and green hydrogen. It is involved in the development of onshore and offshore wind power projects across diverse regions. Its floating solar power portfolio offers a sustainable and space-efficient solution through the installation of solar photovoltaic. Its solar projects include Rajgarh, Anantpur, Bhadla, Mandsaur, Devikot-2, Shimbhoo Ka Burj-1, Fatehgarh, Shimbhoo Ka Burj-2, Ettayapuram, Ayodhya and others. Its wind projects include Rojmal, Dayapar-I, Lakkundi, and Amreli. Its Dayapar-I project has approximately 146 megawatts (MWs) of capacity. Its Lakkundi project has approximately 300 MW capacity. The Company’s subsidiaries include NTPC Renewable Energy Limited and Green Valley Renewable Energy Limited.</v>
    <v>232</v>
    <v>National Stock Exchange of India</v>
    <v>XNSE</v>
    <v>XNSE</v>
    <v>NTPC Bhawan, Core -7, SCOPE Complex 7 Institutional Area, Lodi Road, NEW DELHI, DELHI, 110003 IN</v>
    <v>93.81</v>
    <v>Electrical Utilities &amp; IPPs</v>
    <v>Stock</v>
    <v>46017.492893518516</v>
    <v>92.81</v>
    <v>785923800000</v>
    <v>NTPC GREEN ENERGY LIMITED</v>
    <v>NTPC GREEN ENERGY LIMITED</v>
    <v>93.81</v>
    <v>130.81</v>
    <v>93.27</v>
    <v>92.98</v>
    <v>8426330000</v>
    <v>NTPCGREEN</v>
    <v>NTPC GREEN ENERGY LIMITED (XNSE:NTPCGREEN)</v>
    <v>3497622</v>
    <v>3580800</v>
    <v>2022</v>
  </rv>
  <rv s="2">
    <v>1226</v>
  </rv>
  <rv s="0">
    <v>https://www.bing.com/financeapi/forcetrigger?t=ahj6kr&amp;q=XNSE%3aNH&amp;form=skydnc</v>
    <v>Learn more on Bing</v>
  </rv>
  <rv s="1">
    <v>en-US</v>
    <v>ahj6kr</v>
    <v>268435456</v>
    <v>1</v>
    <v>Powered by Refinitiv</v>
    <v>0</v>
    <v>NARAYANA HRUDAYALAYA Limited (XNSE:NH)</v>
    <v>2</v>
    <v>3</v>
    <v>Finance</v>
    <v>4</v>
    <v>2370.1999999999998</v>
    <v>1256.55</v>
    <v>0.65339999999999998</v>
    <v>-16.7</v>
    <v>-8.9009999999999992E-3</v>
    <v>INR</v>
    <v>Narayana Hrudayalaya Limited is engaged in medical and healthcare services. The Company operates a network of multispecialty and super-specialty hospitals across multiple locations. Its operating segment is Medical and Healthcare Related Services. Its medical services include anesthesiology, audiology, breast oncology and oncoplastic surgery, clinical psychology, congenital adult heart disease, cardiac sciences, developmental and behavioral pediatrics, endocrinology and diabetology, gastrointestinal oncology, gynecologic oncology, hepatology and liver transplantation, interventional and endovascular radiology, medical gastroenterology, neuro rehabilitation, pediatric hematology oncology, speech and swallow rehabilitation, thoracic and vascular surgery, vascular and endovascular surgery, surgical gastroenterology, and surgical oncology, among others. It has a network of over 18 hospitals and three heart centers across India, along with an international presence in the Cayman Islands.</v>
    <v>11411</v>
    <v>National Stock Exchange of India</v>
    <v>XNSE</v>
    <v>XNSE</v>
    <v>2nd Floor, No. 261/A, Bommasandra Industrial Area, HOSUR Road, BANGALORE, KARNATAKA, 560099 IN</v>
    <v>1886.8</v>
    <v>Healthcare Providers &amp; Services</v>
    <v>Stock</v>
    <v>46017.492893518516</v>
    <v>1228</v>
    <v>1855.1</v>
    <v>377664200000</v>
    <v>NARAYANA HRUDAYALAYA Limited</v>
    <v>NARAYANA HRUDAYALAYA Limited</v>
    <v>1885</v>
    <v>45.17</v>
    <v>1876.2</v>
    <v>1859.5</v>
    <v>203099800</v>
    <v>NH</v>
    <v>NARAYANA HRUDAYALAYA Limited (XNSE:NH)</v>
    <v>130093</v>
    <v>247290</v>
    <v>2000</v>
  </rv>
  <rv s="2">
    <v>1229</v>
  </rv>
  <rv s="0">
    <v>https://www.bing.com/financeapi/forcetrigger?t=ahj4jc&amp;q=XNSE%3aNATIONALUM&amp;form=skydnc</v>
    <v>Learn more on Bing</v>
  </rv>
  <rv s="1">
    <v>en-US</v>
    <v>ahj4jc</v>
    <v>268435456</v>
    <v>1</v>
    <v>Powered by Refinitiv</v>
    <v>0</v>
    <v>NATIONAL ALUMINIUM CO LTD (XNSE:NATIONALUM)</v>
    <v>2</v>
    <v>3</v>
    <v>Finance</v>
    <v>4</v>
    <v>309.2</v>
    <v>137.75</v>
    <v>1.2171000000000001</v>
    <v>11.55</v>
    <v>3.9113000000000002E-2</v>
    <v>INR</v>
    <v>National Aluminium Company Limited is an India-based integrated bauxite-alumina-aluminum- power complex. The Company's operations include bauxite mines, alumina refinery, aluminum smelter, captive power plant, rolled products unit, port facilities, wind power plants, solar power and Nalco Research &amp; Technology Centre - testing services. Its segments include chemicals and Aluminium. Chemicals segment includes calcined alumina, alumina hydrate and other related products. Aluminium segment includes aluminum ingots, wire rods, billets, strips, rolled and other related products. It is operating approximately 22.75 lakh MT per annum alumina refinery plant located at Damanjodi in Koraput district of Odisha and 4.60 lakh MT per annum aluminum smelter located at Angul, Odisha. It is operating four wind power plants with total capacity of 198.40 megawatts. The Company, through its joint venture company, Khanij Bidesh India Limited, is focused on sourcing battery minerals like lithium and cobalt.</v>
    <v>4803</v>
    <v>National Stock Exchange of India</v>
    <v>XNSE</v>
    <v>XNSE</v>
    <v>Nalco Bhawan, Plot No. P/1, Nayapalli, BHUBANESHWAR, ORISSA, 751013 IN</v>
    <v>309.2</v>
    <v>Metals &amp; Mining</v>
    <v>Stock</v>
    <v>46017.492893518516</v>
    <v>1231</v>
    <v>296.5</v>
    <v>542357400000</v>
    <v>NATIONAL ALUMINIUM CO LTD</v>
    <v>NATIONAL ALUMINIUM CO LTD</v>
    <v>298</v>
    <v>8.8699999999999992</v>
    <v>295.3</v>
    <v>306.85000000000002</v>
    <v>1836632000</v>
    <v>NATIONALUM</v>
    <v>NATIONAL ALUMINIUM CO LTD (XNSE:NATIONALUM)</v>
    <v>12990101</v>
    <v>11078050</v>
    <v>1981</v>
  </rv>
  <rv s="2">
    <v>1232</v>
  </rv>
  <rv s="0">
    <v>https://www.bing.com/financeapi/forcetrigger?t=ahj577&amp;q=XNSE%3aNAVA&amp;form=skydnc</v>
    <v>Learn more on Bing</v>
  </rv>
  <rv s="1">
    <v>en-US</v>
    <v>ahj577</v>
    <v>268435456</v>
    <v>1</v>
    <v>Powered by Refinitiv</v>
    <v>0</v>
    <v>NAVA LIMITED (XNSE:NAVA)</v>
    <v>2</v>
    <v>3</v>
    <v>Finance</v>
    <v>4</v>
    <v>735</v>
    <v>356.05</v>
    <v>1.3447</v>
    <v>-7.65</v>
    <v>-1.3587999999999999E-2</v>
    <v>INR</v>
    <v>NAVA Limited is principally engaged in the business of manufacturing and selling of ferro alloys, the generation and trading of power, coal mining, and operating and maintenance of power-generating assets. The Company has its principal operations located in India, Singapore, and Zambia. Its segments include Ferro Alloys (FAP), Power, and Mining. The FAP segment produces various alloy metals, such as ferro chrome, silico manganese and ferro silicon. The Power Segment generates thermal energy for captive use and also for outside sale. Mining Segment wherein coal is mined for captive use and also for outside sale. The Company's subsidiaries include Nava Bharat Energy India Limited, Nava Bharat Projects Limited, Brahmani Infratech Private Limited, Maamba Collieries Limited, Nava Energy Zambia Limited, Kawambwa Sugar Limited, Nava Bharat (Singapore) Pte. Limited, The Iron Suites Pte. Limited, and Compai Pharma Pte Ltd.</v>
    <v>576</v>
    <v>National Stock Exchange of India</v>
    <v>XNSE</v>
    <v>XNSE</v>
    <v>Silicon House, Rd Number 14, Resham Bagh, Banjara Hills, HYDERABAD, TELANGANA, 500034 IN</v>
    <v>567.85</v>
    <v>Consumer Goods Conglomerates</v>
    <v>Stock</v>
    <v>46017.492893518516</v>
    <v>1234</v>
    <v>552.1</v>
    <v>159329700000</v>
    <v>NAVA LIMITED</v>
    <v>NAVA LIMITED</v>
    <v>564.20000000000005</v>
    <v>17.420000000000002</v>
    <v>563</v>
    <v>555.35</v>
    <v>283001300</v>
    <v>NAVA</v>
    <v>NAVA LIMITED (XNSE:NAVA)</v>
    <v>144324</v>
    <v>257630</v>
    <v>1972</v>
  </rv>
  <rv s="2">
    <v>1235</v>
  </rv>
  <rv s="10">
    <v>en-US</v>
    <v>cafzc7</v>
    <v>268435456</v>
    <v>1</v>
    <v>Powered by Refinitiv</v>
    <v>18</v>
    <v>NETWEB TECHNOLOGIES INDIA LIMITED (XNSE:NETWEB)</v>
    <v>6</v>
    <v>3</v>
    <v>Finance</v>
    <v>4</v>
    <v>4479</v>
    <v>1251.55</v>
    <v>1.3720000000000001</v>
    <v>-45.6</v>
    <v>-1.4279999999999999E-2</v>
    <v>INR</v>
    <v>Netweb Technologies India Limited is an India-based company, which is a provider of high-end computing solutions (HCS) with fully integrated design and manufacturing capabilities. The Company's HCS offering comprises high-performance computing (HPC), private cloud and (HCI), artificial intelligence (AI) systems and enterprise workstations, high performance storage (HPS) and data center servers and software and services. Its HPC offerings include HPC clusters, supercomputers with Graphics processing units (GPUs) optimization, HPC on-cloud, symmetric multiprocessing (SMP) solutions. The Company offers a full stack of product and solution suite with comprehensive capabilities in designing, developing, implementing and integrating computing solutions. It offers services in MLOps services, managed services, cloud migration, OpenStack cloud, HPC On Cloud, managed Kubernetes, artificial intelligence (AI) and Machine Learning (ML). Its products and solutions are sold under the Tyrone brand.</v>
    <v>441</v>
    <v>National Stock Exchange of India</v>
    <v>XNSE</v>
    <v>XNSE</v>
    <v>Plot No-H1, Pocket- 9, Faridabad Industrial Town (FIT) Sector-57, Faridabad, BALLABGARH, HARYANA, 121004 IN</v>
    <v>3230</v>
    <v>Software &amp; IT Services</v>
    <v>Stock</v>
    <v>46017.492893518516</v>
    <v>3130</v>
    <v>180907100000</v>
    <v>NETWEB TECHNOLOGIES INDIA LIMITED</v>
    <v>NETWEB TECHNOLOGIES INDIA LIMITED</v>
    <v>3193</v>
    <v>133.87</v>
    <v>3193.2</v>
    <v>3147.6</v>
    <v>56653870</v>
    <v>NETWEB</v>
    <v>NETWEB TECHNOLOGIES INDIA LIMITED (XNSE:NETWEB)</v>
    <v>241643</v>
    <v>424220</v>
    <v>1999</v>
  </rv>
  <rv s="2">
    <v>1237</v>
  </rv>
  <rv s="0">
    <v>https://www.bing.com/financeapi/forcetrigger?t=ahj6c7&amp;q=XNSE%3aNEULANDLAB&amp;form=skydnc</v>
    <v>Learn more on Bing</v>
  </rv>
  <rv s="1">
    <v>en-US</v>
    <v>ahj6c7</v>
    <v>268435456</v>
    <v>1</v>
    <v>Powered by Refinitiv</v>
    <v>0</v>
    <v>NEULAND LABORATORIES LTD. (XNSE:NEULANDLAB)</v>
    <v>2</v>
    <v>3</v>
    <v>Finance</v>
    <v>4</v>
    <v>19747</v>
    <v>10190.700000000001</v>
    <v>0.81440000000000001</v>
    <v>-108</v>
    <v>-7.1589999999999996E-3</v>
    <v>INR</v>
    <v>Neuland Laboratories Ltd. is a global provider of active pharmaceutical ingredients (APIs) contract development and manufacturing organization (CDMO) services. It is focused on manufacture and sale of active pharmaceutical ingredients and allied services. It supports biotechnology and pharmaceutical companies in the design, development and manufacturing of complex APIs. It has two business verticals: generic drug substances (GDS) and custom manufacturing solutions (CMS). It develops and manufactures non-exclusive APIs both Prime APIs comprising large volume, mature molecules, and specialty APIs comprising lower volume, complex molecules with less competition. It develops small molecules and peptides for clinical trials and beyond. It provides an end-to-end continuum of customized services from early-stage drug development (Pre-IND) through to commercial manufacturing of complex APIs, including process development, process optimization, analytical testing, and regulatory support.</v>
    <v>1799</v>
    <v>National Stock Exchange of India</v>
    <v>XNSE</v>
    <v>XNSE</v>
    <v>11th Floor (5th Level), Phoenix IVY Building, Plot No. 573A-, III, Road No. 82, Jubilee Hills, HYDERABAD, TELANGANA, 500033 IN</v>
    <v>15318</v>
    <v>Pharmaceuticals</v>
    <v>Stock</v>
    <v>46017.492893518516</v>
    <v>1239</v>
    <v>14860</v>
    <v>193551700000</v>
    <v>NEULAND LABORATORIES LTD.</v>
    <v>NEULAND LABORATORIES LTD.</v>
    <v>15086</v>
    <v>80.599999999999994</v>
    <v>15086</v>
    <v>14978</v>
    <v>12829890</v>
    <v>NEULANDLAB</v>
    <v>NEULAND LABORATORIES LTD. (XNSE:NEULANDLAB)</v>
    <v>46883</v>
    <v>57550</v>
    <v>1984</v>
  </rv>
  <rv s="2">
    <v>1240</v>
  </rv>
  <rv s="0">
    <v>https://www.bing.com/financeapi/forcetrigger?t=ays3k2&amp;q=XNSE%3aNEWGEN&amp;form=skydnc</v>
    <v>Learn more on Bing</v>
  </rv>
  <rv s="1">
    <v>en-US</v>
    <v>ays3k2</v>
    <v>268435456</v>
    <v>1</v>
    <v>Powered by Refinitiv</v>
    <v>0</v>
    <v>NEWGEN SOFTWARE TECHNOLOGIES LIMITED (XNSE:NEWGEN)</v>
    <v>2</v>
    <v>3</v>
    <v>Finance</v>
    <v>4</v>
    <v>1798.9</v>
    <v>758.2</v>
    <v>0.93210000000000004</v>
    <v>-11.45</v>
    <v>-1.3468000000000001E-2</v>
    <v>INR</v>
    <v>Newgen Software Technologies Limited is an India-based provider of a unified digital transformation platform with native process automation, content services, communication management, and artificial intelligence/machine learning (AI/ML) capabilities. Its NewgenONE platform offers a comprehensive suite of automation technologies that cover everything from task automation to content-rich, mission-critical applications, and complex workflow orchestration. Its NewgenONE capabilities include intelligent process automation, contextual content services, omnichannel customer engagement, low-code application development, data science, generative AI, integration ecosystem, and Agentic AI and Artificial Intelligence and Data Science. Its low code application development solution includes application studio and data model designer. It offers a range of Agentic AI, which include Marvin, Real-time, and LumYn. The Company's geographical segments include India, EMEA, APAC, and USA.</v>
    <v>4040</v>
    <v>National Stock Exchange of India</v>
    <v>XNSE</v>
    <v>XNSE</v>
    <v>A-6, Satsang Vihar Marg,, Qutab Institutional Area., NEW DELHI, DELHI, 110067 IN</v>
    <v>851.45</v>
    <v>Software &amp; IT Services</v>
    <v>Stock</v>
    <v>46017.492893518516</v>
    <v>1242</v>
    <v>837</v>
    <v>120149100000</v>
    <v>NEWGEN SOFTWARE TECHNOLOGIES LIMITED</v>
    <v>NEWGEN SOFTWARE TECHNOLOGIES LIMITED</v>
    <v>850</v>
    <v>36.229999999999997</v>
    <v>850.15</v>
    <v>838.7</v>
    <v>141326900</v>
    <v>NEWGEN</v>
    <v>NEWGEN SOFTWARE TECHNOLOGIES LIMITED (XNSE:NEWGEN)</v>
    <v>151501</v>
    <v>254610</v>
    <v>1992</v>
  </rv>
  <rv s="2">
    <v>1243</v>
  </rv>
  <rv s="0">
    <v>https://www.bing.com/financeapi/forcetrigger?t=ahjpoc&amp;q=XNSE%3aNAM-INDIA&amp;form=skydnc</v>
    <v>Learn more on Bing</v>
  </rv>
  <rv s="1">
    <v>en-US</v>
    <v>ahjpoc</v>
    <v>268435456</v>
    <v>1</v>
    <v>Powered by Refinitiv</v>
    <v>0</v>
    <v>NIPPON LIFE INDIA ASSET MANAGEMENT LIMITED (XNSE:NAM-INDIA)</v>
    <v>2</v>
    <v>3</v>
    <v>Finance</v>
    <v>4</v>
    <v>987.35</v>
    <v>498.05</v>
    <v>0.96660000000000001</v>
    <v>-12.35</v>
    <v>-1.4041999999999999E-2</v>
    <v>INR</v>
    <v>Nippon Life India Asset Management Limited is an asset management company. The Company’s principal activity is to act as an investment manager to Nippon India Mutual Fund. It is involved in managing mutual funds, such as Exchange Traded Funds (ETFs); Managed Accounts, including portfolio management services, alternative investment funds and pension funds; Gift City, and Offshore Funds and Advisory Mandates. Its offshore schemes include UCITS Equity Fund, UCITS Fixed Income Fund, India Fixed Income ETF, and Managed Accounts. The Company acts as an advisor for India-focused Equity &amp; Fixed Income funds in Japan. It also manages offshore funds and distribution through its subsidiary Nippon Life India Asset Management (Singapore) Pte. Ltd. (NAM Singapore or NAMS) and also through its representative office in Dubai. NAMS caters to overseas retail, institutional, and high-net worth investors across Asia, the Middle East, the United Kingdom, the United States, Latin America, and Europe.</v>
    <v>1104</v>
    <v>National Stock Exchange of India</v>
    <v>XNSE</v>
    <v>XNSE</v>
    <v>4th Floor, Tower A, Peninsula Business Park, Ganapatrao Kadam Marg, Lower Parel (W), MUMBAI, MAHARASHTRA, 400013 IN</v>
    <v>884.25</v>
    <v>Investment Banking &amp; Investment Services</v>
    <v>Stock</v>
    <v>46017.492893518516</v>
    <v>1245</v>
    <v>864</v>
    <v>560322200000</v>
    <v>NIPPON LIFE INDIA ASSET MANAGEMENT LIMITED</v>
    <v>NIPPON LIFE INDIA ASSET MANAGEMENT LIMITED</v>
    <v>881.3</v>
    <v>39.463799999999999</v>
    <v>879.5</v>
    <v>867.15</v>
    <v>637091700</v>
    <v>NAM-INDIA</v>
    <v>NIPPON LIFE INDIA ASSET MANAGEMENT LIMITED (XNSE:NAM-INDIA)</v>
    <v>343634</v>
    <v>1528770</v>
    <v>1995</v>
  </rv>
  <rv s="2">
    <v>1246</v>
  </rv>
  <rv s="10">
    <v>en-US</v>
    <v>cf6epr</v>
    <v>268435456</v>
    <v>1</v>
    <v>Powered by Refinitiv</v>
    <v>18</v>
    <v>NIVA BUPA HEALTH INSURANCE COMPANY LIMITED (XNSE:NIVABUPA)</v>
    <v>6</v>
    <v>3</v>
    <v>Finance</v>
    <v>4</v>
    <v>95.21</v>
    <v>68.540000000000006</v>
    <v>0.69799999999999995</v>
    <v>-0.6</v>
    <v>-7.901E-3</v>
    <v>INR</v>
    <v>Niva Bupa Health Insurance Company Limited is an India-based standalone health insurer (SAHI), focused on the retail health market. The Company's products are categorized into retail products, which are intended for individuals and families, and group products, which are intended for employers and employees, as well as third parties such as customers of banks and other corporate agents. Its businesses include health insurance, personal accident and travel insurance. Its health insurance business includes both indemnity-based and benefit-based health insurance products which are offered to retail and group customers. Its personal accident business includes primarily benefit-based products offered to retail and group customers. Its travel insurance business includes a combination of indemnity-based and benefit-based products, along with travel inconvenience benefits. Its travel insurance products are offered to retail and group customers, including domestic and international travelers.</v>
    <v>8936</v>
    <v>National Stock Exchange of India</v>
    <v>XNSE</v>
    <v>XNSE</v>
    <v>3rd Floor, Capital Cyberscape, Sector 59, GURGAON, HARYANA IN</v>
    <v>75.989999999999995</v>
    <v>Insurance</v>
    <v>Stock</v>
    <v>46017.492893518516</v>
    <v>75.16</v>
    <v>140269600000</v>
    <v>NIVA BUPA HEALTH INSURANCE COMPANY LIMITED</v>
    <v>NIVA BUPA HEALTH INSURANCE COMPANY LIMITED</v>
    <v>75.180000000000007</v>
    <v>104.18</v>
    <v>75.94</v>
    <v>75.34</v>
    <v>1847111000</v>
    <v>NIVABUPA</v>
    <v>NIVA BUPA HEALTH INSURANCE COMPANY LIMITED (XNSE:NIVABUPA)</v>
    <v>297810</v>
    <v>1219240</v>
    <v>2008</v>
  </rv>
  <rv s="2">
    <v>1248</v>
  </rv>
  <rv s="10">
    <v>en-US</v>
    <v>cax5w7</v>
    <v>268435456</v>
    <v>1</v>
    <v>Powered by Refinitiv</v>
    <v>18</v>
    <v>NUVAMA WEALTH MANAGEMENT LIMITED (XNSE:NUVAMA)</v>
    <v>6</v>
    <v>3</v>
    <v>Finance</v>
    <v>4</v>
    <v>8508.5</v>
    <v>1478</v>
    <v>1.9079999999999999</v>
    <v>-29.5</v>
    <v>-1.9370000000000002E-2</v>
    <v>INR</v>
    <v>Nuvama Wealth Management Limited is an India-based holding company. The Company operates through three segments: Wealth management business, Asset management business, and Capital markets business. The Wealth management business segment includes the distribution of financial products, investment advisory, lending against securities, and securities broking for clients in the wealth management business. The Asset management business segment includes investment management for alternative investment funds (AIFs) and portfolio management services (PMS) across strategies. The Capital markets business segment includes the institutional broking business, merchant banking, debt advisory, and clearing services. The Company's subsidiaries include Nuvama Clearing Services Limited, Nuvama Financial Services Inc., Nuvama Wealth Finance Limited, Nuvama Wealth and Investment Limited, Nuvama Asset Management Limited, and Pickright technologies Private Limited.</v>
    <v>282</v>
    <v>National Stock Exchange of India</v>
    <v>XNSE</v>
    <v>XNSE</v>
    <v>801-804, Wing A, Building No. 3, Inspire BKC, G Block, Bandra Kurla Complex, Bandra East, MUMBAI, MAHARASHTRA, 400051 IN</v>
    <v>1531</v>
    <v>Investment Banking &amp; Investment Services</v>
    <v>Stock</v>
    <v>46017.492893518516</v>
    <v>1478</v>
    <v>276890800000</v>
    <v>NUVAMA WEALTH MANAGEMENT LIMITED</v>
    <v>NUVAMA WEALTH MANAGEMENT LIMITED</v>
    <v>1520</v>
    <v>26.68</v>
    <v>1523</v>
    <v>1493.5</v>
    <v>36361230</v>
    <v>NUVAMA</v>
    <v>NUVAMA WEALTH MANAGEMENT LIMITED (XNSE:NUVAMA)</v>
    <v>736850</v>
    <v>165440</v>
    <v>1993</v>
  </rv>
  <rv s="2">
    <v>1250</v>
  </rv>
  <rv s="0">
    <v>https://www.bing.com/financeapi/forcetrigger?t=c35x8m&amp;q=XNSE%3aNUVOCO&amp;form=skydnc</v>
    <v>Learn more on Bing</v>
  </rv>
  <rv s="1">
    <v>en-US</v>
    <v>c35x8m</v>
    <v>268435456</v>
    <v>1</v>
    <v>Powered by Refinitiv</v>
    <v>0</v>
    <v>NUVOCO VISTAS CORPORATION LIMITED (XNSE:NUVOCO)</v>
    <v>2</v>
    <v>3</v>
    <v>Finance</v>
    <v>4</v>
    <v>477.5</v>
    <v>287.05</v>
    <v>0.81720000000000004</v>
    <v>3</v>
    <v>8.1840000000000003E-3</v>
    <v>INR</v>
    <v>Nuvoco Vistas Corporation Limited is a cement manufacturing company engaged in the manufacturing and sale of cement and building material products. Its product lineup includes Cement, Ready-Mix Concrete (RMX), and Modern Building Materials (MBM). Its cement product portfolio comprises Ordinary Portland Cement, Portland Slag Cement, Portland Pozzolana Cement, and Portland Composite Cement. RMX provides concrete solutions for developers, small contractors, builders, architects, government agencies, and individual home builders. It operates two reportable segments: Cement Division and RMX and Other Divisions. Its cement brands include Concreto, Duraguard, Double Bull, Portland Slag Cement (PSC), Infracem, and Nirmax. Its RMX brands include Concreto, InstaMix, Ecodure, Artiste, and X-Con, while its MBM brand includes Zero M. Its subsidiaries include Nu Vista Limited and Algebra Endeavour Private Limited. The Company operates approximately 11 cement manufacturing plants and 58 RMX plants.</v>
    <v>3921</v>
    <v>National Stock Exchange of India</v>
    <v>XNSE</v>
    <v>XNSE</v>
    <v>Equinox Business Park, Tower-3, East Wing, 4th floor, Off Bandra-Kurla Complex, LBS Marg, Kurla (West), MUMBAI, MAHARASHTRA, 400070 IN</v>
    <v>376.6</v>
    <v>Construction Materials</v>
    <v>Stock</v>
    <v>46017.492893518516</v>
    <v>1252</v>
    <v>364.8</v>
    <v>130915600000</v>
    <v>NUVOCO VISTAS CORPORATION LIMITED</v>
    <v>NUVOCO VISTAS CORPORATION LIMITED</v>
    <v>366.55</v>
    <v>47.75</v>
    <v>366.55</v>
    <v>369.55</v>
    <v>357156200</v>
    <v>NUVOCO</v>
    <v>NUVOCO VISTAS CORPORATION LIMITED (XNSE:NUVOCO)</v>
    <v>454438</v>
    <v>649390</v>
    <v>1999</v>
  </rv>
  <rv s="2">
    <v>1253</v>
  </rv>
  <rv s="0">
    <v>https://www.bing.com/financeapi/forcetrigger?t=ahj91h&amp;q=XNSE%3aOBEROIRLTY&amp;form=skydnc</v>
    <v>Learn more on Bing</v>
  </rv>
  <rv s="1">
    <v>en-US</v>
    <v>ahj91h</v>
    <v>268435456</v>
    <v>1</v>
    <v>Powered by Refinitiv</v>
    <v>0</v>
    <v>OBEROI REALTY LIMITED (XNSE:OBEROIRLTY)</v>
    <v>2</v>
    <v>3</v>
    <v>Finance</v>
    <v>4</v>
    <v>2343.65</v>
    <v>1451.95</v>
    <v>1.4348000000000001</v>
    <v>8.1999999999999993</v>
    <v>4.9030000000000002E-3</v>
    <v>INR</v>
    <v>Oberoi Realty Limited is primarily engaged in the business of real estate development and hospitality. The Company develops residential, commercial, retail, hospitality, and social infrastructure projects. The Company’s Real Estate segment develops and sells residential properties and leases commercial properties. Its Hospitality segment is in the business of owning and operating hotels. It has developed approximately 47 projects at locations across the Mumbai skyline, aggregating about 13.65 million square feet of space. Its residential projects include Oberoi Splendor, Oberoi Splendor Grande, Prisma by Oberoi Realty, Elysian by Oberoi Realty, Esquire by Oberoi Realty, and others. Its commercial projects include Commerz, Commerz II, Commerz III, and others. Its hospitality project is The Westin Mumbai Garden City. Its retail project includes the Oberoi Mall. Its social infrastructure projects are Oberoi International School-OGC Campus and Oberoi International School-JVLR Campus.</v>
    <v>1279</v>
    <v>National Stock Exchange of India</v>
    <v>XNSE</v>
    <v>XNSE</v>
    <v>Commerz, 3rd Floor, International Business Park,, Oberoi Garden City,Off Western Express Highway, Goregaon (East), MUMBAI, MAHARASHTRA, 400063 IN</v>
    <v>1700</v>
    <v>Real Estate Operations</v>
    <v>Stock</v>
    <v>46017.492893518516</v>
    <v>1255</v>
    <v>1663.6</v>
    <v>608088400000</v>
    <v>OBEROI REALTY LIMITED</v>
    <v>OBEROI REALTY LIMITED</v>
    <v>1671</v>
    <v>27.23</v>
    <v>1672.4</v>
    <v>1680.6</v>
    <v>363602200</v>
    <v>OBEROIRLTY</v>
    <v>OBEROI REALTY LIMITED (XNSE:OBEROIRLTY)</v>
    <v>314160</v>
    <v>340400</v>
    <v>1998</v>
  </rv>
  <rv s="2">
    <v>1256</v>
  </rv>
  <rv s="0">
    <v>http://en.wikipedia.org/wiki/Oil_India</v>
    <v>Wikipedia</v>
  </rv>
  <rv s="4">
    <v>153</v>
    <v>1258</v>
  </rv>
  <rv s="5">
    <v>12</v>
    <v>https://www.bing.com/th?id=AMMS_c95bda5ece615d354bb4f1ba57fc6de6&amp;qlt=95</v>
    <v>1259</v>
    <v>0</v>
    <v>https://www.bing.com/images/search?form=xlimg&amp;q=oil+india</v>
    <v>Image of OIL INDIA LIMITED</v>
  </rv>
  <rv s="0">
    <v>https://www.bing.com/financeapi/forcetrigger?t=ahj9cw&amp;q=XNSE%3aOIL&amp;form=skydnc</v>
    <v>Learn more on Bing</v>
  </rv>
  <rv s="6">
    <v>en-US</v>
    <v>ahj9cw</v>
    <v>268435456</v>
    <v>1</v>
    <v>Powered by Refinitiv</v>
    <v>8</v>
    <v>OIL INDIA LIMITED (XNSE:OIL)</v>
    <v>10</v>
    <v>11</v>
    <v>Finance</v>
    <v>4</v>
    <v>494.55</v>
    <v>325</v>
    <v>1.0712999999999999</v>
    <v>-6.15</v>
    <v>-1.504E-2</v>
    <v>INR</v>
    <v>Oil India Limited is an India-based company engaged in the exploration, development, and production of crude oil, natural gas, liquefied petroleum gas (LPG), and condensate and providing services such as pipeline transportation and generation of renewable energy. Its segments include Crude Oil, Natural Gas, LPG, Pipeline Transportation, and Renewable Energy. Its upstream operations include geosciences, drilling, and production. The midstream operations involve operating and maintaining pipelines to transport hydrocarbons such as crude oil, natural gas, and petroleum products. Its downstream portfolio includes activities in refining and petrochemicals and city gas distribution. It has an installed renewable energy capacity of approximately 188.1 megawatts (MW), comprising 174.1 MW from wind energy projects and 14.0 MW from solar energy projects. Its subsidiaries include Oil India Sweden AB, Oil India International B.V., Oil India International Pte. Ltd., and Numaligarh Refinery Limited.</v>
    <v>6412</v>
    <v>National Stock Exchange of India</v>
    <v>XNSE</v>
    <v>XNSE</v>
    <v>Plot No. 19, Sector-16A, Noida, Dist. G B Nagar, NOIDA, UTTAR PRADESH, 201301 IN</v>
    <v>410.35</v>
    <v>1260</v>
    <v>Oil &amp; Gas</v>
    <v>Stock</v>
    <v>46017.492893518516</v>
    <v>1261</v>
    <v>402.1</v>
    <v>665119900000</v>
    <v>OIL INDIA LIMITED</v>
    <v>OIL INDIA LIMITED</v>
    <v>409</v>
    <v>10.967000000000001</v>
    <v>408.9</v>
    <v>402.75</v>
    <v>1626608000</v>
    <v>OIL</v>
    <v>OIL INDIA LIMITED (XNSE:OIL)</v>
    <v>1696823</v>
    <v>1156430</v>
    <v>1959</v>
  </rv>
  <rv s="2">
    <v>1262</v>
  </rv>
  <rv s="10">
    <v>en-US</v>
    <v>cecza2</v>
    <v>268435456</v>
    <v>1</v>
    <v>Powered by Refinitiv</v>
    <v>18</v>
    <v>OLA ELECTRIC MOBILITY LIMITED (XNSE:OLAELEC)</v>
    <v>6</v>
    <v>3</v>
    <v>Finance</v>
    <v>4</v>
    <v>99.95</v>
    <v>30.76</v>
    <v>1.2769999999999999</v>
    <v>0.84</v>
    <v>2.3761999999999998E-2</v>
    <v>INR</v>
    <v>Ola Electric Mobility Limited is an India-based electric vehicle (EV) company. The Company is engaged in building vertically integrated technology and manufacturing capabilities for EVs and EV components, including cells. It manufactures EVs and certain core EV components, such as battery packs, motors and vehicle frames at the Ola Futurefactory. Its segments include Automotive and Cell. The Automotive segment includes the sale of automobiles and related services. The Cell segment encompasses the sale of cells. The Company offers a range of products, such as Ola S1 Pro, Ola S1, Ola S1 Air, Ola S1 X+, Ola S1 X (2 kWh), and the Ola S1 X (3 kWh), in addition to the Ola S1 X+, as well as a line-up of motorcycles comprising four models, Diamondhead, Adventure, Roadster, and Cruiser. It also offers various accessories, such as Buddy Step Floor Mat and Scooter Cover combo, Buddy Step and Floor Mat combo, Floor Mat and Scooter Cover combo, Helmet, Portable Charger, and Portable Charger.</v>
    <v>9</v>
    <v>National Stock Exchange of India</v>
    <v>XNSE</v>
    <v>XNSE</v>
    <v>Hosur Road,Municipal Ward No.67, Wing C, Star Tech, Municipal No. 140, Industrial Layout, BANGALORE, KARNATAKA, 560095 IN</v>
    <v>37.25</v>
    <v>Automobiles &amp; Auto Parts</v>
    <v>Stock</v>
    <v>46017.492893518516</v>
    <v>35.86</v>
    <v>148325300000</v>
    <v>OLA ELECTRIC MOBILITY LIMITED</v>
    <v>OLA ELECTRIC MOBILITY LIMITED</v>
    <v>36.450000000000003</v>
    <v>0</v>
    <v>35.35</v>
    <v>36.19</v>
    <v>4195906000</v>
    <v>OLAELEC</v>
    <v>OLA ELECTRIC MOBILITY LIMITED (XNSE:OLAELEC)</v>
    <v>94118499</v>
    <v>110477170</v>
    <v>2017</v>
  </rv>
  <rv s="2">
    <v>1264</v>
  </rv>
  <rv s="0">
    <v>https://www.bing.com/financeapi/forcetrigger?t=ahhxyc&amp;q=XNSE%3aOLECTRA&amp;form=skydnc</v>
    <v>Learn more on Bing</v>
  </rv>
  <rv s="1">
    <v>en-US</v>
    <v>ahhxyc</v>
    <v>268435456</v>
    <v>1</v>
    <v>Powered by Refinitiv</v>
    <v>0</v>
    <v>OLECTRA GREENTECH LIMITED (XNSE:OLECTRA)</v>
    <v>2</v>
    <v>3</v>
    <v>Finance</v>
    <v>4</v>
    <v>1714.2</v>
    <v>989.95</v>
    <v>0.56440000000000001</v>
    <v>-11.7</v>
    <v>-9.3640000000000008E-3</v>
    <v>INR</v>
    <v>Olectra Greentech Limited is an India-based company engaged in the manufacturing of composite polymer insulators, electric buses and electric trucks. The Company operates through two segments: Insulator division and E Vehicle division. Its E Vehicle division includes Electric buses (e-buses), and Electric trucks (e-trucks). Its range of insulators includes transmission and distribution composite insulators such as 10 - 15 kilovolts (KV), 22 - 28 KV, 33 - 36 KV, 52 - 77 KV, 110 - 132 KV, 220 - 245 KV, and 330 - 420 KV; and insulators for railways such as 25 KV 9 Ton Insulators, 25 KV Bracket Tube Insulators, and 25 KV Stay Arm Insulators. Its EVs include v2 Electric Bus, iX Electric Bus, X2 Electric Bus, CX2 Electric Coach Bus and Meghaetron Electric Tipper. The Company’s manufacturing facilities are located at Cherlapally, Hyderabad; Mahbubnagar, Telangana; and Sangareddy District, Telangana. Its subsidiaries include SSISPL-OGL-BYD Consortium and Evey Trans (GTC) Private Limited.</v>
    <v>724</v>
    <v>National Stock Exchange of India</v>
    <v>XNSE</v>
    <v>XNSE</v>
    <v>S-22, 2 &amp; 3rd Floor,, Technocrat Industrial Estate, Balanagar,, HYDERABAD, TELANGANA, 500037 IN</v>
    <v>1253.5999999999999</v>
    <v>Automobiles &amp; Auto Parts</v>
    <v>Stock</v>
    <v>46017.492893518516</v>
    <v>1266</v>
    <v>1230.8</v>
    <v>102559900000</v>
    <v>OLECTRA GREENTECH LIMITED</v>
    <v>OLECTRA GREENTECH LIMITED</v>
    <v>1253.5999999999999</v>
    <v>71.097099999999998</v>
    <v>1249.5</v>
    <v>1237.8</v>
    <v>82080740</v>
    <v>OLECTRA</v>
    <v>OLECTRA GREENTECH LIMITED (XNSE:OLECTRA)</v>
    <v>314178</v>
    <v>442010</v>
    <v>2000</v>
  </rv>
  <rv s="2">
    <v>1267</v>
  </rv>
  <rv s="10">
    <v>en-US</v>
    <v>cfpdbh</v>
    <v>268435456</v>
    <v>1</v>
    <v>Powered by Refinitiv</v>
    <v>18</v>
    <v>ONESOURCE SPECIALTY PHARMA LIMITED (XNSE:ONESOURCE)</v>
    <v>6</v>
    <v>3</v>
    <v>Finance</v>
    <v>4</v>
    <v>2248</v>
    <v>1209.95</v>
    <v>0.13300000000000001</v>
    <v>18</v>
    <v>1.0447E-2</v>
    <v>INR</v>
    <v>OneSource Specialty Pharma Limited is an India-based vertically integrated biopharma service company with the capabilities to develop and manufacture complex biologics, biosimilars and vaccines. It operates as a specialty pharma pure-play contract development and manufacturing organization (CDMO). The Company specializes in prefilled syringes (with or without a safety device), dial and push variable and fixed dose pen injectors, pull push fixed dose pens and autoinjectors. Its integrated services offer comprehensive biologics solutions. It supports the development of complex biologics, including microbial and mammalian cell line biopharmaceuticals, cell and gene therapy and ribonucleic acid (RNA) products. The Company caters to a variety of capsule shapes and sizes, as well as formulations, traditional softgels to enteric coated capsules, vegan alternatives, chewable formats, vaginal pessaries, liposomal capsules, applicaps, and suppositories.</v>
    <v>1412</v>
    <v>National Stock Exchange of India</v>
    <v>XNSE</v>
    <v>XNSE</v>
    <v>Star 1, Opp IIM Bangalore, Bilekahalli, Bannerghatta Road, BANGALORE, KARNATAKA, 560076 IN</v>
    <v>1749</v>
    <v>Biotechnology &amp; Medical Research</v>
    <v>Stock</v>
    <v>46017.492893518516</v>
    <v>1700.1</v>
    <v>197430200000</v>
    <v>ONESOURCE SPECIALTY PHARMA LIMITED</v>
    <v>ONESOURCE SPECIALTY PHARMA LIMITED</v>
    <v>1709</v>
    <v>528.79</v>
    <v>1723</v>
    <v>1741</v>
    <v>114585100</v>
    <v>ONESOURCE</v>
    <v>ONESOURCE SPECIALTY PHARMA LIMITED (XNSE:ONESOURCE)</v>
    <v>60685</v>
    <v>256990</v>
    <v>2007</v>
  </rv>
  <rv s="2">
    <v>1269</v>
  </rv>
  <rv s="0">
    <v>https://www.bing.com/financeapi/forcetrigger?t=c433xm&amp;q=XNSE%3aPOLICYBZR&amp;form=skydnc</v>
    <v>Learn more on Bing</v>
  </rv>
  <rv s="1">
    <v>en-US</v>
    <v>c433xm</v>
    <v>268435456</v>
    <v>1</v>
    <v>Powered by Refinitiv</v>
    <v>0</v>
    <v>PB FINTECH LIMITED (XNSE:POLICYBZR)</v>
    <v>2</v>
    <v>3</v>
    <v>Finance</v>
    <v>4</v>
    <v>2246.9</v>
    <v>1311.35</v>
    <v>0.37230000000000002</v>
    <v>-6.9</v>
    <v>-3.6009999999999996E-3</v>
    <v>INR</v>
    <v>PB Fintech Limited is an India-based company. The Company is in the business of online marketing and information technology consulting/support services. The Company is an online marketplace that offers end-to-end insurance and credit solutions to consumers. Its segments include Insurance Broker services segment, which consists of insurance broker services and Other services segment, which consists of commission from financial products aggregation service, online marketing, consulting and support services. It provides access to insurance, credit and other financial products. The Company operates financial services portfolios which include Policybazaar, Paisabazaar, and Pensionbazaar. The Policybazaar is an insurance marketplace which provides end-to-end insurance solutions to the retail consumers. The Paisabazaar is a credit marketplace that provides credit options across consumer segments. The Pensionbazaar is focused on pension product distribution.</v>
    <v>143</v>
    <v>National Stock Exchange of India</v>
    <v>XNSE</v>
    <v>XNSE</v>
    <v>Plot 119, Sector 44, GURGAON, HARYANA, 122001 IN</v>
    <v>1934.3</v>
    <v>Financial Technology (Fintech) &amp; Infrastructure</v>
    <v>Stock</v>
    <v>46017.492893518516</v>
    <v>1271</v>
    <v>1903.7</v>
    <v>881051400000</v>
    <v>PB FINTECH LIMITED</v>
    <v>PB FINTECH LIMITED</v>
    <v>1916.3</v>
    <v>190.21</v>
    <v>1916.3</v>
    <v>1909.4</v>
    <v>461428400</v>
    <v>POLICYBZR</v>
    <v>PB FINTECH LIMITED (XNSE:POLICYBZR)</v>
    <v>291059</v>
    <v>1349170</v>
    <v>2008</v>
  </rv>
  <rv s="2">
    <v>1272</v>
  </rv>
  <rv s="0">
    <v>https://www.bing.com/financeapi/forcetrigger?t=ahjf2w&amp;q=XNSE%3aPCBL&amp;form=skydnc</v>
    <v>Learn more on Bing</v>
  </rv>
  <rv s="1">
    <v>en-US</v>
    <v>ahjf2w</v>
    <v>268435456</v>
    <v>1</v>
    <v>Powered by Refinitiv</v>
    <v>0</v>
    <v>PCBL CHEMICAL LIMITED (XNSE:PCBL)</v>
    <v>2</v>
    <v>3</v>
    <v>Finance</v>
    <v>4</v>
    <v>479.8</v>
    <v>300.14999999999998</v>
    <v>1.2048000000000001</v>
    <v>-1.45</v>
    <v>-4.7429999999999998E-3</v>
    <v>INR</v>
    <v>PCBL Chemical Limited is a carbon black manufacturer. The Company is primarily engaged in the business of manufacturing and sale of carbon black and sale of power. Its segment includes Carbon Black, Power, Chemicals, and Battery Chemical. The Carbon Black segment is engaged in production of Carbon Black through its five manufacturing units located at Durgapur, Kochi, Palej, Mundra and Tiruvallur District. The Power segment is engaged in generation of electricity. The Chemicals segment is engaged in the business of manufacturing, marketing and sale of water treatment chemicals and oil and gas chemicals. Its Battery Chemical segment is engaged in the business to develop nano-Silicon additives to be used in the anode of lithium-ion battery. Its specialty chemicals segment with a production capacity of approximately 7,90,000 metric tons per annum and generating 122 megawatts per hour of green power. Its products include specialty chemicals, tires, and performance chemicals, and others.</v>
    <v>1320</v>
    <v>National Stock Exchange of India</v>
    <v>XNSE</v>
    <v>XNSE</v>
    <v>RPSG House, 4th Floor, 2/4 Judges Court Road, KOLKATA, WEST BENGAL, 700027 IN</v>
    <v>309.3</v>
    <v>Chemicals</v>
    <v>Stock</v>
    <v>46017.492893518516</v>
    <v>1274</v>
    <v>302.85000000000002</v>
    <v>120281500000</v>
    <v>PCBL CHEMICAL LIMITED</v>
    <v>PCBL CHEMICAL LIMITED</v>
    <v>306.10000000000002</v>
    <v>32.950000000000003</v>
    <v>305.7</v>
    <v>304.25</v>
    <v>393462600</v>
    <v>PCBL</v>
    <v>PCBL CHEMICAL LIMITED (XNSE:PCBL)</v>
    <v>581322</v>
    <v>574360</v>
    <v>1960</v>
  </rv>
  <rv s="2">
    <v>1275</v>
  </rv>
  <rv s="0">
    <v>https://www.bing.com/financeapi/forcetrigger?t=ahjetc&amp;q=XNSE%3aPGEL&amp;form=skydnc</v>
    <v>Learn more on Bing</v>
  </rv>
  <rv s="1">
    <v>en-US</v>
    <v>ahjetc</v>
    <v>268435456</v>
    <v>1</v>
    <v>Powered by Refinitiv</v>
    <v>0</v>
    <v>PG ELECTROPLAST LIMITED (XNSE:PGEL)</v>
    <v>2</v>
    <v>3</v>
    <v>Finance</v>
    <v>4</v>
    <v>1054.2</v>
    <v>465</v>
    <v>0.94620000000000004</v>
    <v>-0.55000000000000004</v>
    <v>-9.4570000000000006E-4</v>
    <v>INR</v>
    <v>PG Electroplast Limited is an electronic manufacturing services (EMS) provider for original equipment manufacturers (OEMs) of consumer electronic products in India. The Company manufactures and / or assembles a range of consumer electronic components and finished products, such as kitchen appliances, air conditioners (ACs) sub-assemblies, air coolers, washing machines, mobile handsets, and light-emitting diodes (LED) for third parties. It delivers services across the product manufacturing lifecycle, including product conceptualization, designing, and prototyping, production and product management services, to companies in various downstream industries and end markets. It also develops small, medium and large-sized, surface critical injection molded components for manufacturing automotive equipment. The Company caters to more than 45 Indian and global brands across diverse industries, such as consumer durables, consumer electronics, bathroom fittings, and automotives.</v>
    <v>816</v>
    <v>National Stock Exchange of India</v>
    <v>XNSE</v>
    <v>XNSE</v>
    <v>P-4/2 to 4/6, Site-B, UPSIDC Industrial Area,, Surajpur, Dist. Gautam Budh Nagar, GREATER NOIDA, UTTAR PRADESH, 201306 IN</v>
    <v>593.35</v>
    <v>Electronic Equipment &amp; Parts</v>
    <v>Stock</v>
    <v>46017.492893518516</v>
    <v>1277</v>
    <v>577.04999999999995</v>
    <v>165941300000</v>
    <v>PG ELECTROPLAST LIMITED</v>
    <v>PG ELECTROPLAST LIMITED</v>
    <v>578</v>
    <v>64.11</v>
    <v>581.6</v>
    <v>581.04999999999995</v>
    <v>285318600</v>
    <v>PGEL</v>
    <v>PG ELECTROPLAST LIMITED (XNSE:PGEL)</v>
    <v>1499899</v>
    <v>1839460</v>
    <v>2003</v>
  </rv>
  <rv s="2">
    <v>1278</v>
  </rv>
  <rv s="0">
    <v>https://www.bing.com/financeapi/forcetrigger?t=ahjgdm&amp;q=XNSE%3aPNBHOUSING&amp;form=skydnc</v>
    <v>Learn more on Bing</v>
  </rv>
  <rv s="1">
    <v>en-US</v>
    <v>ahjgdm</v>
    <v>268435456</v>
    <v>1</v>
    <v>Powered by Refinitiv</v>
    <v>0</v>
    <v>PNB HOUSING FINANCE LIMITED (XNSE:PNBHOUSING)</v>
    <v>2</v>
    <v>3</v>
    <v>Finance</v>
    <v>4</v>
    <v>1141.9000000000001</v>
    <v>746.7</v>
    <v>1.1281000000000001</v>
    <v>-22.5</v>
    <v>-2.3285E-2</v>
    <v>INR</v>
    <v>PNB Housing Finance Limited is an India-based Non-Banking Financial Company - Housing Finance Company (NBFC-HFC). The Company provides housing loans to individuals and corporate bodies for the purchase, construction, repair, and upgradation of houses. It also provides loans for commercial spaces, loans against property, and loans for purchasing residential plots. The Company’s product portfolio consists of housing loans, other home loans, and non-home loans. Its housing loans include home loan, plot loan, and home construction loan. Its other home loans include home extension loan, home improvement loan, and non-resident Indians (NRIs) home loan. Its non-home loans cover commercial property loan, loan against property, lease rental discounting, and loan for real estate-developers. It has established an affordable loan vertical called Roshni. Its subsidiaries include PHFL Home Loans and Services Limited and PEHEL Foundation. It operates approximately 300 branches and outreaches.</v>
    <v>2149</v>
    <v>National Stock Exchange of India</v>
    <v>XNSE</v>
    <v>XNSE</v>
    <v>9th Floor, Antriksh Bhavan,, 22 Kasturba Gandhi Marg, Near Connaught Place,, NEW DELHI, DELHI, 110001 IN</v>
    <v>970.85</v>
    <v>Banking Services</v>
    <v>Stock</v>
    <v>46017.492893518516</v>
    <v>1280</v>
    <v>941.4</v>
    <v>251729400000</v>
    <v>PNB HOUSING FINANCE LIMITED</v>
    <v>PNB HOUSING FINANCE LIMITED</v>
    <v>969.45</v>
    <v>11.4201</v>
    <v>966.3</v>
    <v>943.8</v>
    <v>260508500</v>
    <v>PNBHOUSING</v>
    <v>PNB HOUSING FINANCE LIMITED (XNSE:PNBHOUSING)</v>
    <v>1046494</v>
    <v>1599100</v>
    <v>1988</v>
  </rv>
  <rv s="2">
    <v>1281</v>
  </rv>
  <rv s="10">
    <v>en-US</v>
    <v>c9zbim</v>
    <v>268435456</v>
    <v>1</v>
    <v>Powered by Refinitiv</v>
    <v>18</v>
    <v>PTC INDUSTRIES LIMITED (XNSE:PTCIL)</v>
    <v>6</v>
    <v>3</v>
    <v>Finance</v>
    <v>4</v>
    <v>19387</v>
    <v>9756.2999999999993</v>
    <v>1.254</v>
    <v>381</v>
    <v>2.0826999999999998E-2</v>
    <v>INR</v>
    <v>PTC Industries Limited is an India-based company, which is engaged in manufacturing of precision metal components for critical applications. It is primarily engaged in the manufacturing of metal components. It operates through the Engineering and allied activities segment. Its technologies include Replicast, Rapidcast, Investment Casting, Ticast, ForgeCast, Powderforge, Print Cast and Titanium Powder Manufacture. Replicast is a molding and casting process. It has developed its own Rapidcast technology for the production of castings from large patterns. It applies ReplicCast, RapidCast and investment casting methods in the designs of marine and propulsion system components. Its products include Pump, Valve, Propulsion, flow control, and Titanium Casting. It serves a range of industries, including aerospace, liquefied natural gas (LNG) processing, oil and gas, pulp and paper, ship and marine, and petrochemical. Its subsidiary includes Aerolloy Technologies Limited.</v>
    <v>590</v>
    <v>National Stock Exchange of India</v>
    <v>XNSE</v>
    <v>XNSE</v>
    <v>Advanced Manufacturing &amp; Technology Centre, NH-25 A,Sarai Sahjadi, Kanpur Road, LUCKNOW, UTTAR PRADESH, 226004 IN</v>
    <v>18950</v>
    <v>Metals &amp; Mining</v>
    <v>Stock</v>
    <v>46017.492893518516</v>
    <v>17987</v>
    <v>274273700000</v>
    <v>PTC INDUSTRIES LIMITED</v>
    <v>PTC INDUSTRIES LIMITED</v>
    <v>18300</v>
    <v>441.4</v>
    <v>18294</v>
    <v>18675</v>
    <v>14992550</v>
    <v>PTCIL</v>
    <v>PTC INDUSTRIES LIMITED (XNSE:PTCIL)</v>
    <v>13088</v>
    <v>17570</v>
    <v>1963</v>
  </rv>
  <rv s="2">
    <v>1283</v>
  </rv>
  <rv s="0">
    <v>https://www.bing.com/financeapi/forcetrigger?t=ahjk7w&amp;q=XNSE%3aPVR&amp;form=skydnc</v>
    <v>Learn more on Bing</v>
  </rv>
  <rv s="1">
    <v>en-US</v>
    <v>ahjk7w</v>
    <v>268435456</v>
    <v>1</v>
    <v>Powered by Refinitiv</v>
    <v>0</v>
    <v>PVR INOX LIMITED (XNSE:PVRINOX)</v>
    <v>2</v>
    <v>3</v>
    <v>Finance</v>
    <v>4</v>
    <v>1407</v>
    <v>830</v>
    <v>0.82569999999999999</v>
    <v>-23.4</v>
    <v>-2.2845000000000001E-2</v>
    <v>INR</v>
    <v>PVR INOX Limited is a film exhibition company in India with approximately 1,753 screens across 358 properties in 112 cities in India and Sri Lanka. The Company is engaged in the business of movie exhibition, distribution and production and also in-house advertising, sale of food and beverages (F&amp;B), gaming and restaurant business. It is involved in the theatrical exhibition business and allied activities under the brand, PVR INOX. The Company offers a diversified and premium cinema viewing experience through its formats, including Director’s Cut, Insignia, LUXE, IMAX, ICE, P[XL], BIGPIX, ScreenX, 4DX, MX4D, Playhouse, Kiddles, Onyx, Sapphire, and Club. Its other brands include Insignia, Director's Cut and Luxe. It offers a range of F&amp;B options catering to diverse tastes, from gourmet delights to healthier alternatives. The Company’s subsidiaries include PVR INOX Pictures Limited, Zea Maize Private Limited, and PVR INOX Lanka Limited.</v>
    <v>4362</v>
    <v>National Stock Exchange of India</v>
    <v>XNSE</v>
    <v>XNSE</v>
    <v>Block A, 4th Floor, Building No.9, DLF Cyber City , Phase-III, Gurgaon, Haryana., GURGAON, HARYANA, 122002 IN</v>
    <v>1031.9000000000001</v>
    <v>Hotels &amp; Entertainment Services</v>
    <v>Stock</v>
    <v>46017.492893518516</v>
    <v>1285</v>
    <v>998</v>
    <v>100586200000</v>
    <v>PVR INOX LIMITED</v>
    <v>PVR INOX LIMITED</v>
    <v>1030</v>
    <v>0</v>
    <v>1024.3</v>
    <v>1000.9</v>
    <v>98199960</v>
    <v>PVRINOX</v>
    <v>PVR INOX LIMITED (XNSE:PVRINOX)</v>
    <v>508711</v>
    <v>615950</v>
    <v>1995</v>
  </rv>
  <rv s="2">
    <v>1286</v>
  </rv>
  <rv s="0">
    <v>https://www.bing.com/financeapi/forcetrigger?t=ahjbvh&amp;q=XNSE%3aPAGEIND&amp;form=skydnc</v>
    <v>Learn more on Bing</v>
  </rv>
  <rv s="1">
    <v>en-US</v>
    <v>ahjbvh</v>
    <v>268435456</v>
    <v>1</v>
    <v>Powered by Refinitiv</v>
    <v>0</v>
    <v>PAGE INDUSTRIES LIMITED (XNSE:PAGEIND)</v>
    <v>2</v>
    <v>3</v>
    <v>Finance</v>
    <v>4</v>
    <v>50590</v>
    <v>35310</v>
    <v>0.70299999999999996</v>
    <v>-135</v>
    <v>-3.6880000000000003E-3</v>
    <v>INR</v>
    <v>Page Industries Limited is an India-based company, which is engaged in the business of manufacturing, distribution and marketing of garments. The Company has a license of JOCKEY International Inc. (USA) for the manufacture, distribution and marketing of the JOCKEY brand in India, Sri Lanka, Bangladesh, Nepal, Oman, Qatar, Maldives, Bhutan, and the United Arab Emirates. It is also the licensee of Speedo International Ltd. for the manufacture, marketing and distribution of the Speedo brand in India. The Company’s manufacturing operations spread over 15 manufacturing complexes in Bangalore, Hassan, Mysore, Gowribidanur, Tiptur and Tirupur. The Company distributes pan India, including approximately 50,000 plus retail outlets in 1,800 cities and towns. The Company through its authorized franchisees has approximately 1,289 Exclusive Brand Outlet’s (EBO’s), including 48 Jockey Woman EBOs and 78 Jockey Juniors EBOs.</v>
    <v>20658</v>
    <v>National Stock Exchange of India</v>
    <v>XNSE</v>
    <v>XNSE</v>
    <v>Umiya Business Bay - Tower - 1, 7th Floor, Cessna Business Park, Kadubeesanahalli, Varthur Hobli, BANGALORE, KARNATAKA, 560103 IN</v>
    <v>36750</v>
    <v>Textiles &amp; Apparel</v>
    <v>Stock</v>
    <v>46017.492893518516</v>
    <v>1288</v>
    <v>36325</v>
    <v>408287600000</v>
    <v>PAGE INDUSTRIES LIMITED</v>
    <v>PAGE INDUSTRIES LIMITED</v>
    <v>36605</v>
    <v>53.228299999999997</v>
    <v>36605</v>
    <v>36470</v>
    <v>11153870</v>
    <v>PAGEIND</v>
    <v>PAGE INDUSTRIES LIMITED (XNSE:PAGEIND)</v>
    <v>10420</v>
    <v>41650</v>
    <v>1994</v>
  </rv>
  <rv s="2">
    <v>1289</v>
  </rv>
  <rv s="0">
    <v>https://www.bing.com/financeapi/forcetrigger?t=ahjr5r&amp;q=XNSE%3aPATANJALI&amp;form=skydnc</v>
    <v>Learn more on Bing</v>
  </rv>
  <rv s="1">
    <v>en-US</v>
    <v>ahjr5r</v>
    <v>268435456</v>
    <v>1</v>
    <v>Powered by Refinitiv</v>
    <v>0</v>
    <v>PATANJALI FOODS LIMITED (XNSE:PATANJALI)</v>
    <v>2</v>
    <v>3</v>
    <v>Finance</v>
    <v>4</v>
    <v>670.33</v>
    <v>521</v>
    <v>0.95809999999999995</v>
    <v>-0.65</v>
    <v>-1.188E-3</v>
    <v>INR</v>
    <v>Patanjali Foods Limited is an India-based company which is engaged in the fast-moving consumer goods (FMCG) and edible oils sector. The Company's segments include Edible Oils, Food &amp; Other FMCG, Home &amp; Personal Care, and Wind Turbine Power Generation. The Edible Oils segment includes crude oils, refined oils, vanaspati, bakery fats, seed extractions and other related products. The Food &amp; Other FMCG segment includes various types of food products, nutraceuticals, biscuits, noodles, breakfast cereals, textured soya protein and other related products. The Home &amp; Personal Care segment includes various types of non-food products related to home care, skin care, dental care and hair care and other related products. The Wind Turbine Power Generation segment includes electricity generated from windmills. Its products include Patanjali Cow Ghee, Patanjali Honey, Patanjali Medicated Juices, Nutrela Daily Active, Nutrela Sports 100%, Whey Performance, Nutrela Weight Gain and Nutrela Vitamin B12.</v>
    <v>7444</v>
    <v>National Stock Exchange of India</v>
    <v>XNSE</v>
    <v>XNSE</v>
    <v>601,Part B-2, Metro Tower 6th Floor,, Vijay Nagar, AB Road, INDORE, MADHYA PRADESH, 452010 IN</v>
    <v>550.9</v>
    <v>Food &amp; Tobacco</v>
    <v>Stock</v>
    <v>46017.492893518516</v>
    <v>1291</v>
    <v>544.35</v>
    <v>594552500000</v>
    <v>PATANJALI FOODS LIMITED</v>
    <v>PATANJALI FOODS LIMITED</v>
    <v>547.5</v>
    <v>50.09</v>
    <v>547.20000000000005</v>
    <v>546.54999999999995</v>
    <v>1087828000</v>
    <v>PATANJALI</v>
    <v>PATANJALI FOODS LIMITED (XNSE:PATANJALI)</v>
    <v>405275</v>
    <v>3600150</v>
    <v>1986</v>
  </rv>
  <rv s="2">
    <v>1292</v>
  </rv>
  <rv s="0">
    <v>https://www.bing.com/financeapi/forcetrigger?t=ahjef2&amp;q=XNSE%3aPETRONET&amp;form=skydnc</v>
    <v>Learn more on Bing</v>
  </rv>
  <rv s="1">
    <v>en-US</v>
    <v>ahjef2</v>
    <v>268435456</v>
    <v>1</v>
    <v>Powered by Refinitiv</v>
    <v>0</v>
    <v>PETRONET LNG LIMITED (XNSE:PETRONET)</v>
    <v>2</v>
    <v>3</v>
    <v>Finance</v>
    <v>4</v>
    <v>349.5</v>
    <v>263.5</v>
    <v>0.65510000000000002</v>
    <v>0.65</v>
    <v>2.313E-3</v>
    <v>INR</v>
    <v>Petronet LNG Limited (PLL) is engaged in the sale of re-gasified liquefied natural gas (RLNG). The Company primarily operates in the business of importing and processing liquified natural gas (LNG). It operates through the Natural Gas Business. Its Natural Gas consists mainly of methane, ethane, propane, and butane. Its terminals include Dahej LNG terminal, Kochi LNG terminal, and Solid cargo port. The Dahej LNG terminal is an LNG receiving and regasification terminal with an original nameplate capacity of approximately five million metric tons per annum, located at Dahej, Gujarat. The Kochi LNG terminal is an LNG receiving, regasification and re-loading terminal with a nameplate capacity of approximately five million metric tons per annum, located at Kochi, Kerala. The Kochi Terminal, brand name Taral, is supplying LNG through LNG trucks to customers. The Solid Cargo Port Terminal has facilities to import/export bulk products, such as coal, steel, and fertilizer.</v>
    <v>576</v>
    <v>National Stock Exchange of India</v>
    <v>XNSE</v>
    <v>XNSE</v>
    <v>1st Floor, World Trade Center, Babar Road, Barakhamba Lane, NEW DELHI, DELHI, 110001 IN</v>
    <v>283.60000000000002</v>
    <v>Oil &amp; Gas Related Equipment and Services</v>
    <v>Stock</v>
    <v>46017.492893518516</v>
    <v>1294</v>
    <v>280</v>
    <v>421575000000</v>
    <v>PETRONET LNG LIMITED</v>
    <v>PETRONET LNG LIMITED</v>
    <v>281.05</v>
    <v>11.49</v>
    <v>281.05</v>
    <v>281.7</v>
    <v>1500000000</v>
    <v>PETRONET</v>
    <v>PETRONET LNG LIMITED (XNSE:PETRONET)</v>
    <v>829027</v>
    <v>1510220</v>
    <v>1998</v>
  </rv>
  <rv s="2">
    <v>1295</v>
  </rv>
  <rv s="0">
    <v>https://www.bing.com/financeapi/forcetrigger?t=ahjekr&amp;q=XNSE%3aPFIZER&amp;form=skydnc</v>
    <v>Learn more on Bing</v>
  </rv>
  <rv s="1">
    <v>en-US</v>
    <v>ahjekr</v>
    <v>268435456</v>
    <v>1</v>
    <v>Powered by Refinitiv</v>
    <v>0</v>
    <v>PFIZER LIMITED (XNSE:PFIZER)</v>
    <v>2</v>
    <v>3</v>
    <v>Finance</v>
    <v>4</v>
    <v>5873.5</v>
    <v>3618.77</v>
    <v>0.58140000000000003</v>
    <v>16</v>
    <v>3.1769999999999997E-3</v>
    <v>INR</v>
    <v>Pfizer Limited (Pfizer) is an India-based multinational pharmaceutical company focusing on therapy in four business categories, namely, Vaccines, Hospitals, Internal Medicine, and Inflammation and Immunology. Pfizer’s Vaccines Division focuses on Prevenar 13, a Pneumococcal Conjugate Vaccine approved for administering to individuals of all ages against pneumococcal disease, an infection caused by streptococcus pneumoniae bacteria. Internal Medicine portfolio includes approximately 17 specialties and seven therapy areas, including respiratory, multivitamin and multimineral, gastrointestinal, pain, neuroscience, cardiovascular and women’s healthcare. Pfizer Hospital Business Unit focuses on providing advanced anti-infectives to institutions such as hospitals and nursing homes. Inflammation and Immunology focuses on discovering and developing novel therapeutics for chronic autoimmune diseases. Its brands include Prevenar13, CorexDX, Dolonex, Enbrel, Becosules and Folvite, among others.</v>
    <v>1598</v>
    <v>National Stock Exchange of India</v>
    <v>XNSE</v>
    <v>XNSE</v>
    <v>The Capital, 1802 / 1901, Plot No. C-70, G Block, Bandra Kurla Complex, Bandra East, MUMBAI, MAHARASHTRA, 400051 IN</v>
    <v>5070</v>
    <v>Pharmaceuticals</v>
    <v>Stock</v>
    <v>46017.492893518516</v>
    <v>1297</v>
    <v>5001</v>
    <v>230399300000</v>
    <v>PFIZER LIMITED</v>
    <v>PFIZER LIMITED</v>
    <v>5045</v>
    <v>27.45</v>
    <v>5036.3</v>
    <v>5052.3</v>
    <v>45747730</v>
    <v>PFIZER</v>
    <v>PFIZER LIMITED (XNSE:PFIZER)</v>
    <v>9403</v>
    <v>12460</v>
    <v>1950</v>
  </rv>
  <rv s="2">
    <v>1298</v>
  </rv>
  <rv s="0">
    <v>https://www.bing.com/financeapi/forcetrigger?t=ahjf5r&amp;q=XNSE%3aPHOENIXLTD&amp;form=skydnc</v>
    <v>Learn more on Bing</v>
  </rv>
  <rv s="1">
    <v>en-US</v>
    <v>ahjf5r</v>
    <v>268435456</v>
    <v>1</v>
    <v>Powered by Refinitiv</v>
    <v>0</v>
    <v>THE PHOENIX MILLS LIMITED (XNSE:PHOENIXLTD)</v>
    <v>2</v>
    <v>3</v>
    <v>Finance</v>
    <v>4</v>
    <v>1871</v>
    <v>1402.5</v>
    <v>0.99939999999999996</v>
    <v>-3</v>
    <v>-1.6189999999999998E-3</v>
    <v>INR</v>
    <v>The Phoenix Mills Limited is an India-based owner, operator and developer of retail-led mixed-use destinations. The Company is engaged in the development and leasing of commercial and retail space. Through its retail-led mixed-use developments, comprising retail malls, commercial offices and hospitality assets, the Company also builds residential assets. Its segments include Property and Related Services, Hospitality Services, and Residential Business. Its Property and Related Services segment provides mall /office areas on a license basis and the development of commercial / residential properties. Its Hospitality Services segment is engaged in the operation of hotels and restaurants. Its Residential Business is involved in the sale of residential properties. Its operations span across various aspects of real estate development, planning, execution, marketing, management, maintenance and sales. It has a presence in Mumbai, Bengaluru, Pune, Chennai, Agra, Indore, Lucknow, and Bareilly.</v>
    <v>116</v>
    <v>National Stock Exchange of India</v>
    <v>XNSE</v>
    <v>XNSE</v>
    <v>Shree Laxmi Woolen Mills Estate, R. R. Hosiery Bldg, R. R. Hosiery Bldg Dr. E. Moses Road, MUMBAI, MAHARASHTRA, 400011 IN</v>
    <v>1871</v>
    <v>Real Estate Operations</v>
    <v>Stock</v>
    <v>46017.492893518516</v>
    <v>1300</v>
    <v>1841.3</v>
    <v>662772700000</v>
    <v>THE PHOENIX MILLS LIMITED</v>
    <v>THE PHOENIX MILLS LIMITED</v>
    <v>1853.4</v>
    <v>61.346699999999998</v>
    <v>1853.4</v>
    <v>1850.4</v>
    <v>357598300</v>
    <v>PHOENIXLTD</v>
    <v>THE PHOENIX MILLS LIMITED (XNSE:PHOENIXLTD)</v>
    <v>94535</v>
    <v>409520</v>
    <v>1905</v>
  </rv>
  <rv s="2">
    <v>1301</v>
  </rv>
  <rv s="10">
    <v>en-US</v>
    <v>c7nkjc</v>
    <v>268435456</v>
    <v>1</v>
    <v>Powered by Refinitiv</v>
    <v>18</v>
    <v>PIRAMAL PHARMA LIMITED (XNSE:PPLPHARMA)</v>
    <v>6</v>
    <v>3</v>
    <v>Finance</v>
    <v>4</v>
    <v>273.35000000000002</v>
    <v>165.12</v>
    <v>0.88700000000000001</v>
    <v>-3.09</v>
    <v>-1.7426999999999998E-2</v>
    <v>INR</v>
    <v>Piramal Pharma Limited is a global pharmaceutical company, which offers a portfolio of differentiated pharma products across a domestic and global distribution network. It operates approximately 17 development and manufacturing facilities across India, the United Kingdom/Europe, and North America. It has a commercial presence in over 100 countries. The Company operates under three business verticals: Piramal Pharma Solutions (PPS), an integrated Contract Development and Manufacturing Organization (CDMO); Piramal Critical Care (PCC), a Complex Hospital Generics (CHG) business; and Piramal Consumer Healthcare business, selling over-the-counter products. PPS caters to both drug substances - Active Pharmaceutical Ingredients (APIs), and drug products (formulations). PCC's complex hospital product portfolio comprises hospital-focused products in the areas of inhalation anesthesia, intrathecal therapy, injectable anesthesia and pain management, and other generic and specialty products.</v>
    <v>7126</v>
    <v>National Stock Exchange of India</v>
    <v>XNSE</v>
    <v>XNSE</v>
    <v>Gr. Flr.,Piramal Ananta, Agastya Corporate Park,, Kamani Junction, LBS Marg, Kurla (West), MUMBAI, MAHARASHTRA, 400070 IN</v>
    <v>177.4</v>
    <v>Pharmaceuticals</v>
    <v>Stock</v>
    <v>46017.492893518516</v>
    <v>173.85</v>
    <v>234485000000</v>
    <v>PIRAMAL PHARMA LIMITED</v>
    <v>PIRAMAL PHARMA LIMITED</v>
    <v>177.31</v>
    <v>0</v>
    <v>177.31</v>
    <v>174.22</v>
    <v>1322458000</v>
    <v>PPLPHARMA</v>
    <v>PIRAMAL PHARMA LIMITED (XNSE:PPLPHARMA)</v>
    <v>1575785</v>
    <v>3990280</v>
    <v>2020</v>
  </rv>
  <rv s="2">
    <v>1303</v>
  </rv>
  <rv s="0">
    <v>https://www.bing.com/financeapi/forcetrigger?t=ahjh1h&amp;q=XNSE%3aPOLYMED&amp;form=skydnc</v>
    <v>Learn more on Bing</v>
  </rv>
  <rv s="1">
    <v>en-US</v>
    <v>ahjh1h</v>
    <v>268435456</v>
    <v>1</v>
    <v>Powered by Refinitiv</v>
    <v>0</v>
    <v>POLY MEDICURE LIMITED (XNSE:POLYMED)</v>
    <v>2</v>
    <v>3</v>
    <v>Finance</v>
    <v>4</v>
    <v>2937.6</v>
    <v>1739.9</v>
    <v>0.60050000000000003</v>
    <v>-27.7</v>
    <v>-1.5523E-2</v>
    <v>INR</v>
    <v>Poly Medicure Limited is an India-based medical device manufacturer and exporter, with its products sold in over 125 countries. The Company is primarily in the business of manufacturing and selling medical devices. With a portfolio of over 200 medical devices and more than 330 patents, the Company offers a comprehensive range of medical devices across 12 medical therapies, including infusion therapy, vascular access, dialysis and renal care, critical care, cardiology, oncology, transfusion, diagnostics, gastroenterology, anesthesia and respiratory care, urology, and surgery and wound management. Its products consist of an I.V. cannula, arterial cannula, prefilled syringe, nasogastric feeding tube, gastro-duodenal feeding tube, umbilical catheter, irrigation sets, urine drainage catheters and others.</v>
    <v>3082</v>
    <v>National Stock Exchange of India</v>
    <v>XNSE</v>
    <v>XNSE</v>
    <v>Plot No.104-105 &amp; 115-116 , Sector-59, HSIDC Industrial Area, Ballabgarh,, FARIDABAD, HARYANA, 121004 IN</v>
    <v>1780.1</v>
    <v>Healthcare Equipment &amp; Supplies</v>
    <v>Stock</v>
    <v>46017.492893518516</v>
    <v>1305</v>
    <v>1739.9</v>
    <v>180876000000</v>
    <v>POLY MEDICURE LIMITED</v>
    <v>POLY MEDICURE LIMITED</v>
    <v>1780.1</v>
    <v>49.311100000000003</v>
    <v>1784.5</v>
    <v>1756.8</v>
    <v>101359500</v>
    <v>POLYMED</v>
    <v>POLY MEDICURE LIMITED (XNSE:POLYMED)</v>
    <v>123134</v>
    <v>62650</v>
    <v>1995</v>
  </rv>
  <rv s="2">
    <v>1306</v>
  </rv>
  <rv s="0">
    <v>https://www.bing.com/financeapi/forcetrigger?t=bprqu2&amp;q=XNSE%3aPOLYCAB&amp;form=skydnc</v>
    <v>Learn more on Bing</v>
  </rv>
  <rv s="1">
    <v>en-US</v>
    <v>bprqu2</v>
    <v>268435456</v>
    <v>1</v>
    <v>Powered by Refinitiv</v>
    <v>0</v>
    <v>POLYCAB INDIA LIMITED (XNSE:POLYCAB)</v>
    <v>2</v>
    <v>3</v>
    <v>Finance</v>
    <v>4</v>
    <v>7903</v>
    <v>4555</v>
    <v>0.96</v>
    <v>-74</v>
    <v>-9.698E-3</v>
    <v>INR</v>
    <v>Polycab India Limited is a manufacturer of wires and cables. It is engaged in fast-moving electrical goods (FMEG). Its segment includes Wires and cables, FMEG, and Other. Wire and cable segment is engaged in the manufacturing and selling of wires and cables. FMEG segment is engaged in fans, light-emitting diode (LED) lighting and luminaires, switches, switchgear, solar products, pumps, conduits, and domestic appliances. Other segment consists of the engineering, procurement, and construction (EPC) business, which includes design, engineering, supply of materials, survey, execution and commissioning of power distribution, and rural electrification projects on a trunky basis. It is also in the business of engineering, procurement, and construction (EPC) projects. It owns over 28 manufacturing facilities, located across the states of Gujarat, Maharashtra, Uttarakhand, and the union territory of Daman. Its products include Flexible Wires, Building Wires LV and MV Power Cables, and others.</v>
    <v>5258</v>
    <v>National Stock Exchange of India</v>
    <v>XNSE</v>
    <v>XNSE</v>
    <v>#29, The Ruby, 21st Floor,, Senapati Bapat Marg, Tulsi Pipe Road,, Dadar (West),, MUMBAI, MAHARASHTRA, 400028 IN</v>
    <v>7672.5</v>
    <v>Machinery, Equipment &amp; Components</v>
    <v>Stock</v>
    <v>46017.492893518516</v>
    <v>1308</v>
    <v>7531.5</v>
    <v>1148684000000</v>
    <v>POLYCAB INDIA LIMITED</v>
    <v>POLYCAB INDIA LIMITED</v>
    <v>7610</v>
    <v>46.63</v>
    <v>7630.5</v>
    <v>7556.5</v>
    <v>150538500</v>
    <v>POLYCAB</v>
    <v>POLYCAB INDIA LIMITED (XNSE:POLYCAB)</v>
    <v>134764</v>
    <v>419020</v>
    <v>1996</v>
  </rv>
  <rv s="2">
    <v>1309</v>
  </rv>
  <rv s="0">
    <v>https://www.bing.com/financeapi/forcetrigger?t=ahithw&amp;q=XNSE%3aPOONAWALLA&amp;form=skydnc</v>
    <v>Learn more on Bing</v>
  </rv>
  <rv s="1">
    <v>en-US</v>
    <v>ahithw</v>
    <v>268435456</v>
    <v>1</v>
    <v>Powered by Refinitiv</v>
    <v>0</v>
    <v>POONAWALLA FINCORP LIMITED (XNSE:POONAWALLA)</v>
    <v>2</v>
    <v>3</v>
    <v>Finance</v>
    <v>4</v>
    <v>570.4</v>
    <v>267.2</v>
    <v>2.0516000000000001</v>
    <v>3.85</v>
    <v>8.2059999999999998E-3</v>
    <v>INR</v>
    <v>Poonawalla Fincorp Limited is an India-based non-banking finance company that focuses on consumer and micro, small, and medium enterprises (MSME) financing. Its products and services include Financing for Small and Medium Enterprises, Personal and Consumer, Loan Against Property, Pre-owned Car, Mid-market and NBFC Loan, Medical Equipment Loan &amp; Machinery Loan, Supply Chain Finance, Educational Loan and Commercial Vehicle Loan. Its Personal Loan is provided to individuals for all consumption purposes, including but not limited to travel, medical, and emergency lifestyle purchases. Its Supply Chain Finance caters to the upstream and downstream financing needs of anchors, thereby helping MSMEs have easy access to capital. It provides pre-owned car loans to purchase a car or to refinance the car for personal or business funds requirements. It provides educational loans primarily focusing on students pursuing higher education in international universities.</v>
    <v>3594</v>
    <v>National Stock Exchange of India</v>
    <v>XNSE</v>
    <v>XNSE</v>
    <v>201 And 202, 2Nd Floor, AP81, Koregaon Park Annex, Mundhwa, PUNE, MAHARASHTRA, 411036 IN</v>
    <v>477.3</v>
    <v>Banking Services</v>
    <v>Stock</v>
    <v>46017.492893518516</v>
    <v>1311</v>
    <v>466</v>
    <v>378896800000</v>
    <v>POONAWALLA FINCORP LIMITED</v>
    <v>POONAWALLA FINCORP LIMITED</v>
    <v>469.95</v>
    <v>166.98</v>
    <v>469.15</v>
    <v>473</v>
    <v>807624100</v>
    <v>POONAWALLA</v>
    <v>POONAWALLA FINCORP LIMITED (XNSE:POONAWALLA)</v>
    <v>881629</v>
    <v>721930</v>
    <v>1978</v>
  </rv>
  <rv s="2">
    <v>1312</v>
  </rv>
  <rv s="0">
    <v>https://www.bing.com/financeapi/forcetrigger?t=ahjhr7&amp;q=XNSE%3aPRAJIND&amp;form=skydnc</v>
    <v>Learn more on Bing</v>
  </rv>
  <rv s="1">
    <v>en-US</v>
    <v>ahjhr7</v>
    <v>268435456</v>
    <v>1</v>
    <v>Powered by Refinitiv</v>
    <v>0</v>
    <v>PRAJ INDUSTRIES LIMITED (XNSE:PRAJIND)</v>
    <v>2</v>
    <v>3</v>
    <v>Finance</v>
    <v>4</v>
    <v>875</v>
    <v>293.39999999999998</v>
    <v>1.6143000000000001</v>
    <v>-1.35</v>
    <v>-4.0360000000000005E-3</v>
    <v>INR</v>
    <v>Praj Industries Limited is an industrial biotechnology company. It is engaged in process and project engineering. It also provides design and engineering services. Its business lines include BioEnergy, Praj HiPurity Systems, critical, process equipment and skids, wastewater treatment and brewery and beverages. The Company’s BioMobility platform offers technology solutions globally to produce renewable transportation fuel, thus ensuring sustainable decarbonization through circular bioeconomy. Its Bio-Prism portfolio comprises technologies for the production of renewable chemicals and materials. Its BioEnergy solutions include first generation (1G) ethanol, which provides solutions for sugary feedstocks and solutions for starchy feedstocks. Its technologies include BIOSYRUP, EcoCool, MAXIMOL, Celluniti and enfinity. Its diverse portfolio comprises Bio-energy solutions, critical process equipment and modularization, breweries, zero liquid discharge systems and high purity water systems.</v>
    <v>1318</v>
    <v>National Stock Exchange of India</v>
    <v>XNSE</v>
    <v>XNSE</v>
    <v>Praj Tower 274 &amp; 275/2, Bhumkar Chowk, Hinjewadi Road, Hinjewadi, PUNE, MAHARASHTRA, 411057 IN</v>
    <v>337.5</v>
    <v>Construction &amp; Engineering</v>
    <v>Stock</v>
    <v>46017.492893518516</v>
    <v>1314</v>
    <v>331.85</v>
    <v>61476290000</v>
    <v>PRAJ INDUSTRIES LIMITED</v>
    <v>PRAJ INDUSTRIES LIMITED</v>
    <v>335.9</v>
    <v>58.28</v>
    <v>334.45</v>
    <v>333.1</v>
    <v>183813100</v>
    <v>PRAJIND</v>
    <v>PRAJ INDUSTRIES LIMITED (XNSE:PRAJIND)</v>
    <v>394033</v>
    <v>5317350</v>
    <v>1985</v>
  </rv>
  <rv s="2">
    <v>1315</v>
  </rv>
  <rv s="10">
    <v>en-US</v>
    <v>ceisp2</v>
    <v>268435456</v>
    <v>1</v>
    <v>Powered by Refinitiv</v>
    <v>18</v>
    <v>PREMIER ENERGIES LIMITED (XNSE:PREMIERENE)</v>
    <v>6</v>
    <v>3</v>
    <v>Finance</v>
    <v>4</v>
    <v>1384</v>
    <v>774.05</v>
    <v>2.2799999999999998</v>
    <v>-9.65</v>
    <v>-1.0884E-2</v>
    <v>INR</v>
    <v>Premier Energies Limited is an India-based integrated solar cell and module manufacturing company. The Company’s business operations include solar power generation and manufacturing of solar photo voltaic cells and solar products. The Company is also involved in the execution of engineering, procurement and construction (EPC) projects, independent power production, operations and maintenance (O&amp;M) services with respect to EPC projects executed by the Company and the sale of other solar-related products. Its EPC division provides services for ground mounted and rooftop solar power projects and has executed over 266.26-megawatt (MW) ground mounted and 22.86 MW rooftop solar power projects. Its O&amp;M division offers services for ground mounted and rooftop solar power projects and has executed over 178.38 MW of ground mounted and rooftop solar power projects. The Company offers solar products, such as solar water pumps, lanterns, lighting systems and solar electric vehicles.</v>
    <v>1611</v>
    <v>National Stock Exchange of India</v>
    <v>XNSE</v>
    <v>XNSE</v>
    <v>8th floor, Orbit Tower 1, Sy. No. 83/1, Hyderabad Knowledge City, TSIIC,, Raidurgam, HYDERABAD, TELANGANA, 500081 IN</v>
    <v>896.4</v>
    <v>Renewable Energy</v>
    <v>Stock</v>
    <v>46017.492893518516</v>
    <v>875</v>
    <v>398205600000</v>
    <v>PREMIER ENERGIES LIMITED</v>
    <v>PREMIER ENERGIES LIMITED</v>
    <v>890</v>
    <v>34.870899999999999</v>
    <v>886.65</v>
    <v>877</v>
    <v>449112500</v>
    <v>PREMIERENE</v>
    <v>PREMIER ENERGIES LIMITED (XNSE:PREMIERENE)</v>
    <v>540325</v>
    <v>1330690</v>
    <v>1995</v>
  </rv>
  <rv s="2">
    <v>1317</v>
  </rv>
  <rv s="0">
    <v>https://www.bing.com/financeapi/forcetrigger?t=ahjitc&amp;q=XNSE%3aPRESTIGE&amp;form=skydnc</v>
    <v>Learn more on Bing</v>
  </rv>
  <rv s="1">
    <v>en-US</v>
    <v>ahjitc</v>
    <v>268435456</v>
    <v>1</v>
    <v>Powered by Refinitiv</v>
    <v>0</v>
    <v>PRESTIGE ESTATES PROJECTS LIMITED (XNSE:PRESTIGE)</v>
    <v>2</v>
    <v>3</v>
    <v>Finance</v>
    <v>4</v>
    <v>1814</v>
    <v>1048.05</v>
    <v>1.5302</v>
    <v>-8.4</v>
    <v>-5.1919999999999996E-3</v>
    <v>INR</v>
    <v>Prestige Estates Projects Limited is an India-based real estate developer. The Company is engaged in developing real estate projects across the residential, office, retail, leisure, rental, and hospitality segments. The Company has delivered approximately 302 real estate projects spanning 193 million square feet. Its residential product line comprises townships, apartments, mansions, luxury villas, row houses, plotted development, golf projects, and affordable housing. It develops modern and smart offices across various Indian metro cities. It builds and operates hotels by collaborating with various hospitality brands, such as JW Marriott, Sheraton Grand and Conrad by Hilton. The Company’s projects include Prestige Kingfisher Towers, Prestige Leela Residences, Prestige Golfshire, Prestige Tech Park, Prestige Shantiniketan, Prestige Liberty Towers, Conrad Bengaluru, The Collection at UB City, The Artiste Kochi, Prestige Fairfield, Mulberry Shades, and Forum South Bangalore.</v>
    <v>9014</v>
    <v>National Stock Exchange of India</v>
    <v>XNSE</v>
    <v>XNSE</v>
    <v>Prestige Falcon Tower, No.19,Brunton Road, BANGALORE, KARNATAKA, 560025 IN</v>
    <v>1649.9</v>
    <v>Real Estate Operations</v>
    <v>Stock</v>
    <v>46017.492893518516</v>
    <v>1319</v>
    <v>1592.3</v>
    <v>693303400000</v>
    <v>PRESTIGE ESTATES PROJECTS LIMITED</v>
    <v>PRESTIGE ESTATES PROJECTS LIMITED</v>
    <v>1602.9</v>
    <v>91.05</v>
    <v>1618</v>
    <v>1609.6</v>
    <v>430730200</v>
    <v>PRESTIGE</v>
    <v>PRESTIGE ESTATES PROJECTS LIMITED (XNSE:PRESTIGE)</v>
    <v>1476794</v>
    <v>465660</v>
    <v>1997</v>
  </rv>
  <rv s="2">
    <v>1320</v>
  </rv>
  <rv s="0">
    <v>https://www.bing.com/financeapi/forcetrigger?t=ahjew7&amp;q=XNSE%3aPGHH&amp;form=skydnc</v>
    <v>Learn more on Bing</v>
  </rv>
  <rv s="1">
    <v>en-US</v>
    <v>ahjew7</v>
    <v>268435456</v>
    <v>1</v>
    <v>Powered by Refinitiv</v>
    <v>0</v>
    <v>PROCTER &amp; GAMBLE HYGIENE AND HEALTH CARE LIMITED (XNSE:PGHH)</v>
    <v>2</v>
    <v>3</v>
    <v>Finance</v>
    <v>4</v>
    <v>15597.75</v>
    <v>12105.6</v>
    <v>0.4395</v>
    <v>-72</v>
    <v>-5.5289999999999992E-3</v>
    <v>INR</v>
    <v>Procter &amp; Gamble Hygiene and Health Care Limited is an India-based fast-moving consumer goods (FMCG). The Company is engaged in manufacturing and selling branded packaged FMCG in the feminine care and healthcare businesses. The Company has two segments: Health care products and Hygiene products. The health care products segment comprises ointment and creams, cough drops and tablets. The hygiene products segment comprises feminine hygiene products and other skin care hygiene products. The Company’s brand portfolio includes Whisper, Vicks, and Old Spice. Its product portfolio includes Whisper Choice XL, Whisper Choice Ultra, Vicks VapoRub, Vicks Throat Drops, Vicks Action 500 Advanced, Vicks Inhaler, Vicks Baby Rub, Vicks VapoRub Xtra Strong, and others. The Company's products are sold through retail operations, including mass merchandisers, grocery stores, membership club stores, drug stores, department stores and high-frequency stores.</v>
    <v>421</v>
    <v>National Stock Exchange of India</v>
    <v>XNSE</v>
    <v>XNSE</v>
    <v>India P&amp;G plaza, Cardinal Gracias Road, Chakala, Andheri (E), MUMBAI, MAHARASHTRA, 400099 IN</v>
    <v>13065</v>
    <v>Personal &amp; Household Products &amp; Services</v>
    <v>Stock</v>
    <v>46017.492893518516</v>
    <v>1322</v>
    <v>12902</v>
    <v>422703700000</v>
    <v>PROCTER &amp; GAMBLE HYGIENE AND HEALTH CARE LIMITED</v>
    <v>PROCTER &amp; GAMBLE HYGIENE AND HEALTH CARE LIMITED</v>
    <v>13042</v>
    <v>50.853299999999997</v>
    <v>13022</v>
    <v>12950</v>
    <v>32460740</v>
    <v>PGHH</v>
    <v>PROCTER &amp; GAMBLE HYGIENE AND HEALTH CARE LIMITED (XNSE:PGHH)</v>
    <v>1633</v>
    <v>4930</v>
    <v>1964</v>
  </rv>
  <rv s="2">
    <v>1323</v>
  </rv>
  <rv s="10">
    <v>en-US</v>
    <v>cavcsm</v>
    <v>268435456</v>
    <v>1</v>
    <v>Powered by Refinitiv</v>
    <v>18</v>
    <v>R R KABEL LIMITED (XNSE:RRKABEL)</v>
    <v>6</v>
    <v>3</v>
    <v>Finance</v>
    <v>4</v>
    <v>1562.6</v>
    <v>853.55</v>
    <v>0.94499999999999995</v>
    <v>-25.5</v>
    <v>-1.7009E-2</v>
    <v>INR</v>
    <v>R R Kabel Limited is an India-based consumer electrical company, which is engaged in manufacturing and selling wires and cables, including house wires, industrial wires, power cables and special cables, and fast-moving electric goods (FMEG), including fans, lighting, switches, and appliances. The Company’s segments include Wire and Cable and FMEG. Its Wire and Cable segment is engaged in the manufacture and sale of wires and cables. Its FMEG segment is engaged in the manufacture and sale of fans, light-emitting diode (LED) lighting, switches, switchgear, water heaters, and domestic appliances. It manufactures, markets, and sells fans and lights under the brand RR Signature Fans and Lights. It offers premium electrical products under the RR Signature appliances brand, which include water heater, immersion heater, iron, and air cooler. Its brand, Arraystorm, focuses on the LED lighting business. It owns and operates approximately five integrated manufacturing facilities across India.</v>
    <v>3678</v>
    <v>National Stock Exchange of India</v>
    <v>XNSE</v>
    <v>XNSE</v>
    <v>Ram Ratna House, Utopia City, P. B. Marg, Worli, MUMBAI, MAHARASHTRA, 400013 IN</v>
    <v>1516</v>
    <v>Machinery, Equipment &amp; Components</v>
    <v>Stock</v>
    <v>46017.492905092593</v>
    <v>1468.5</v>
    <v>169543300000</v>
    <v>R R KABEL LIMITED</v>
    <v>R R KABEL LIMITED</v>
    <v>1506</v>
    <v>41.99</v>
    <v>1499.2</v>
    <v>1473.7</v>
    <v>113089200</v>
    <v>RRKABEL</v>
    <v>R R KABEL LIMITED (XNSE:RRKABEL)</v>
    <v>179701</v>
    <v>266540</v>
    <v>1995</v>
  </rv>
  <rv s="2">
    <v>1325</v>
  </rv>
  <rv s="0">
    <v>https://www.bing.com/financeapi/forcetrigger?t=ahjmz2&amp;q=XNSE%3aRBLBANK&amp;form=skydnc</v>
    <v>Learn more on Bing</v>
  </rv>
  <rv s="1">
    <v>en-US</v>
    <v>ahjmz2</v>
    <v>268435456</v>
    <v>1</v>
    <v>Powered by Refinitiv</v>
    <v>0</v>
    <v>RBL BANK LIMITED (XNSE:RBLBANK)</v>
    <v>2</v>
    <v>3</v>
    <v>Finance</v>
    <v>4</v>
    <v>332</v>
    <v>146.1</v>
    <v>1.5814999999999999</v>
    <v>-2.7</v>
    <v>-8.8249999999999995E-3</v>
    <v>INR</v>
    <v>RBL Bank Limited is an India-based private sector bank. The Company offers specialized services under five business verticals: corporate banking, commercial banking, branch &amp; business banking, retail assets, and treasury &amp; financial markets operations. Its corporate banking comprises corporate banking offerings, financial institutions and government banking, supply chain, inclusive financial institutions, multinational and new economic relationships. Its commercial banking includes small &amp; medium enterprises, and mid-market enterprises. Its branch &amp; business banking includes a complete suite of products for its retail customers, small business owners, retail institutions supported by multiple digital banking channels including mobile banking, Internet banking, phone banking, and WhatsApp banking. It has over 561 branches, 1,472 business correspondent branches (of which 296 banking outlets), and 412 automated teller machines (ATM) spread across 28 Indian states and Union Territories.</v>
    <v>14057</v>
    <v>National Stock Exchange of India</v>
    <v>XNSE</v>
    <v>XNSE</v>
    <v>One World Center, Tower 2B, 6th Floor,, 841, Senapati Bapat Marg, Lower Parel (W), MUMBAI, MAHARASHTRA, 400013 IN</v>
    <v>306.05</v>
    <v>Banking Services</v>
    <v>Stock</v>
    <v>46017.492893518516</v>
    <v>1327</v>
    <v>300.64999999999998</v>
    <v>188819000000</v>
    <v>RBL BANK LIMITED</v>
    <v>RBL BANK LIMITED</v>
    <v>306</v>
    <v>34.450000000000003</v>
    <v>305.95</v>
    <v>303.25</v>
    <v>617156500</v>
    <v>RBLBANK</v>
    <v>RBL BANK LIMITED (XNSE:RBLBANK)</v>
    <v>2400482</v>
    <v>4040240</v>
    <v>1943</v>
  </rv>
  <rv s="2">
    <v>1328</v>
  </rv>
  <rv s="0">
    <v>https://www.bing.com/financeapi/forcetrigger?t=ahjbec&amp;q=XNSE%3aRHIM&amp;form=skydnc</v>
    <v>Learn more on Bing</v>
  </rv>
  <rv s="1">
    <v>en-US</v>
    <v>ahjbec</v>
    <v>268435456</v>
    <v>1</v>
    <v>Powered by Refinitiv</v>
    <v>0</v>
    <v>RHI Magnesita India Limited (XNSE:RHIM)</v>
    <v>2</v>
    <v>3</v>
    <v>Finance</v>
    <v>4</v>
    <v>547.9</v>
    <v>376.45</v>
    <v>0.53939999999999999</v>
    <v>2.4</v>
    <v>5.3659999999999992E-3</v>
    <v>INR</v>
    <v>RHI Magnesita India Ltd is an India-based company. The Company is engaged in the business of manufacturing and trading refractories, monolithic, bricks, and ceramic paper, as well as rendering management services. Its geographical segments are within India and outside India. The Company offers a range of refractory products and mixes to its customers in steel, cement, lime, non-ferrous metals, glass, and other industries. The Company offers solutions such as total refractory management/full line service, tailor-made products and services, complete project management from drawing and engineering, supply, installation, and commissioning, and engineering solutions. The Company has manufacturing facilities in Bhiwadi (Rajasthan), Visakhapatnam (Andhra Pradesh), and Cuttack (Orrisa). The Company operates through its subsidiary, Intermetal Engineers (India) Private Limited, which is primarily engaged in the business of manufacturing and selling slide gate mechanics and related components.</v>
    <v>1624</v>
    <v>National Stock Exchange of India</v>
    <v>XNSE</v>
    <v>XNSE</v>
    <v>301, Tower B, Emaar Digital Greens, Golf Course Road Extension, Sector 61,, GURGAON, HARYANA, 122102 IN</v>
    <v>455</v>
    <v>Construction Materials</v>
    <v>Stock</v>
    <v>46017.492893518516</v>
    <v>1330</v>
    <v>444.35</v>
    <v>92853370000</v>
    <v>RHI Magnesita India Limited</v>
    <v>RHI Magnesita India Limited</v>
    <v>446.9</v>
    <v>58.73</v>
    <v>447.25</v>
    <v>449.65</v>
    <v>206501400</v>
    <v>RHIM</v>
    <v>RHI Magnesita India Limited (XNSE:RHIM)</v>
    <v>89283</v>
    <v>118910</v>
    <v>2010</v>
  </rv>
  <rv s="2">
    <v>1331</v>
  </rv>
  <rv s="0">
    <v>https://www.bing.com/financeapi/forcetrigger?t=b1sa7w&amp;q=XNSE%3aRITES&amp;form=skydnc</v>
    <v>Learn more on Bing</v>
  </rv>
  <rv s="1">
    <v>en-US</v>
    <v>b1sa7w</v>
    <v>268435456</v>
    <v>1</v>
    <v>Powered by Refinitiv</v>
    <v>0</v>
    <v>RITES LIMITED (XNSE:RITES)</v>
    <v>2</v>
    <v>3</v>
    <v>Finance</v>
    <v>4</v>
    <v>316</v>
    <v>192.4</v>
    <v>0.94040000000000001</v>
    <v>10.050000000000001</v>
    <v>4.1425999999999998E-2</v>
    <v>INR</v>
    <v>RITES Limited is an India-based engineering and consultancy company providing a range of services and solutions in all areas of transport and infrastructure development. The Company is engaged in design engineering, project management consultancy, turnkey construction, export of rolling stock, locomotive leasing, and quality assurance, serving sectors, including railways, highways, metros, bridges and tunnels, sustainability and green mobility, airports, land ports, ropeways, urban planning and infrastructure, ports and harbors, and institutional buildings. Its segments include consultancy services, leasing of railway rolling stock and equipment, export of rolling stock, equipment, and spares, turnkey construction projects, and power generation. Its subsidiaries include RITES (Afrika) (Pty) Limited, which is engaged in design and project consultancy services and REMC Limited, which develops business opportunities in the power sector, green energy, power trading, and other fields.</v>
    <v>1755</v>
    <v>National Stock Exchange of India</v>
    <v>XNSE</v>
    <v>XNSE</v>
    <v>Rites Bhawan,1, Sector 29, GURGAON, HARYANA, 122001 IN</v>
    <v>257.38</v>
    <v>Professional &amp; Commercial Services</v>
    <v>Stock</v>
    <v>46017.492893518516</v>
    <v>1333</v>
    <v>240.85</v>
    <v>116594500000</v>
    <v>RITES LIMITED</v>
    <v>RITES LIMITED</v>
    <v>242.2</v>
    <v>28.39</v>
    <v>242.6</v>
    <v>252.65</v>
    <v>480603800</v>
    <v>RITES</v>
    <v>RITES LIMITED (XNSE:RITES)</v>
    <v>6686823</v>
    <v>1347390</v>
    <v>1974</v>
  </rv>
  <rv s="2">
    <v>1334</v>
  </rv>
  <rv s="0">
    <v>https://www.bing.com/financeapi/forcetrigger?t=ahjkrw&amp;q=XNSE%3aRADICO&amp;form=skydnc</v>
    <v>Learn more on Bing</v>
  </rv>
  <rv s="1">
    <v>en-US</v>
    <v>ahjkrw</v>
    <v>268435456</v>
    <v>1</v>
    <v>Powered by Refinitiv</v>
    <v>0</v>
    <v>RADICO KHAITAN LIMITED (XNSE:RADICO)</v>
    <v>2</v>
    <v>3</v>
    <v>Finance</v>
    <v>4</v>
    <v>3591.9</v>
    <v>1845.5</v>
    <v>0.70920000000000005</v>
    <v>3.4</v>
    <v>1.0299999999999999E-3</v>
    <v>INR</v>
    <v>Radico Khaitan Limited is an India-based manufacturer of alcohol and alcoholic products. The Company is engaged in the manufacturing and trading of alcoholic products, such as Indian-made foreign liquor (IMFL) and country liquor. The Company operates through Alcohol and Alcoholic Beverages segment. It offers various brands, such as rampur indian single malt whisky, jaisalmer indian craft gin, royal ranthambore heritage collection royal crafted whisky, happiness in a bottle, magic moments dazzle vodka, magic moments verve, magic moments vodka, magic moments vodka cocktails, after dark premium whisky, morpheus blue xo brandy, morpheus xo brandy, 8pm premium black whisky, 8pm whisky, 1965 the spirit of victory premium xxx rum, whytehall premium brandy, old admiral brandy, and contessa rum. It has two distillery campuses located in India. The Company has a total capacity of over 321 million liters and operates 44 bottling units, spread across the country.</v>
    <v>1494</v>
    <v>National Stock Exchange of India</v>
    <v>XNSE</v>
    <v>XNSE</v>
    <v>Plot No. J-1, Block B-1,, Mohan Co-operative Industrial Area,, Mathura Road, NEW DELHI, DELHI, 110044 IN</v>
    <v>3325.4</v>
    <v>Beverages</v>
    <v>Stock</v>
    <v>46017.492893518516</v>
    <v>1336</v>
    <v>3265.1</v>
    <v>442102900000</v>
    <v>RADICO KHAITAN LIMITED</v>
    <v>RADICO KHAITAN LIMITED</v>
    <v>3301.9</v>
    <v>96.653300000000002</v>
    <v>3301.9</v>
    <v>3305.3</v>
    <v>133893500</v>
    <v>RADICO</v>
    <v>RADICO KHAITAN LIMITED (XNSE:RADICO)</v>
    <v>303155</v>
    <v>264740</v>
    <v>1983</v>
  </rv>
  <rv s="2">
    <v>1337</v>
  </rv>
  <rv s="0">
    <v>https://www.bing.com/financeapi/forcetrigger?t=bzs5r7&amp;q=XNSE%3aRAILTEL&amp;form=skydnc</v>
    <v>Learn more on Bing</v>
  </rv>
  <rv s="1">
    <v>en-US</v>
    <v>bzs5r7</v>
    <v>268435456</v>
    <v>1</v>
    <v>Powered by Refinitiv</v>
    <v>0</v>
    <v>RAILTEL CORPORATION OF INDIA LIMITED (XNSE:RAILTEL)</v>
    <v>2</v>
    <v>3</v>
    <v>Finance</v>
    <v>4</v>
    <v>478.95</v>
    <v>265.5</v>
    <v>1.2685</v>
    <v>21.5</v>
    <v>6.0266E-2</v>
    <v>INR</v>
    <v>RailTel Corporation of India Limited is an India-based information and communications technology (ICT) and neutral telecommunication (telecom) infrastructure provider, which owns a presence across nation (Pan)-India optic fiber network on right of way (ROW) along a railway track. Its operating segments include Telecom Services and Project Work Services. It provides a range of telecom services to its customers, including managed data services, leased line, virtual private network, Internet leased line, data center, tower collocation, rack and space and national long-distance (NLD) for voice carriage. The Project Work Services segment includes various projects, such as railway signaling work, telecom and information technology (IT) services-related projects and enterprise-specific IT and information technology-enabled services (ITES) projects. It also provides various passenger services, including content on demand services and wireless fidelity (Wi-Fi) across railway stations in India.</v>
    <v>530</v>
    <v>National Stock Exchange of India</v>
    <v>XNSE</v>
    <v>XNSE</v>
    <v>Plate-A, 6th Floor, Office Block Tower-2, East Kidwai Nagar, NEW DELHI, DELHI, 110023 IN</v>
    <v>391</v>
    <v>Telecommunications Services</v>
    <v>Stock</v>
    <v>46017.492893518516</v>
    <v>1339</v>
    <v>354.05</v>
    <v>114494800000</v>
    <v>RAILTEL CORPORATION OF INDIA LIMITED</v>
    <v>RAILTEL CORPORATION OF INDIA LIMITED</v>
    <v>356.55</v>
    <v>37.866700000000002</v>
    <v>356.75</v>
    <v>378.25</v>
    <v>320938400</v>
    <v>RAILTEL</v>
    <v>RAILTEL CORPORATION OF INDIA LIMITED (XNSE:RAILTEL)</v>
    <v>18235601</v>
    <v>2320310</v>
    <v>2000</v>
  </rv>
  <rv s="2">
    <v>1340</v>
  </rv>
  <rv s="0">
    <v>https://www.bing.com/financeapi/forcetrigger?t=c667ec&amp;q=XNSE%3aRAINBOW&amp;form=skydnc</v>
    <v>Learn more on Bing</v>
  </rv>
  <rv s="1">
    <v>en-US</v>
    <v>c667ec</v>
    <v>268435456</v>
    <v>1</v>
    <v>Powered by Refinitiv</v>
    <v>0</v>
    <v>RAINBOW CHILDREN'S MEDICARE LIMITED (XNSE:RAINBOW)</v>
    <v>2</v>
    <v>3</v>
    <v>Finance</v>
    <v>4</v>
    <v>1649.9</v>
    <v>1218</v>
    <v>0.82520000000000004</v>
    <v>-15.2</v>
    <v>-1.1174999999999999E-2</v>
    <v>INR</v>
    <v>Rainbow Children's Medicare Limited is an India-based company, which is engaged in the business of rendering medical and healthcare services. The Company is a multi-specialty pediatric and obstetrics and gynecology hospital operating across approximately 20 hospitals and five outpatient clinics, spread across seven Indian cities, with a capacity of 2,035 beds. It offers pediatric services under Rainbow Children’s Hospital, which include newborn and pediatric intensive care, pediatric multi-specialty services and pediatric quaternary care (including multi-organ transplants). Its women care services under Birthright by Rainbow that offers perinatal care services, which include normal and complex obstetric care, multi-disciplinary fetal care, perinatal genetic and fertility care, along with gynecology services. It also operates pediatric Diplomate of National Board (DNB) training programs in private healthcare, offering post-graduate residential DNB and fellowship programs.</v>
    <v>3972</v>
    <v>National Stock Exchange of India</v>
    <v>XNSE</v>
    <v>XNSE</v>
    <v>Road No - 2, Banjara Hills, Near L V Prasad Eye Hospital,, Next to Hotel Park Hyatt,, HYDERABAD, TELANGANA, 500034 IN</v>
    <v>1360.2</v>
    <v>Healthcare Providers &amp; Services</v>
    <v>Stock</v>
    <v>46017.492893518516</v>
    <v>1342</v>
    <v>1335.1</v>
    <v>138140800000</v>
    <v>RAINBOW CHILDREN'S MEDICARE LIMITED</v>
    <v>RAINBOW CHILDREN'S MEDICARE LIMITED</v>
    <v>1360.2</v>
    <v>54.44</v>
    <v>1360.2</v>
    <v>1345</v>
    <v>101559200</v>
    <v>RAINBOW</v>
    <v>RAINBOW CHILDREN'S MEDICARE LIMITED (XNSE:RAINBOW)</v>
    <v>40453</v>
    <v>110810</v>
    <v>1998</v>
  </rv>
  <rv s="2">
    <v>1343</v>
  </rv>
  <rv s="0">
    <v>https://www.bing.com/financeapi/forcetrigger?t=ahjpcw&amp;q=XNSE%3aRKFORGE&amp;form=skydnc</v>
    <v>Learn more on Bing</v>
  </rv>
  <rv s="1">
    <v>en-US</v>
    <v>ahjpcw</v>
    <v>268435456</v>
    <v>1</v>
    <v>Powered by Refinitiv</v>
    <v>0</v>
    <v>RAMKRISHNA FORGINGS LTD (XNSE:RKFORGE)</v>
    <v>2</v>
    <v>3</v>
    <v>Finance</v>
    <v>4</v>
    <v>1020</v>
    <v>475.4</v>
    <v>1.3746</v>
    <v>-5.15</v>
    <v>-9.9660000000000009E-3</v>
    <v>INR</v>
    <v>Ramkrishna Forgings Limited is an India-based company, which is primarily engaged in the manufacturing and sale of forged components of automobiles, railway wagons and coach and engineering parts. The Company has manufacturing facilities at Gamaria, Adityapur Industrial Area, Baliguma, Dugni at Saraikela, Jamshedpur in Jharkhand and at Liluah in West Bengal. The Company operates through two segments: Forging components and Others. The Forging components segment produces and sells forged products comprising forgings and machined automobile components. Others primarily include services for tours and travel, sanitization and cargo business. Its automotive components include front axle, engine, suspension and chassis, transmission and rear axle. It also manufactures critical components for the tractor and farm equipment industry. It is also engaged in supplying undercarriage and safety critical parts like screw coupling and hangers for bogie bolsters for conventional coaches.</v>
    <v>2776</v>
    <v>National Stock Exchange of India</v>
    <v>XNSE</v>
    <v>XNSE</v>
    <v>Ramkrishna Chambers, 23, Circus Avenue, KOLKATA, WEST BENGAL, 700017 IN</v>
    <v>523</v>
    <v>Metals &amp; Mining</v>
    <v>Stock</v>
    <v>46017.492893518516</v>
    <v>1345</v>
    <v>508.55</v>
    <v>93433090000</v>
    <v>RAMKRISHNA FORGINGS LTD</v>
    <v>RAMKRISHNA FORGINGS LTD</v>
    <v>516.70000000000005</v>
    <v>31</v>
    <v>516.75</v>
    <v>511.6</v>
    <v>180809100</v>
    <v>RKFORGE</v>
    <v>RAMKRISHNA FORGINGS LTD (XNSE:RKFORGE)</v>
    <v>256445</v>
    <v>429860</v>
    <v>1981</v>
  </rv>
  <rv s="2">
    <v>1346</v>
  </rv>
  <rv s="0">
    <v>https://www.bing.com/financeapi/forcetrigger?t=ahjn2w&amp;q=XNSE%3aRCF&amp;form=skydnc</v>
    <v>Learn more on Bing</v>
  </rv>
  <rv s="1">
    <v>en-US</v>
    <v>ahjn2w</v>
    <v>268435456</v>
    <v>1</v>
    <v>Powered by Refinitiv</v>
    <v>0</v>
    <v>RASHTRIYA CHEMICALS AND FERTILIZERS LIMITED (XNSE:RCF)</v>
    <v>2</v>
    <v>3</v>
    <v>Finance</v>
    <v>4</v>
    <v>184.4</v>
    <v>110.8</v>
    <v>1.8872</v>
    <v>0.71</v>
    <v>5.0290000000000005E-3</v>
    <v>INR</v>
    <v>Rashtriya Chemicals and Fertilizers Limited is an India-based fertilizer and chemical manufacturing company. The Company manufactures Urea, Complex Fertilizers, Bio-fertilizers, Micro-nutrients, water soluble fertilizers, soil conditioners and a range of Industrial Chemicals. The Company operates through three segments, including Fertilizers, Industrial Chemicals and Trading. Fertilizers segment is engaged in production and supply of various grades of Fertilizers for agricultural use. Industrial Chemicals segment is engaged in production of various chemicals and supply to diverse Industries. Trading segment is engaged in fertilizers imported / locally sourced and marketed for agricultural use. Besides fertilizer products, the Company also produces a range of industrial chemicals that are important for the manufacture of dyes, solvents, leather, pharmaceuticals and a host of other industrial products.</v>
    <v>1285</v>
    <v>National Stock Exchange of India</v>
    <v>XNSE</v>
    <v>XNSE</v>
    <v>Priyadarshini Building, Eastern Express Highway, Sion, MUMBAI, MAHARASHTRA, 400022 IN</v>
    <v>144.36000000000001</v>
    <v>Chemicals</v>
    <v>Stock</v>
    <v>46017.492893518516</v>
    <v>1348</v>
    <v>140.4</v>
    <v>77887330000</v>
    <v>RASHTRIYA CHEMICALS AND FERTILIZERS LIMITED</v>
    <v>RASHTRIYA CHEMICALS AND FERTILIZERS LIMITED</v>
    <v>141.24</v>
    <v>25.046299999999999</v>
    <v>141.18</v>
    <v>141.88999999999999</v>
    <v>551688100</v>
    <v>RCF</v>
    <v>RASHTRIYA CHEMICALS AND FERTILIZERS LIMITED (XNSE:RCF)</v>
    <v>1267702</v>
    <v>1175220</v>
    <v>1978</v>
  </rv>
  <rv s="2">
    <v>1349</v>
  </rv>
  <rv s="0">
    <v>https://www.bing.com/financeapi/forcetrigger?t=ahjnbh&amp;q=XNSE%3aREDINGTON&amp;form=skydnc</v>
    <v>Learn more on Bing</v>
  </rv>
  <rv s="1">
    <v>en-US</v>
    <v>ahjnbh</v>
    <v>268435456</v>
    <v>1</v>
    <v>Powered by Refinitiv</v>
    <v>0</v>
    <v>REDINGTON LIMITED (XNSE:REDINGTON)</v>
    <v>2</v>
    <v>3</v>
    <v>Finance</v>
    <v>4</v>
    <v>334.8</v>
    <v>176.94</v>
    <v>1.167</v>
    <v>-3.7</v>
    <v>-1.3472E-2</v>
    <v>INR</v>
    <v>Redington Limited is an India-based technology solution provider company. The Company is engaged in the business of the distribution of information technology, mobility, and other technology products besides supply chain solutions. The Company’s segments include Singapore, India &amp; South Asia (SISA) and Rest of the World (ROW). It is also engaged in wholesale distribution of machinery, equipment, and supplies, such as computers, computer peripheral equipment, software, electronic, and telecommunications equipment and parts. The Company provides technology solutions across cloud, home automation, data and analytics, wearable, digital printing, gaming, three dimensional (3D) printing, and solar. Its services include logistics services, technology services, business process solutions, and financial services. Its solution offerings include hyperconverged infrastructure, enterprise storage, storage virtualization, and fault tolerant solutions.</v>
    <v>12062</v>
    <v>National Stock Exchange of India</v>
    <v>XNSE</v>
    <v>XNSE</v>
    <v>Block3, Plathin, Redington Tower,, Inner Ring Road, Saraswathy Nagar West,, 4th Street, Puzhuthivakkam,, CHENNAI, TAMIL NADU, 600091 IN</v>
    <v>275.45</v>
    <v>Computers, Phones &amp; Household Electronics</v>
    <v>Stock</v>
    <v>46017.492893518516</v>
    <v>1351</v>
    <v>270.05</v>
    <v>214714300000</v>
    <v>REDINGTON LIMITED</v>
    <v>REDINGTON LIMITED</v>
    <v>275</v>
    <v>12.41</v>
    <v>274.64999999999998</v>
    <v>270.95</v>
    <v>781774400</v>
    <v>REDINGTON</v>
    <v>REDINGTON LIMITED (XNSE:REDINGTON)</v>
    <v>504667</v>
    <v>1178480</v>
    <v>1961</v>
  </rv>
  <rv s="2">
    <v>1352</v>
  </rv>
  <rv s="0">
    <v>https://www.bing.com/financeapi/forcetrigger?t=ahjoar&amp;q=XNSE%3aRELINFRA&amp;form=skydnc</v>
    <v>Learn more on Bing</v>
  </rv>
  <rv s="1">
    <v>en-US</v>
    <v>ahjoar</v>
    <v>268435456</v>
    <v>1</v>
    <v>Powered by Refinitiv</v>
    <v>0</v>
    <v>RELIANCE INFRASTRUCTURE LIMITED (XNSE:RELINFRA)</v>
    <v>2</v>
    <v>3</v>
    <v>Finance</v>
    <v>4</v>
    <v>423.4</v>
    <v>128.38</v>
    <v>2.3492000000000002</v>
    <v>8.24</v>
    <v>4.9951999999999996E-2</v>
    <v>INR</v>
    <v>Reliance Infrastructure Limited is engaged in the business of engineering and construction services for power, roads, metro rail and other infrastructure sectors. It is also engaged in implementation, operation, and maintenance of several projects in the defense sector and infrastructural areas. Its segments include Power, Engineering and Construction (E&amp;C) and Infrastructure. The Power segment is engaged in generation, transmission, and distribution of electrical power at various locations. It operates over 220 megawatt (MW) combined cycle power plant at Samalkot, a 48 MW combined cycle power plant at Mormugao, and a 9.39 MW Windfarm at Chitradurga. It supplies power to residential, industrial, commercial, and other consumers. The E&amp;C segment provides value-added services in construction, erection, commissioning and contracting. The Infrastructure segment includes businesses with respect to development, operation and maintenance of toll roads, metro rail transit systems, and airports.</v>
    <v>4595</v>
    <v>National Stock Exchange of India</v>
    <v>XNSE</v>
    <v>XNSE</v>
    <v>Reliance Centre, Ground Floor, 19, Walchand Hirachand Marg, Ballard, MUMBAI, MAHARASHTRA, 400001 IN</v>
    <v>173.2</v>
    <v>Electrical Utilities &amp; IPPs</v>
    <v>Stock</v>
    <v>46010.492893518516</v>
    <v>1354</v>
    <v>168</v>
    <v>70696980000</v>
    <v>RELIANCE INFRASTRUCTURE LIMITED</v>
    <v>RELIANCE INFRASTRUCTURE LIMITED</v>
    <v>168</v>
    <v>0</v>
    <v>164.96</v>
    <v>173.2</v>
    <v>408181200</v>
    <v>RELINFRA</v>
    <v>RELIANCE INFRASTRUCTURE LIMITED (XNSE:RELINFRA)</v>
    <v>1588231</v>
    <v>1193000</v>
    <v>1929</v>
  </rv>
  <rv s="2">
    <v>1355</v>
  </rv>
  <rv s="0">
    <v>https://www.bing.com/financeapi/forcetrigger?t=ahjq9c&amp;q=XNSE%3aRPOWER&amp;form=skydnc</v>
    <v>Learn more on Bing</v>
  </rv>
  <rv s="1">
    <v>en-US</v>
    <v>ahjq9c</v>
    <v>268435456</v>
    <v>1</v>
    <v>Powered by Refinitiv</v>
    <v>0</v>
    <v>RELIANCE POWER LIMITED (XNSE:RPOWER)</v>
    <v>2</v>
    <v>3</v>
    <v>Finance</v>
    <v>4</v>
    <v>76.489999999999995</v>
    <v>31.27</v>
    <v>2.6421999999999999</v>
    <v>-1.62</v>
    <v>-4.2453000000000005E-2</v>
    <v>INR</v>
    <v>Reliance Power Limited, together with its subsidiaries, is primarily engaged in the business of generation of power. The projects include coal, gas, hydro, wind and solar-based energy projects. The portfolio of the Reliance Power Group also includes Ultra Mega Power Projects (UMPPs). It is in the business of setting up and operating power projects and the development of coal mines associated with such projects. It has built a portfolio of power projects and coal mines. The Company’s projects under development include three coal-fired projects to be fueled by reserves from captive mines and supplies from India and elsewhere; one gas-fired project, and 12 hydroelectric projects, six of them in Arunachal Pradesh, five in Himachal Pradesh and one in Uttarakhand. Its project portfolio also includes 3,960 megawatts (MW) Sasan Ultra Mega Power Project (Madhya Pradesh). Its projects include Sasan Ultra Mega Power Project, Krishnapatnam Ultra Mega Power Project, and Chitrangi Power Project.</v>
    <v>1267</v>
    <v>National Stock Exchange of India</v>
    <v>XNSE</v>
    <v>XNSE</v>
    <v>H Block, 1St Floor, Dhirubhai Ambani Knowledge, NAVI MUMBAI, MAHARASHTRA, 400710 IN</v>
    <v>38.549999999999997</v>
    <v>Electrical Utilities &amp; IPPs</v>
    <v>Stock</v>
    <v>46017.492905092593</v>
    <v>1357</v>
    <v>36.26</v>
    <v>151121100000</v>
    <v>RELIANCE POWER LIMITED</v>
    <v>RELIANCE POWER LIMITED</v>
    <v>38.35</v>
    <v>51.79</v>
    <v>38.159999999999997</v>
    <v>36.54</v>
    <v>4135771000</v>
    <v>RPOWER</v>
    <v>RELIANCE POWER LIMITED (XNSE:RPOWER)</v>
    <v>50050397</v>
    <v>75659630</v>
    <v>1995</v>
  </rv>
  <rv s="2">
    <v>1358</v>
  </rv>
  <rv s="10">
    <v>en-US</v>
    <v>cam427</v>
    <v>268435456</v>
    <v>1</v>
    <v>Powered by Refinitiv</v>
    <v>18</v>
    <v>SBFC FINANCE LIMITED (XNSE:SBFC)</v>
    <v>6</v>
    <v>3</v>
    <v>Finance</v>
    <v>4</v>
    <v>123</v>
    <v>79.239999999999995</v>
    <v>0.94799999999999995</v>
    <v>-1.51</v>
    <v>-1.4245000000000001E-2</v>
    <v>INR</v>
    <v>SBFC Finance Limited is a non-banking finance company. The Company provides secured micro-small and medium enterprises (MSME) loans and loans against gold, with a majority of its borrowers being entrepreneurs, small business owners, self-employed individuals, salaried and working-class individuals. It has developed a PhyGital model. By combining digital technology with personal relationships, it builds bonds with its customers and offers support. It also offers a suite of specialist loan management services, helping institutional lenders to manage all aspects of loan servicing including client relations, collections, payments, porting, and data storage. In addition to providing loans direct to customers, it offers specialist change (LMS) to third party financial institutions. It handles the porting of repayment modes (NACH/ECS) and can transfer equated monthly instalments between accounts. It provides support to clients, including phone calls, short message services, and others.</v>
    <v>4294</v>
    <v>National Stock Exchange of India</v>
    <v>XNSE</v>
    <v>XNSE</v>
    <v>103, First Floor, C &amp; B Square,, Sangam Complex, Andheri Kurla Road,Chakala, Andheri East, MUMBAI, MAHARASHTRA, 400059 IN</v>
    <v>106.1</v>
    <v>Banking Services</v>
    <v>Stock</v>
    <v>46017.492905092593</v>
    <v>104.3</v>
    <v>116150900000</v>
    <v>SBFC FINANCE LIMITED</v>
    <v>SBFC FINANCE LIMITED</v>
    <v>105.6</v>
    <v>28.906199999999998</v>
    <v>106</v>
    <v>104.49</v>
    <v>1095763000</v>
    <v>SBFC</v>
    <v>SBFC FINANCE LIMITED (XNSE:SBFC)</v>
    <v>657979</v>
    <v>1490330</v>
    <v>2008</v>
  </rv>
  <rv s="2">
    <v>1360</v>
  </rv>
  <rv s="0">
    <v>https://www.bing.com/financeapi/forcetrigger?t=ahjzmw&amp;q=XNSE%3aSJVN&amp;form=skydnc</v>
    <v>Learn more on Bing</v>
  </rv>
  <rv s="1">
    <v>en-US</v>
    <v>ahjzmw</v>
    <v>268435456</v>
    <v>1</v>
    <v>Powered by Refinitiv</v>
    <v>0</v>
    <v>SJVN Limited (XNSE:SJVN)</v>
    <v>2</v>
    <v>3</v>
    <v>Finance</v>
    <v>4</v>
    <v>112.72</v>
    <v>69.849999999999994</v>
    <v>1.0642</v>
    <v>-0.88</v>
    <v>-1.1730000000000001E-2</v>
    <v>INR</v>
    <v>SJVN Limited is an India-based company, which is principally engaged in electricity generation and sale of electricity. It is also engaged in providing consultancy services and power transmission. It provides consultancy services to hydro electric projects and infrastructure projects like highway tunnels and railway tunnels. Its businesses include thermal power, hydro power, wind power, solar power, power transmission, consultancy, and power trading. Its wind power projects include the over 47.6 megawatts (MW) khirvire wind power projects at Khirvire and Kombhalne villages in Ahmednagar, Maharashtra and the Sadla Wind Power Project of over 50 MW capacity, situated in the village Sadla, Surendranagar, Gujarat. The Company has over eight solar projects with a total installed capacity of approximately 396.91 MW under operation. The Company has commissioned approximately 89 projects with a total installed capacity of over 56802 MW and around 340 kilometers of transmission line.</v>
    <v>1349</v>
    <v>National Stock Exchange of India</v>
    <v>XNSE</v>
    <v>XNSE</v>
    <v>Shakti Sadan, Corporate Office Complex, Shanan, SHIMLA, HIMACHAL PRADESH, 171006 IN</v>
    <v>76.2</v>
    <v>Electrical Utilities &amp; IPPs</v>
    <v>Stock</v>
    <v>46017.492905092593</v>
    <v>1362</v>
    <v>74</v>
    <v>294813200000</v>
    <v>SJVN Limited</v>
    <v>SJVN Limited</v>
    <v>75.34</v>
    <v>51.96</v>
    <v>75.02</v>
    <v>74.14</v>
    <v>3929795000</v>
    <v>SJVN</v>
    <v>SJVN Limited (XNSE:SJVN)</v>
    <v>6091168</v>
    <v>2924050</v>
    <v>1988</v>
  </rv>
  <rv s="2">
    <v>1363</v>
  </rv>
  <rv s="0">
    <v>https://www.bing.com/financeapi/forcetrigger?t=ahjzpr&amp;q=XNSE%3aSKFINDIA&amp;form=skydnc</v>
    <v>Learn more on Bing</v>
  </rv>
  <rv s="1">
    <v>en-US</v>
    <v>ahjzpr</v>
    <v>268435456</v>
    <v>1</v>
    <v>Powered by Refinitiv</v>
    <v>0</v>
    <v>SKF INDIA LIMITED (XNSE:SKFINDIA)</v>
    <v>2</v>
    <v>3</v>
    <v>Finance</v>
    <v>4</v>
    <v>2330.12</v>
    <v>1626.13</v>
    <v>0.66539999999999999</v>
    <v>-11.5</v>
    <v>-6.424E-3</v>
    <v>INR</v>
    <v>SKF India Limited is an India-based company. The Company delivers advanced solutions for a wide range of automotive applications, including engines, transmissions, wheel-end systems, and steering mechanisms. The Company operates through Automotive division. It provides customized solutions for diverse requirements across wheelend, driveline, e-powertrain, engine, suspension, and steering systems-serving original equipment manufacturer (OEMs) across cars, light and heavy trucks, trailers, buses, and two-wheelers. It also supplies the vehicle aftermarket with spare parts, both directly and indirectly, through a network of over 321 distributors. Its offering around the rotating shaft includes bearings, seals, lubrication management, condition monitoring, and services. The Company's subsidiaries include Pilgrim International Limited, SKF Sealing Solutions Gmbh, SKF Economos India Pvt. Limited, SKF Argentina S.A, and others.</v>
    <v>1726</v>
    <v>National Stock Exchange of India</v>
    <v>XNSE</v>
    <v>XNSE</v>
    <v>Chinchwad, near Chapekar Chowk,, PUNE, MAHARASHTRA, 411033 IN</v>
    <v>1807</v>
    <v>Machinery, Equipment &amp; Components</v>
    <v>Stock</v>
    <v>46017.492905092593</v>
    <v>1365</v>
    <v>1771</v>
    <v>88498900000</v>
    <v>SKF INDIA LIMITED</v>
    <v>SKF INDIA LIMITED</v>
    <v>1800</v>
    <v>16.5</v>
    <v>1790.1</v>
    <v>1778.6</v>
    <v>49437960</v>
    <v>SKFINDIA</v>
    <v>SKF INDIA LIMITED (XNSE:SKFINDIA)</v>
    <v>37468</v>
    <v>61160</v>
    <v>1961</v>
  </rv>
  <rv s="2">
    <v>1366</v>
  </rv>
  <rv s="10">
    <v>en-US</v>
    <v>cf57cw</v>
    <v>268435456</v>
    <v>1</v>
    <v>Powered by Refinitiv</v>
    <v>18</v>
    <v>SAGILITY LIMITED (XNSE:SAGILITY)</v>
    <v>6</v>
    <v>3</v>
    <v>Finance</v>
    <v>4</v>
    <v>57.89</v>
    <v>37.6</v>
    <v>1.9059999999999999</v>
    <v>0.41</v>
    <v>7.8510000000000003E-3</v>
    <v>INR</v>
    <v>Sagility Ltd, formerly Sagility India Limited, is a provider of technology-enabled business solutions and services to clients in the United States healthcare industry. Its clients include payers (United States health insurance companies, which finance and reimburse the cost of health services) and providers (primarily hospitals, physicians, and diagnostic and medical devices companies). Its services to payers cater to various aspects of their operations, including core benefits administration functions such as claims management, enrollment and benefits plan building, and clinical functions such as utilization management and care management. Its services to providers include revenue cycle management functions such as financial clearance, medical coding, billing, and accounts receivable follow-up services. It also provides some of the services that it provides to Payers to pharmacy benefit managers that manage prescription drugs for members (insured persons) under health insurance plans.</v>
    <v>39409</v>
    <v>National Stock Exchange of India</v>
    <v>XNSE</v>
    <v>XNSE</v>
    <v>AMR Tech Park,Building 2A,, Third Floor,Hongasandara Village, Off Hosur Road,Bommanahalli, BANGALORE, KARNATAKA, 560068 IN</v>
    <v>53.48</v>
    <v>Professional &amp; Commercial Services</v>
    <v>Stock</v>
    <v>46017.492905092593</v>
    <v>52.11</v>
    <v>244459000000</v>
    <v>SAGILITY LIMITED</v>
    <v>SAGILITY LIMITED</v>
    <v>52.4</v>
    <v>30.495999999999999</v>
    <v>52.22</v>
    <v>52.63</v>
    <v>4681329000</v>
    <v>SAGILITY</v>
    <v>SAGILITY LIMITED (XNSE:SAGILITY)</v>
    <v>17481931</v>
    <v>26851940</v>
    <v>2021</v>
  </rv>
  <rv s="2">
    <v>1368</v>
  </rv>
  <rv s="10">
    <v>en-US</v>
    <v>cff2hw</v>
    <v>268435456</v>
    <v>1</v>
    <v>Powered by Refinitiv</v>
    <v>18</v>
    <v>SAI LIFE SCIENCES LIMITED (XNSE:SAILIFE)</v>
    <v>6</v>
    <v>3</v>
    <v>Finance</v>
    <v>4</v>
    <v>943</v>
    <v>636.1</v>
    <v>1.4550000000000001</v>
    <v>-4.1500000000000004</v>
    <v>-4.6080000000000001E-3</v>
    <v>INR</v>
    <v>Sai Life Sciences Limited is an India-based contract research, development, and manufacturing organization (CRO/CDMO). The Company carries out contract research and manufacturing activities for customers engaged in pharmaceutical and biotechnology industries. It is engaged in offering a range of services tailor-made to the customer's requirements. It provides discovery and chemistry, manufacturing, and controls (CMC) services that span from drug discovery to process development and early-phase supplies, all the way to commercial launch and life cycle management. Its services include Integrated Drug Discovery, Synthetic &amp; medicinal chemistry, Biology, drug metabolism and pharmacokinetics (DMPK), Genotoxicity, General Toxicology and Computational chemistry. Its CMC services include route scouting; process development; analytical development; process safety; stability studies; early and mid-phase supplies; late phase, commercial manufacturing; technology transfer, and technologies.</v>
    <v>3401</v>
    <v>National Stock Exchange of India</v>
    <v>XNSE</v>
    <v>XNSE</v>
    <v>L4- 01 &amp; 02, SLN, Terminus Survey, Survey no. 133,Gachibowli Miyapur, Gachibowli, HYDERABAD, TELANGANA, 500032 IN</v>
    <v>904</v>
    <v>Pharmaceuticals</v>
    <v>Stock</v>
    <v>46017.492905092593</v>
    <v>894.65</v>
    <v>188582200000</v>
    <v>SAI LIFE SCIENCES LIMITED</v>
    <v>SAI LIFE SCIENCES LIMITED</v>
    <v>900</v>
    <v>64.540000000000006</v>
    <v>900.7</v>
    <v>896.55</v>
    <v>210342100</v>
    <v>SAILIFE</v>
    <v>SAI LIFE SCIENCES LIMITED (XNSE:SAILIFE)</v>
    <v>67706</v>
    <v>247180</v>
    <v>1999</v>
  </rv>
  <rv s="2">
    <v>1370</v>
  </rv>
  <rv s="0">
    <v>https://www.bing.com/financeapi/forcetrigger?t=ahi7xm&amp;q=XNSE%3aIBULHSGFIN&amp;form=skydnc</v>
    <v>Learn more on Bing</v>
  </rv>
  <rv s="1">
    <v>en-US</v>
    <v>ahi7xm</v>
    <v>268435456</v>
    <v>1</v>
    <v>Powered by Refinitiv</v>
    <v>0</v>
    <v>SAMMAAN CAPITAL LIMITED (XNSE:SAMMAANCAP)</v>
    <v>2</v>
    <v>3</v>
    <v>Finance</v>
    <v>4</v>
    <v>192.95</v>
    <v>97.61</v>
    <v>1.8687</v>
    <v>-1.55</v>
    <v>-1.0959000000000002E-2</v>
    <v>INR</v>
    <v>Sammaan Capital Limited is a mortgage-focused Non-Banking Financial Company (NBFC). The Company is engaged in housing finance, mortgage-backed lending business, and other financial activities. It also provides loans to micro, small, and medium enterprises (MSMEs)/small businesses for working capital or business expansion needs. It operates a digital home loan technology platform. Its product offerings include new home loan, home extension loan, rural home loan, home loan for NRIs, loan against property, home renovation loan, home loan balance transfer, and all loans. Its subsidiaries include Indiabulls Commercial Credit Limited, Indiabulls Collection Agency Limited, Ibulls Sales Limited, Indiabulls Capital Services Limited, Indiabulls Advisory Services Limited, Indiabulls Insurance Advisors Limited, Indiabulls Asset Holding Company Limited, Nilgiri Investmart Services Limited, and Indiabulls Investment Management Limited. The Company has approximately 200 branches nationwide.</v>
    <v>4383</v>
    <v>National Stock Exchange of India</v>
    <v>XNSE</v>
    <v>XNSE</v>
    <v>One International Centre, Tower 1, 18th Floor, Senapati Bapat Marg, Elphinstone Road, MUMBAI, MAHARASHTRA, 400013 IN</v>
    <v>142.09</v>
    <v>Banking Services</v>
    <v>Stock</v>
    <v>46017.492905092593</v>
    <v>1372</v>
    <v>139.5</v>
    <v>114911900000</v>
    <v>SAMMAAN CAPITAL LIMITED</v>
    <v>SAMMAAN CAPITAL LIMITED</v>
    <v>141.30000000000001</v>
    <v>8.75</v>
    <v>141.43</v>
    <v>139.88</v>
    <v>815813800</v>
    <v>SAMMAANCAP</v>
    <v>SAMMAAN CAPITAL LIMITED (XNSE:SAMMAANCAP)</v>
    <v>11221343</v>
    <v>16620770</v>
    <v>2005</v>
  </rv>
  <rv s="2">
    <v>1373</v>
  </rv>
  <rv s="0">
    <v>https://www.bing.com/financeapi/forcetrigger?t=c45mfr&amp;q=XNSE%3aSAPPHIRE&amp;form=skydnc</v>
    <v>Learn more on Bing</v>
  </rv>
  <rv s="1">
    <v>en-US</v>
    <v>c45mfr</v>
    <v>268435456</v>
    <v>1</v>
    <v>Powered by Refinitiv</v>
    <v>0</v>
    <v>SAPPHIRE FOODS INDIA LIMITED (XNSE:SAPPHIRE)</v>
    <v>2</v>
    <v>3</v>
    <v>Finance</v>
    <v>4</v>
    <v>374.65</v>
    <v>221.4</v>
    <v>0.6825</v>
    <v>-0.61</v>
    <v>-2.415E-3</v>
    <v>INR</v>
    <v>Sapphire Foods India Limited is an India-based company engaged in the business of quick service restaurant (QSR) and casual dining business (CDR). The Company is a franchisee operator of Yum Brands in India, Sri Lanka, and the Maldives. Its operating brands include Kentucky Fried Chicken (KFC), Pizza Hut and Taco Bell. KFC is a QSR chain that offers a comprehensive menu featuring chicken on the bone, boneless chicken and other chicken products, burgers, rice, rolls, beverages, and popcorn chicken. Pizza Hut offers a comprehensive menu for all parts of the day with a variety of pizzas, pasta, appetizers, beverages, cheeseballs, garlic bread, fries, melts, thin crust pizza, momos, and desserts. Taco Bell offers a comprehensive menu comprising a variety of tacos, rice, sweet burritos, quesadilla, and bell wings. The Company has approximately 963 outlets (KFC, Pizza Hut, and Taco Bell) in India and Sri Lanka.</v>
    <v>13495</v>
    <v>National Stock Exchange of India</v>
    <v>XNSE</v>
    <v>XNSE</v>
    <v>702, Prism Tower, A wing, Mindspace, Link Road, Goregaon (West), MUMBAI, MAHARASHTRA, 400062 IN</v>
    <v>254.14</v>
    <v>Hotels &amp; Entertainment Services</v>
    <v>Stock</v>
    <v>46017.492905092593</v>
    <v>1375</v>
    <v>248.15</v>
    <v>81171680000</v>
    <v>SAPPHIRE FOODS INDIA LIMITED</v>
    <v>SAPPHIRE FOODS INDIA LIMITED</v>
    <v>249</v>
    <v>0</v>
    <v>252.57</v>
    <v>251.96</v>
    <v>321382900</v>
    <v>SAPPHIRE</v>
    <v>SAPPHIRE FOODS INDIA LIMITED (XNSE:SAPPHIRE)</v>
    <v>577604</v>
    <v>703300</v>
    <v>2009</v>
  </rv>
  <rv s="2">
    <v>1376</v>
  </rv>
  <rv s="0">
    <v>https://www.bing.com/financeapi/forcetrigger?t=ahjtim&amp;q=XNSE%3aSARDAEN&amp;form=skydnc</v>
    <v>Learn more on Bing</v>
  </rv>
  <rv s="1">
    <v>en-US</v>
    <v>ahjtim</v>
    <v>268435456</v>
    <v>1</v>
    <v>Powered by Refinitiv</v>
    <v>0</v>
    <v>SARDA ENERGY &amp; MINERALS LIMITED (XNSE:SARDAEN)</v>
    <v>2</v>
    <v>3</v>
    <v>Finance</v>
    <v>4</v>
    <v>639.75</v>
    <v>396.6</v>
    <v>0.69710000000000005</v>
    <v>-13.1</v>
    <v>-2.4428999999999999E-2</v>
    <v>INR</v>
    <v>Sarda Energy &amp; Minerals Limited is an India-based company. The Company is engaged in the metal, mining and power sectors. It operates integrated steel manufacturing facilities, ferro alloys manufacturing facilities, backed by a captive thermal power plant. The Company is also engaged in the hydropower sector. It produces sponge iron for its own captive use to produce steel ingots and billets through an induction furnace route. It produces and exports manganese-based ferroalloys with exports to approximately 60 countries. Its Ferro alloys are value-added products usually used for the manufacturing of mild steel and special steel. The Company manufactures eco-friendly bricks mainly from the fly-ash generated from its captive power plant. The manufactured bricks facilitate substantial consumption of fly-ash, an environmental hazard. The Company's subsidiaries include Sarda Energy &amp; Minerals Hongkong Limited, Sarda Global Venture Pte. Limited, Sarda Global Trading DMCC, and more.</v>
    <v>1905</v>
    <v>National Stock Exchange of India</v>
    <v>XNSE</v>
    <v>XNSE</v>
    <v>Industrial Growth Center, Siltara, RAIPUR, CHHATTISGARH, 493111 IN</v>
    <v>538</v>
    <v>Metals &amp; Mining</v>
    <v>Stock</v>
    <v>46017.492905092593</v>
    <v>1378</v>
    <v>521.25</v>
    <v>188964500000</v>
    <v>SARDA ENERGY &amp; MINERALS LIMITED</v>
    <v>SARDA ENERGY &amp; MINERALS LIMITED</v>
    <v>538</v>
    <v>17.77</v>
    <v>536.25</v>
    <v>523.15</v>
    <v>352381300</v>
    <v>SARDAEN</v>
    <v>SARDA ENERGY &amp; MINERALS LIMITED (XNSE:SARDAEN)</v>
    <v>546097</v>
    <v>578580</v>
    <v>1973</v>
  </rv>
  <rv s="2">
    <v>1379</v>
  </rv>
  <rv s="0">
    <v>https://www.bing.com/financeapi/forcetrigger?t=ahjtlh&amp;q=XNSE%3aSAREGAMA&amp;form=skydnc</v>
    <v>Learn more on Bing</v>
  </rv>
  <rv s="1">
    <v>en-US</v>
    <v>ahjtlh</v>
    <v>268435456</v>
    <v>1</v>
    <v>Powered by Refinitiv</v>
    <v>0</v>
    <v>SAREGAMA INDIA LIMITED (XNSE:SAREGAMA)</v>
    <v>2</v>
    <v>3</v>
    <v>Finance</v>
    <v>4</v>
    <v>603.79999999999995</v>
    <v>340.3</v>
    <v>1.5033000000000001</v>
    <v>-0.15</v>
    <v>-4.2819999999999995E-4</v>
    <v>INR</v>
    <v>Saregama India Limited is an India-based company, which is engaged in the business of manufacturing and sale of music storage devices, such as Carvaan, music cards, vinyl records and dealing with related music rights. It is also engaged in the production and sale/telecast/broadcast of films/ television (TV) serials, pre-recorded programs and dealing in film rights and organizing events. Its segments include Music, Artist Management, Video (Film, TV Serials and Digital Content) and Events. Artist Management segment manages influencers/artiste on an exclusive or non-exclusive basis, make them popular through new IP releases and then monetize them through booking them for live events, concerts or opportunity in digital series. The Video (Film, TV Serials and Digital Content) segment is engaged in production and sale/telecast/broadcast of long form and short form video content and dealing in related rights. The Events segment is involved in the business of organizing live musical events.</v>
    <v>277</v>
    <v>National Stock Exchange of India</v>
    <v>XNSE</v>
    <v>XNSE</v>
    <v>2nd Floor, Spencer Building, 30 Forjett Street,Landmark-The Lane Opp., Bhatia Hospital Grant Road (West), MUMBAI, MAHARASHTRA, 400036 IN</v>
    <v>352.05</v>
    <v>Media &amp; Publishing</v>
    <v>Stock</v>
    <v>46017.492905092593</v>
    <v>1381</v>
    <v>346.5</v>
    <v>67314630000</v>
    <v>SAREGAMA INDIA LIMITED</v>
    <v>SAREGAMA INDIA LIMITED</v>
    <v>350.3</v>
    <v>33.200000000000003</v>
    <v>350.3</v>
    <v>350.15</v>
    <v>192162800</v>
    <v>SAREGAMA</v>
    <v>SAREGAMA INDIA LIMITED (XNSE:SAREGAMA)</v>
    <v>404005</v>
    <v>655040</v>
    <v>1946</v>
  </rv>
  <rv s="2">
    <v>1382</v>
  </rv>
  <rv s="0">
    <v>https://www.bing.com/financeapi/forcetrigger?t=ahjuc7&amp;q=XNSE%3aSCHAEFFLER&amp;form=skydnc</v>
    <v>Learn more on Bing</v>
  </rv>
  <rv s="1">
    <v>en-US</v>
    <v>ahjuc7</v>
    <v>268435456</v>
    <v>1</v>
    <v>Powered by Refinitiv</v>
    <v>0</v>
    <v>SCHAEFFLER INDIA LIMITED (XNSE:SCHAEFFLER)</v>
    <v>2</v>
    <v>3</v>
    <v>Finance</v>
    <v>4</v>
    <v>4392</v>
    <v>2823</v>
    <v>0.79020000000000001</v>
    <v>26.2</v>
    <v>6.9360000000000003E-3</v>
    <v>INR</v>
    <v>Schaeffler India Limited is an India-based automotive and industrial component supplier. The Company provides components and systems for engine, transmission, and chassis applications for hybrid, electric, and combustion-engine-powered vehicles. The Company’s segments include Automotive Technologies, Automotive Aftermarket, Industrial, and Exports &amp; Others. The Automotive Technologies segment develops products using sustainable technologies for passenger and commercial vehicles, tractors, and off-highway segments. The Automotive Aftermarket provides data-driven services and plug-and-play solutions for transmission, engine, and chassis systems. It also includes three brands, such as LuK, INA and FAG. The Industrial segment offers a portfolio of bearing solutions, ranging from high-speed and high-precision bearings with small diameters, to large-size bearings, several meters wide. The Exports &amp; Others segment includes exports to group companies and scrap sales.</v>
    <v>3605</v>
    <v>National Stock Exchange of India</v>
    <v>XNSE</v>
    <v>XNSE</v>
    <v>Maneja15th Floor, Amar Sadanand Tech Park, Plot No 3, Survey 105/3 104/1, Baner, PUNE, MAHARASHTRA, 390013 IN</v>
    <v>3816.8</v>
    <v>Machinery, Equipment &amp; Components</v>
    <v>Stock</v>
    <v>46017.492905092593</v>
    <v>1384</v>
    <v>3757.5</v>
    <v>590452800000</v>
    <v>SCHAEFFLER INDIA LIMITED</v>
    <v>SCHAEFFLER INDIA LIMITED</v>
    <v>3757.6</v>
    <v>55.8018</v>
    <v>3777.6</v>
    <v>3803.8</v>
    <v>156303700</v>
    <v>SCHAEFFLER</v>
    <v>SCHAEFFLER INDIA LIMITED (XNSE:SCHAEFFLER)</v>
    <v>42354</v>
    <v>40610</v>
    <v>1962</v>
  </rv>
  <rv s="2">
    <v>1385</v>
  </rv>
  <rv s="0">
    <v>https://www.bing.com/financeapi/forcetrigger?t=ahjuhw&amp;q=XNSE%3aSCHNEIDER&amp;form=skydnc</v>
    <v>Learn more on Bing</v>
  </rv>
  <rv s="1">
    <v>en-US</v>
    <v>ahjuhw</v>
    <v>268435456</v>
    <v>1</v>
    <v>Powered by Refinitiv</v>
    <v>0</v>
    <v>SCHNEIDER ELECTRIC INFRASTRUCTURE LIMITED (XNSE:SCHNEIDER)</v>
    <v>2</v>
    <v>3</v>
    <v>Finance</v>
    <v>4</v>
    <v>1052</v>
    <v>540</v>
    <v>0.92169999999999996</v>
    <v>-12.2</v>
    <v>-1.6508999999999999E-2</v>
    <v>INR</v>
    <v>Schneider Electric Infrastructure Limited is an India-based company engaged in the business of manufacturing, designing, building and servicing technologically advanced products and systems for electricity distribution, including products such as distribution transformers, medium-voltage switchgear, medium and low-voltage protection relays and electricity distribution and automation equipment. Its product categories include transformers, components, ring main units, and automation. The Company offers electricity distribution management systems, power transformers, substation automation systems, including power management systems, controllers, remote terminal units, communication elements, graphical user interfaces, engineering tools, simulation tools, and others. It also provides medium voltage distribution and grid automation products and low voltage products and systems. It offers the EcoStruxure platform, which monitors energy consumption and electrical assets in real time.</v>
    <v>1473</v>
    <v>National Stock Exchange of India</v>
    <v>XNSE</v>
    <v>XNSE</v>
    <v>9th Floor, DLF Building No. 10,, Tower-C, DLF Cyber City, Phase-II,, GURGAON, HARYANA, 122002 IN</v>
    <v>739.7</v>
    <v>Machinery, Equipment &amp; Components</v>
    <v>Stock</v>
    <v>46017.492905092593</v>
    <v>1387</v>
    <v>724.6</v>
    <v>176697900000</v>
    <v>SCHNEIDER ELECTRIC INFRASTRUCTURE LIMITED</v>
    <v>SCHNEIDER ELECTRIC INFRASTRUCTURE LIMITED</v>
    <v>738.9</v>
    <v>68.34</v>
    <v>739</v>
    <v>726.8</v>
    <v>239104000</v>
    <v>SCHNEIDER</v>
    <v>SCHNEIDER ELECTRIC INFRASTRUCTURE LIMITED (XNSE:SCHNEIDER)</v>
    <v>89201</v>
    <v>185460</v>
    <v>2011</v>
  </rv>
  <rv s="2">
    <v>1388</v>
  </rv>
  <rv s="0">
    <v>https://www.bing.com/financeapi/forcetrigger?t=ahjukr&amp;q=XNSE%3aSCI&amp;form=skydnc</v>
    <v>Learn more on Bing</v>
  </rv>
  <rv s="1">
    <v>en-US</v>
    <v>ahjukr</v>
    <v>268435456</v>
    <v>1</v>
    <v>Powered by Refinitiv</v>
    <v>0</v>
    <v>SHIPPING CORPORATION OF INDIA LIMITED (XNSE:SCI)</v>
    <v>2</v>
    <v>3</v>
    <v>Finance</v>
    <v>4</v>
    <v>280.5</v>
    <v>138.26</v>
    <v>1.3309</v>
    <v>6.91</v>
    <v>3.1699000000000005E-2</v>
    <v>INR</v>
    <v>Shipping Corporation of India Limited is an India-based shipping company. The Company is involved in business of transporting goods. It operates through four segments: Liner, Bulk, Tanker, and Technical &amp; Offshore services. The Liner segment includes break-bulk and container transport. The Bulk Carriers segment includes dry bulk carriers. The Tankers segment includes crude and product carriers, gas carriers. The Technical &amp; Offshore segment includes the Company owned offshore vessels, offshore vessels managed on behalf of other organizations, income from technical consultancy and passenger vessels and research vessels managed on behalf of other organizations. Its services include tankers, bulk carriers, container, offshore, break bulk, coastal and passenger services, chartering, lighterage, and others. Its owned fleet includes bulk carriers, crude oil tankers, product tankers, container vessels, passenger-cum-cargo vessels, LPG carriers and offshore supply vessels.</v>
    <v>1393</v>
    <v>National Stock Exchange of India</v>
    <v>XNSE</v>
    <v>XNSE</v>
    <v>Shipping House 245 Madam Cama Road, MUMBAI, MAHARASHTRA, 400021 IN</v>
    <v>228.88</v>
    <v>Freight &amp; Logistics Services</v>
    <v>Stock</v>
    <v>46017.492905092593</v>
    <v>1390</v>
    <v>216.21</v>
    <v>101539500000</v>
    <v>SHIPPING CORPORATION OF INDIA LIMITED</v>
    <v>SHIPPING CORPORATION OF INDIA LIMITED</v>
    <v>217.99</v>
    <v>12.64</v>
    <v>217.99</v>
    <v>224.9</v>
    <v>465799000</v>
    <v>SCI</v>
    <v>SHIPPING CORPORATION OF INDIA LIMITED (XNSE:SCI)</v>
    <v>5426300</v>
    <v>2646940</v>
    <v>1950</v>
  </rv>
  <rv s="2">
    <v>1391</v>
  </rv>
  <rv s="10">
    <v>en-US</v>
    <v>cayvk2</v>
    <v>268435456</v>
    <v>1</v>
    <v>Powered by Refinitiv</v>
    <v>18</v>
    <v>SIGNATUREGLOBAL (INDIA) LIMITED (XNSE:SIGNATURE)</v>
    <v>6</v>
    <v>3</v>
    <v>Finance</v>
    <v>4</v>
    <v>1414.8</v>
    <v>988</v>
    <v>1.218</v>
    <v>-2.9</v>
    <v>-2.5409999999999999E-3</v>
    <v>INR</v>
    <v>Signatureglobal (India) Limited is an India-based holding company. The Company and its subsidiaries are engaged in the business of real estate development. It also supplies construction materials and provides construction services based on construction contracts. It is also engaged in the business of a Non-Banking Financial Company (NBFC) (Non-accepting public deposits). It operates through three segments: Real Estate, NBFC, and Others. The Company's completed residential project consists of Grand IVA, Synera, The Roselia, The Roselia 2, The Serenas, and The Millennia. Its ongoing residential project consists of Signature Global City 79B, Signature Global City 93, and others. Its completed commercial projects include Signum 36 (Commercial of The Serenas), Signum 71 (Commercial of Andour Heights), Signum 93 (Commercial of Orchard Avenue), Signum 95A (Commercial of The Roselia). Its ongoing commercial projects include Signature Global SCO II 88A, Signature Global SCO 88A, and others.</v>
    <v>1283</v>
    <v>National Stock Exchange of India</v>
    <v>XNSE</v>
    <v>XNSE</v>
    <v>Unit No.101, Ground Floor, Tower-A, Signature Tower, South City-1, GURGAON, HARYANA, 122001 IN</v>
    <v>1143.0999999999999</v>
    <v>Real Estate Operations</v>
    <v>Stock</v>
    <v>46017.492905092593</v>
    <v>1131.5</v>
    <v>160393000000</v>
    <v>SIGNATUREGLOBAL (INDIA) LIMITED</v>
    <v>SIGNATUREGLOBAL (INDIA) LIMITED</v>
    <v>1142</v>
    <v>206.66499999999999</v>
    <v>1141.5</v>
    <v>1138.5999999999999</v>
    <v>140510700</v>
    <v>SIGNATURE</v>
    <v>SIGNATUREGLOBAL (INDIA) LIMITED (XNSE:SIGNATURE)</v>
    <v>224037</v>
    <v>240230</v>
    <v>2000</v>
  </rv>
  <rv s="2">
    <v>1393</v>
  </rv>
  <rv s="0">
    <v>https://www.bing.com/financeapi/forcetrigger?t=ahk1m7&amp;q=XNSE%3aSOBHA&amp;form=skydnc</v>
    <v>Learn more on Bing</v>
  </rv>
  <rv s="1">
    <v>en-US</v>
    <v>ahk1m7</v>
    <v>268435456</v>
    <v>1</v>
    <v>Powered by Refinitiv</v>
    <v>0</v>
    <v>SOBHA LIMITED (XNSE:SOBHA)</v>
    <v>2</v>
    <v>3</v>
    <v>Finance</v>
    <v>4</v>
    <v>1732.5</v>
    <v>1075.3</v>
    <v>0.93569999999999998</v>
    <v>2.1</v>
    <v>1.421E-3</v>
    <v>INR</v>
    <v>Sobha Limited is an India-based real estate developer. The Company is engaged in the business of real estate construction, development, sale, management and operation of all or any part of townships, housing projects, commercial premises, and other related activities. The Company operates through two segments: Real estate segment, and Contractual and manufacturing segment. Its real estate segment comprises development, sale, management and operation of all or any part of townships, housing projects, also includes leasing of self-owned commercial premises. Its Contractual and manufacturing segment comprises development of commercial premises and other related activities, also includes manufacturing activities related to interiors, glazing and metal works and concrete products. The Company’s residential projects include Sobha Crystal Meadows, Sobha Arbor, Sobha Altus, Sobha Waterfront, Sobha Metropolis, Sobha Lake Edge, Sobha Nesara, Sobha Galera, and other.</v>
    <v>4483</v>
    <v>National Stock Exchange of India</v>
    <v>XNSE</v>
    <v>XNSE</v>
    <v>Sarjapur - Marathahalli Outer Ring Road (ORR), Devarabisanahalli, Bellandur Post, BANGALORE, KARNATAKA, 560103 IN</v>
    <v>1492.8</v>
    <v>Real Estate Operations</v>
    <v>Stock</v>
    <v>46017.492905092593</v>
    <v>1395</v>
    <v>1464.1</v>
    <v>158004200000</v>
    <v>SOBHA LIMITED</v>
    <v>SOBHA LIMITED</v>
    <v>1486</v>
    <v>106.7</v>
    <v>1477.5</v>
    <v>1479.6</v>
    <v>106953800</v>
    <v>SOBHA</v>
    <v>SOBHA LIMITED (XNSE:SOBHA)</v>
    <v>152327</v>
    <v>139490</v>
    <v>1995</v>
  </rv>
  <rv s="2">
    <v>1396</v>
  </rv>
  <rv s="0">
    <v>https://www.bing.com/financeapi/forcetrigger?t=c2jxar&amp;q=XNSE%3aSONACOMS&amp;form=skydnc</v>
    <v>Learn more on Bing</v>
  </rv>
  <rv s="1">
    <v>en-US</v>
    <v>c2jxar</v>
    <v>268435456</v>
    <v>1</v>
    <v>Powered by Refinitiv</v>
    <v>0</v>
    <v>SONA BLW PRECISION FORGINGS LIMITED (XNSE:SONACOMS)</v>
    <v>2</v>
    <v>3</v>
    <v>Finance</v>
    <v>4</v>
    <v>607.29999999999995</v>
    <v>380</v>
    <v>0.94259999999999999</v>
    <v>-1.9</v>
    <v>-3.9259999999999998E-3</v>
    <v>INR</v>
    <v>Sona BLW Precision Forgings Limited is an India-based automotive technology company providing systems and components for electrified and non-electrified powertrain segments. The Company designs, manufactures, and supplies systems and components for mobility original equipment manufacturers (OEMs). The Company is a supplier of driveline and traction motor solutions to the global electric vehicle (EV) market. It develops and delivers mechanical, electrical, electronic systems and components, as well as automotive software and semiconductor chip design services for various forms of mobility. Its railway equipment business is engaged in suppling railway components. Its railway equipment product portfolio includes brakes, couplers, suspension systems, and rubber components. It is a global supplier with manufacturing and assembly facilities, research and development (R&amp;D) centers, and engineering capability centers across India, the United States, Serbia, Mexico, and China.</v>
    <v>5019</v>
    <v>National Stock Exchange of India</v>
    <v>XNSE</v>
    <v>XNSE</v>
    <v>Unit I, Unit II &amp; Unit III Sona Enclave, Village Begumpur Khatola Sector 35, P.O. - 90, GURGAON, HARYANA, 122004 IN</v>
    <v>487.8</v>
    <v>Automobiles &amp; Auto Parts</v>
    <v>Stock</v>
    <v>46017.492905092593</v>
    <v>1398</v>
    <v>480.8</v>
    <v>300912900000</v>
    <v>SONA BLW PRECISION FORGINGS LIMITED</v>
    <v>SONA BLW PRECISION FORGINGS LIMITED</v>
    <v>483</v>
    <v>48.894500000000001</v>
    <v>484</v>
    <v>482.1</v>
    <v>621720900</v>
    <v>SONACOMS</v>
    <v>SONA BLW PRECISION FORGINGS LIMITED (XNSE:SONACOMS)</v>
    <v>748098</v>
    <v>1701640</v>
    <v>1995</v>
  </rv>
  <rv s="2">
    <v>1399</v>
  </rv>
  <rv s="0">
    <v>https://www.bing.com/financeapi/forcetrigger?t=ahk24c&amp;q=XNSE%3aSONATSOFTW&amp;form=skydnc</v>
    <v>Learn more on Bing</v>
  </rv>
  <rv s="1">
    <v>en-US</v>
    <v>ahk24c</v>
    <v>268435456</v>
    <v>1</v>
    <v>Powered by Refinitiv</v>
    <v>0</v>
    <v>SONATA SOFTWARE LIMITED (XNSE:SONATSOFTW)</v>
    <v>2</v>
    <v>3</v>
    <v>Finance</v>
    <v>4</v>
    <v>640</v>
    <v>286.39999999999998</v>
    <v>1.3809</v>
    <v>7.45</v>
    <v>2.0740999999999999E-2</v>
    <v>INR</v>
    <v>Sonata Software Limited is a modernization engineering company. The Company is engaged in the business of providing Information Technology Services and Solutions to its customers in the United States of America, Europe, Middle East, Asia, Australia and India. Its cloud modernization services include cloud strategy and consulting, cloud migration, cloud-native development, and cloud optimization. It provides modernization services using its proprietary Platformation approach. Its enterprise data modernization offers data strategy and planning, data migration, and data management and analytics services. It offers application and infrastructure re-platforming and re-architecting services. It offers solutions with models that combine artificial intelligence (AI), machine learning and NLP techniques to recommend actions for business outcomes. Its Lightning platform enables customers to explore generative AI for their organization through industry-specific proof-of-concept projects.</v>
    <v>6414</v>
    <v>National Stock Exchange of India</v>
    <v>XNSE</v>
    <v>XNSE</v>
    <v>Tower-A, Sonata Towers, Global Village (Sattva Global City), RVCE Post, Kengeri Hobli, Mysore Road, BANGALORE, KARNATAKA, 560059 IN</v>
    <v>370.85</v>
    <v>Software &amp; IT Services</v>
    <v>Stock</v>
    <v>46017.492905092593</v>
    <v>1401</v>
    <v>356.55</v>
    <v>99644370000</v>
    <v>SONATA SOFTWARE LIMITED</v>
    <v>SONATA SOFTWARE LIMITED</v>
    <v>360.05</v>
    <v>22.55</v>
    <v>359.2</v>
    <v>366.65</v>
    <v>277406400</v>
    <v>SONATSOFTW</v>
    <v>SONATA SOFTWARE LIMITED (XNSE:SONATSOFTW)</v>
    <v>936745</v>
    <v>566940</v>
    <v>1994</v>
  </rv>
  <rv s="2">
    <v>1402</v>
  </rv>
  <rv s="0">
    <v>https://www.bing.com/financeapi/forcetrigger?t=c4eqp2&amp;q=XNSE%3aSTARHEALTH&amp;form=skydnc</v>
    <v>Learn more on Bing</v>
  </rv>
  <rv s="1">
    <v>en-US</v>
    <v>c4eqp2</v>
    <v>268435456</v>
    <v>1</v>
    <v>Powered by Refinitiv</v>
    <v>0</v>
    <v>STAR HEALTH AND ALLIED INSURANCE COMPANY LIMITED (XNSE:STARHEALTH)</v>
    <v>2</v>
    <v>3</v>
    <v>Finance</v>
    <v>4</v>
    <v>534</v>
    <v>327.3</v>
    <v>1.7546999999999999</v>
    <v>-9.9</v>
    <v>-2.1835E-2</v>
    <v>INR</v>
    <v>Star Health and Allied Insurance Company Limited is an India-based health insurance company. The Company provides health insurance products to individuals, families and corporates, directly and through various channels, such as agents, brokers, online and digital channels like Web aggregators, fintech, bancassurance partners, point of sale persons (POS), and others. Its product categories include retail health, group health, personal accident, and travel insurance. Its retail products include family health optima insurance plan, star comprehensive insurance policy, medi classic insurance policy (individual), and senior citizens red carpet health insurance policy. Its retail products are offered to individuals, families, students, elderly individuals and those with prior medical conditions. Its group health products provide coverage for corporate employees. It also offers Unit Linked Insurance Plan, Indemnity Health Insurance, and others. It has approximately 913 branch offices.</v>
    <v>15798</v>
    <v>National Stock Exchange of India</v>
    <v>XNSE</v>
    <v>XNSE</v>
    <v>No.1, New Tank Street, Valluvarkottam High Road, Nungambakkam, CHENNAI, TAMIL NADU, 600034 IN</v>
    <v>457</v>
    <v>Insurance</v>
    <v>Stock</v>
    <v>46017.492905092593</v>
    <v>1404</v>
    <v>442.55</v>
    <v>260755800000</v>
    <v>STAR HEALTH AND ALLIED INSURANCE COMPANY LIMITED</v>
    <v>STAR HEALTH AND ALLIED INSURANCE COMPANY LIMITED</v>
    <v>453.2</v>
    <v>49.99</v>
    <v>453.4</v>
    <v>443.5</v>
    <v>587949900</v>
    <v>STARHEALTH</v>
    <v>STAR HEALTH AND ALLIED INSURANCE COMPANY LIMITED (XNSE:STARHEALTH)</v>
    <v>396547</v>
    <v>358380</v>
    <v>2005</v>
  </rv>
  <rv s="2">
    <v>1405</v>
  </rv>
  <rv s="0">
    <v>https://www.bing.com/financeapi/forcetrigger?t=ahjrvh&amp;q=XNSE%3aSAIL&amp;form=skydnc</v>
    <v>Learn more on Bing</v>
  </rv>
  <rv s="1">
    <v>en-US</v>
    <v>ahjrvh</v>
    <v>268435456</v>
    <v>1</v>
    <v>Powered by Refinitiv</v>
    <v>0</v>
    <v>STEEL AUTHORITY OF INDIA LIMITED (XNSE:SAIL)</v>
    <v>2</v>
    <v>3</v>
    <v>Finance</v>
    <v>4</v>
    <v>145.9</v>
    <v>99.15</v>
    <v>1.377</v>
    <v>0.47</v>
    <v>3.565E-3</v>
    <v>INR</v>
    <v>Steel Authority of India Limited is an India-based company, which is engaged in the steel manufacturing business. The Company is engaged in the manufacturing and sale of iron and steel products. Its business includes integrated steel plants and special steel plants. Its steel plants include Bhilai Steel Plant, Chhattisgarh; Durgapur Steel Plant, West Bengal; Rourkela Steel Plant, Odisha; Bokaro Steel Plant, Jharkhand; IISCO Steel Plant, West Bengal; Alloy Steels Plant, West Bengal; Salem Steel Plant, Tamil Nadu; Visvesvaraya Iron &amp; Steel Plant, Karnataka, and Chandrapur Ferro Alloy Plant, Maharashtra. Its products include Pig Iron, Cold Rolled Products, Pipes, SAIL TMT Bars, Structurals, Galvanished products, Wire rods, PM Plates, Stainless Steel Products, Electrical Steels, Wheels and Axles, SAIL SeQR TMT Bars, Railway Products, Hot Rolled Products, and others. The Company's subsidiaries include SAIL Refractory Company Limited and Chhattisgarh Mega Steel Limited.</v>
    <v>53159</v>
    <v>National Stock Exchange of India</v>
    <v>XNSE</v>
    <v>XNSE</v>
    <v>Ispat Bhawan, Lodi Road, NEW DELHI, DELHI, 110003 IN</v>
    <v>132.78</v>
    <v>Metals &amp; Mining</v>
    <v>Stock</v>
    <v>46017.492905092593</v>
    <v>1407</v>
    <v>130.6</v>
    <v>544609800000</v>
    <v>STEEL AUTHORITY OF INDIA LIMITED</v>
    <v>STEEL AUTHORITY OF INDIA LIMITED</v>
    <v>131</v>
    <v>21.29</v>
    <v>131.85</v>
    <v>132.32</v>
    <v>4130525000</v>
    <v>SAIL</v>
    <v>STEEL AUTHORITY OF INDIA LIMITED (XNSE:SAIL)</v>
    <v>7733641</v>
    <v>12307920</v>
    <v>1973</v>
  </rv>
  <rv s="2">
    <v>1408</v>
  </rv>
  <rv s="0">
    <v>https://www.bing.com/financeapi/forcetrigger?t=btjua2&amp;q=XNSE%3aSUMICHEM&amp;form=skydnc</v>
    <v>Learn more on Bing</v>
  </rv>
  <rv s="1">
    <v>en-US</v>
    <v>btjua2</v>
    <v>268435456</v>
    <v>1</v>
    <v>Powered by Refinitiv</v>
    <v>0</v>
    <v>SUMITOMO CHEMICAL INDIA LIMITED (XNSE:SUMICHEM)</v>
    <v>2</v>
    <v>3</v>
    <v>Finance</v>
    <v>4</v>
    <v>665</v>
    <v>432.2</v>
    <v>0.36680000000000001</v>
    <v>2.9</v>
    <v>6.3160000000000004E-3</v>
    <v>INR</v>
    <v>Sumitomo Chemical India Limited is an India-based company. The Company manufactures, imports, and markets products for crop protection, grain fumigation, rodent control, biopesticide, plant nutrition &amp; plant growth regulators, professional pest control, public health insecticides, household pesticides, and feed additives. The plant nutrition &amp; plant growth regulators product category offers Chitto, ika, Danza Power, Hoshi, and Tabol. The household pesticides product category offers VectoBac 12 AS, Sumilarv 0.5 G, and Kemtrek 20 EC. The biological product category offers EXCEL MADHYAM, SUDOCEL, and TRICHO HR. The Company manufactures and supplies Methionine, which is used as a feed additive. It also produces various technical grade pesticides in its manufacturing units with indigenous research and development (R&amp;D) facilities. Its subsidiary, Valent Biosciences LLC, is engaged in producing a range of naturally occurring pesticides and plant growth regulators.</v>
    <v>1646</v>
    <v>National Stock Exchange of India</v>
    <v>XNSE</v>
    <v>XNSE</v>
    <v>13/14 Aradhana Industrial Development Corporation, Near Virwani Industrial Estate, Goregaon East, MUMBAI, MAHARASHTRA, 400063 IN</v>
    <v>463.6</v>
    <v>Chemicals</v>
    <v>Stock</v>
    <v>46017.492905092593</v>
    <v>1410</v>
    <v>455.85</v>
    <v>229182800000</v>
    <v>SUMITOMO CHEMICAL INDIA LIMITED</v>
    <v>SUMITOMO CHEMICAL INDIA LIMITED</v>
    <v>459.2</v>
    <v>42.25</v>
    <v>459.15</v>
    <v>462.05</v>
    <v>499145800</v>
    <v>SUMICHEM</v>
    <v>SUMITOMO CHEMICAL INDIA LIMITED (XNSE:SUMICHEM)</v>
    <v>93079</v>
    <v>210320</v>
    <v>2000</v>
  </rv>
  <rv s="2">
    <v>1411</v>
  </rv>
  <rv s="0">
    <v>https://www.bing.com/financeapi/forcetrigger?t=ahk6fr&amp;q=XNSE%3aSUNTV&amp;form=skydnc</v>
    <v>Learn more on Bing</v>
  </rv>
  <rv s="1">
    <v>en-US</v>
    <v>ahk6fr</v>
    <v>268435456</v>
    <v>1</v>
    <v>Powered by Refinitiv</v>
    <v>0</v>
    <v>SUN TV NETWORK LIMITED (XNSE:SUNTV)</v>
    <v>2</v>
    <v>3</v>
    <v>Finance</v>
    <v>4</v>
    <v>715.8</v>
    <v>518.04999999999995</v>
    <v>0.86670000000000003</v>
    <v>-3.9</v>
    <v>-6.7710000000000001E-3</v>
    <v>INR</v>
    <v>Sun TV Network Limited is an India-based television broadcaster. The Company operates through Media and Entertainment segment. It consists of 37 Television Channels in seven languages, direct-to-home (DTH) broadcast service, 69 FM radio stations, three daily newspapers, six magazines &amp; two sports franchises. It operates satellite television channels across seven languages of Tamil, Telugu, Kannada, Malayalam, Bangla, Marathi and Hindi. Its channels can be viewed throughout the world including, United States of America, Canada, Europe, Singapore, Malaysia, Sri Lanka, South Africa, Australia and New Zealand. The Company has the license to operate an Indian Premier League (IPL) franchise SunRisers Hyderabad &amp; SunRisers Eastern Cape of Cricket South Africa's T20 League. The Company also operates a Digital OTT platform SUNNXT. The Company produces its own content / acquires the related rights.</v>
    <v>932</v>
    <v>National Stock Exchange of India</v>
    <v>XNSE</v>
    <v>XNSE</v>
    <v>Murasoli Maran Towers, 73, MRC Nagar Main Road, MRC Nagar, CHENNAI, TAMIL NADU, 600028 IN</v>
    <v>581.9</v>
    <v>Media &amp; Publishing</v>
    <v>Stock</v>
    <v>46017.492905092593</v>
    <v>1413</v>
    <v>570</v>
    <v>226992700000</v>
    <v>SUN TV NETWORK LIMITED</v>
    <v>SUN TV NETWORK LIMITED</v>
    <v>574.6</v>
    <v>14.02</v>
    <v>576</v>
    <v>572.1</v>
    <v>394084600</v>
    <v>SUNTV</v>
    <v>SUN TV NETWORK LIMITED (XNSE:SUNTV)</v>
    <v>234280</v>
    <v>187270</v>
    <v>1985</v>
  </rv>
  <rv s="2">
    <v>1414</v>
  </rv>
  <rv s="0">
    <v>https://www.bing.com/financeapi/forcetrigger?t=ahk5ur&amp;q=XNSE%3aSUNDARMFIN&amp;form=skydnc</v>
    <v>Learn more on Bing</v>
  </rv>
  <rv s="1">
    <v>en-US</v>
    <v>ahk5ur</v>
    <v>268435456</v>
    <v>1</v>
    <v>Powered by Refinitiv</v>
    <v>0</v>
    <v>SUNDARAM FINANCE LIMITED (XNSE:SUNDARMFIN)</v>
    <v>2</v>
    <v>3</v>
    <v>Finance</v>
    <v>4</v>
    <v>5419</v>
    <v>4066.8</v>
    <v>1.0456000000000001</v>
    <v>-5.3</v>
    <v>-1.0280000000000001E-3</v>
    <v>INR</v>
    <v>Sundaram Finance Limited is an India-based non-banking finance company. The Company, together with its subsidiaries and joint venture, is engaged in the business of financing of commercial vehicles, cars, construction equipment, other vehicles and housing finance in the retail segment, business of investments, mutual funds, general insurance, retail distribution of a wide array of financial services and products, information technology, business processing and support services. Its segments include Asset Financing and Others. The Company's subsidiaries include Sundaram Finance Holdings Limited, Sundaram Home Finance Limited, Sundaram Asset Management Company Limited, Sundaram Trustee Company Limited, LGF Services Limited, Sundaram Fund Services Limited, Sundaram Business Services Limited, Sundaram Alternate Assets Limited, and LGF Services Limited.</v>
    <v>5132</v>
    <v>National Stock Exchange of India</v>
    <v>XNSE</v>
    <v>XNSE</v>
    <v>21, Patullos Road, CHENNAI, TAMIL NADU, 600002 IN</v>
    <v>5180.8999999999996</v>
    <v>Banking Services</v>
    <v>Stock</v>
    <v>46017.492905092593</v>
    <v>1416</v>
    <v>5051.5</v>
    <v>567984800000</v>
    <v>SUNDARAM FINANCE LIMITED</v>
    <v>SUNDARAM FINANCE LIMITED</v>
    <v>5140</v>
    <v>28.81</v>
    <v>5154.6000000000004</v>
    <v>5149.3</v>
    <v>110189900</v>
    <v>SUNDARMFIN</v>
    <v>SUNDARAM FINANCE LIMITED (XNSE:SUNDARMFIN)</v>
    <v>134918</v>
    <v>54450</v>
    <v>1954</v>
  </rv>
  <rv s="2">
    <v>1417</v>
  </rv>
  <rv s="0">
    <v>https://www.bing.com/financeapi/forcetrigger?t=ahk61h&amp;q=XNSE%3aSUNDRMFAST&amp;form=skydnc</v>
    <v>Learn more on Bing</v>
  </rv>
  <rv s="1">
    <v>en-US</v>
    <v>ahk61h</v>
    <v>268435456</v>
    <v>1</v>
    <v>Powered by Refinitiv</v>
    <v>0</v>
    <v>SUNDRAM FASTENERS LIMITED (XNSE:SUNDRMFAST)</v>
    <v>2</v>
    <v>3</v>
    <v>Finance</v>
    <v>4</v>
    <v>1105.95</v>
    <v>831.15</v>
    <v>0.90980000000000005</v>
    <v>-6.55</v>
    <v>-6.9769999999999997E-3</v>
    <v>INR</v>
    <v>Sundram Fasteners Limited is an India-based company. The Company is engaged in the manufacture and sale of bolts and nuts, water and oil pumps, sintered products, cold extruded components, hot and warm forged parts, radiator caps and other parts, which have applications primarily in the automobile industry. Its product range includes high-tensile fasteners, powder metallurgy, cold extruded parts, hot forged, powertrain components, pumps and assemblies, iron powder, and radiator caps. Its high tensile fasteners product range includes wind energy fasteners and automotive fasteners, and aerospace and aviation fasteners. Its cold extrusion product range includes gear blanks, transmission shafts, starter sleeves and pinions and fan hubs, among others. Its hot forged parts include connecting rods, crankshaft sprockets and stainless-steel turbocharger parts, among others. Its power train components include turbine shafts, output shafts and clutch hub, crankshaft sprockets, and others.</v>
    <v>3185</v>
    <v>National Stock Exchange of India</v>
    <v>XNSE</v>
    <v>XNSE</v>
    <v>98 - A, VII Floor, Dr.Radhakrishnan Salai, Mylapore, CHENNAI, TAMIL NADU, 600004 IN</v>
    <v>943.85</v>
    <v>Automobiles &amp; Auto Parts</v>
    <v>Stock</v>
    <v>46017.492905092593</v>
    <v>1419</v>
    <v>930.55</v>
    <v>195881700000</v>
    <v>SUNDRAM FASTENERS LIMITED</v>
    <v>SUNDRAM FASTENERS LIMITED</v>
    <v>933.1</v>
    <v>35.6</v>
    <v>938.75</v>
    <v>932.2</v>
    <v>210128400</v>
    <v>SUNDRMFAST</v>
    <v>SUNDRAM FASTENERS LIMITED (XNSE:SUNDRMFAST)</v>
    <v>27238</v>
    <v>49950</v>
    <v>1962</v>
  </rv>
  <rv s="2">
    <v>1420</v>
  </rv>
  <rv s="0">
    <v>https://www.bing.com/financeapi/forcetrigger?t=ahk7tc&amp;q=XNSE%3aSUZLON&amp;form=skydnc</v>
    <v>Learn more on Bing</v>
  </rv>
  <rv s="1">
    <v>en-US</v>
    <v>ahk7tc</v>
    <v>268435456</v>
    <v>1</v>
    <v>Powered by Refinitiv</v>
    <v>0</v>
    <v>SUZLON ENERGY LIMITED (XNSE:SUZLON)</v>
    <v>2</v>
    <v>3</v>
    <v>Finance</v>
    <v>4</v>
    <v>74.3</v>
    <v>46.15</v>
    <v>1.1932</v>
    <v>-0.1</v>
    <v>-1.8759999999999998E-3</v>
    <v>INR</v>
    <v>Suzlon Energy Limited is a renewable energy solutions provider. The Company specializes in the design, development, manufacturing, installation and maintenance of wind turbines and related renewable energy components. It manufactures wind turbine generators (WTGs) and related components of various capacities. Its products include S144 Wind Turbine Generator, S133 Wind Turbine Generator and S120 Wind Turbine Generator. The S144 is extendable depending on the site’s wind conditions. These products offer hub heights up to 160 meters (m). The fleet delivers 40-43% higher generation over the S120. 10-12% higher generation over S133. The S133 is extendable up to 3.0 megawatts (MW) depending on the site's wind conditions. The S120 2.1 MW is available in three variants with towers up to 140 m hub height. Its services include operations and maintenance services, leadership, optimization and digitalization, value-added services and products, and multi-brand operation and maintenance services.</v>
    <v>6662</v>
    <v>National Stock Exchange of India</v>
    <v>XNSE</v>
    <v>XNSE</v>
    <v>One Earth, Hadapsar, PUNE, MAHARASHTRA, 411028 IN</v>
    <v>54.13</v>
    <v>Renewable Energy</v>
    <v>Stock</v>
    <v>46017.492905092593</v>
    <v>1422</v>
    <v>53.1</v>
    <v>729496000000</v>
    <v>SUZLON ENERGY LIMITED</v>
    <v>SUZLON ENERGY LIMITED</v>
    <v>53.3</v>
    <v>22.97</v>
    <v>53.3</v>
    <v>53.2</v>
    <v>13720960000</v>
    <v>SUZLON</v>
    <v>SUZLON ENERGY LIMITED (XNSE:SUZLON)</v>
    <v>41885960</v>
    <v>37103310</v>
    <v>1995</v>
  </rv>
  <rv s="2">
    <v>1423</v>
  </rv>
  <rv s="0">
    <v>https://www.bing.com/financeapi/forcetrigger?t=ahk7w7&amp;q=XNSE%3aSWANENERGY&amp;form=skydnc</v>
    <v>Learn more on Bing</v>
  </rv>
  <rv s="1">
    <v>en-US</v>
    <v>ahk7w7</v>
    <v>268435456</v>
    <v>1</v>
    <v>Powered by Refinitiv</v>
    <v>0</v>
    <v>SWAN CORP LIMITED (XNSE:SWANCORP)</v>
    <v>2</v>
    <v>3</v>
    <v>Finance</v>
    <v>4</v>
    <v>771.4</v>
    <v>362.2</v>
    <v>0.46629999999999999</v>
    <v>5.0999999999999996</v>
    <v>1.102E-2</v>
    <v>INR</v>
    <v>Swan Corp Limited, formerly Swan Energy Limited, is an India-based sustainable solutions provider. The Company’s business verticals include shipbuilding &amp; heavy engineering, oil &amp; gas, petroleum and petrochemical trading &amp; manufacturing, textiles, and realty. Its segments revenue includes textiles, energy, construction/others, distribution &amp; development, warehousing, manufacturing, and power generation. It is also engaged in dyeing and printing a range of fabrics, including cotton blend fabrics like polyester cotton, linen and viscose fabrics with Lycra and non-Lycra options. It has developed property projects in Mumbai, a commercial information technology (IT) park at Kurla and a residential complex at Sewri. It is also engaged in the production of petrochemical products. It is implementing a greenfield liquefied natural gas (LNG) port project.</v>
    <v>148</v>
    <v>National Stock Exchange of India</v>
    <v>XNSE</v>
    <v>XNSE</v>
    <v>6 Feltham House,2nd Floor, 10 J. N. Heredia Marg,Ballard Estate, MUMBAI, MAHARASHTRA, 400001 IN</v>
    <v>471.3</v>
    <v>Textiles &amp; Apparel</v>
    <v>Stock</v>
    <v>46017.492905092593</v>
    <v>1425</v>
    <v>459</v>
    <v>146666500000</v>
    <v>SWAN CORP LIMITED</v>
    <v>SWAN CORP LIMITED</v>
    <v>462.4</v>
    <v>24.61</v>
    <v>462.8</v>
    <v>467.9</v>
    <v>313456900</v>
    <v>SWANCORP</v>
    <v>SWAN CORP LIMITED (XNSE:SWANCORP)</v>
    <v>934065</v>
    <v>840530</v>
    <v>1909</v>
  </rv>
  <rv s="2">
    <v>1426</v>
  </rv>
  <rv s="10">
    <v>en-US</v>
    <v>cf6bxm</v>
    <v>268435456</v>
    <v>1</v>
    <v>Powered by Refinitiv</v>
    <v>18</v>
    <v>SWIGGY LIMITED (XNSE:SWIGGY)</v>
    <v>6</v>
    <v>3</v>
    <v>Finance</v>
    <v>4</v>
    <v>617.29999999999995</v>
    <v>297</v>
    <v>0.80500000000000005</v>
    <v>-8.15</v>
    <v>-2.0371999999999998E-2</v>
    <v>INR</v>
    <v>Swiggy Limited is an India-based consumer technology company. The Company segments include Food Delivery, Out of home consumption, Supply chain and distribution, Platform Innovations, and Quick Commerce. Food delivery offer on -demand Food Delivery services through a network of restaurant partners and delivery partners, which is mailable through mobile application and/or Website. Out -of -home consumption offers restaurant dining solutions (that it provides through (DineOut) and access to curated outdoor events through SteppinOut. Quick commerce offers on -demand grocery and household items to users through Instamart. Supply chain and distribution offers supply chain services to wholesalers, retailers, and fast-moving consumer goods brands, leveraging its warehousing capabilities. Platform Innovations consists of set of incubators for new service offerings this segment, includes business verticals such as Private Brands, Swiggy -Geme, SwIggy-Minis, and Insanely Goods.</v>
    <v>4491</v>
    <v>National Stock Exchange of India</v>
    <v>XNSE</v>
    <v>XNSE</v>
    <v>No.55 Sy No.8-14, Ground Floor, I&amp;J Block,, Embassy Tech Village, Outer Ring Road,, Devarbisanahalli, BANGALORE, KARNATAKA, 560103 IN</v>
    <v>396.4</v>
    <v>Software &amp; IT Services</v>
    <v>Stock</v>
    <v>46017.492905092593</v>
    <v>391</v>
    <v>1037683000000</v>
    <v>SWIGGY LIMITED</v>
    <v>SWIGGY LIMITED</v>
    <v>394</v>
    <v>0</v>
    <v>400.05</v>
    <v>391.9</v>
    <v>2593883000</v>
    <v>SWIGGY</v>
    <v>SWIGGY LIMITED (XNSE:SWIGGY)</v>
    <v>2814694</v>
    <v>20010310</v>
    <v>2013</v>
  </rv>
  <rv s="2">
    <v>1428</v>
  </rv>
  <rv s="0">
    <v>https://www.bing.com/financeapi/forcetrigger?t=ahk8ec&amp;q=XNSE%3aSYNGENE&amp;form=skydnc</v>
    <v>Learn more on Bing</v>
  </rv>
  <rv s="1">
    <v>en-US</v>
    <v>ahk8ec</v>
    <v>268435456</v>
    <v>1</v>
    <v>Powered by Refinitiv</v>
    <v>0</v>
    <v>SYNGENE INTERNATIONAL LIMITED (XNSE:SYNGENE)</v>
    <v>2</v>
    <v>3</v>
    <v>Finance</v>
    <v>4</v>
    <v>895.75</v>
    <v>599.54999999999995</v>
    <v>0.82440000000000002</v>
    <v>1.7</v>
    <v>2.6040000000000004E-3</v>
    <v>INR</v>
    <v>Syngene International Limited is an India-based integrated research, development, and manufacturing services company serving the global pharmaceutical, biotechnology, nutrition, animal health, consumer goods, and specialty chemical sectors. The Company's services include discovery, development, manufacturing, SynVent Integrated Drug discovery, dedicated centers, and Center for Advanced Protein Studies (CAPS). Its discovery services span the entire spectrum of early-stage research from target identification to delivery of drug candidates for further development. It offers preclinical development, active pharmaceutical ingredient and drug product development for both small molecules and biologics. It has capabilities for current Good Manufacturing Practices (cGMP) manufacturing from benchtop volume to commercial scale. SynVent is its drug discovery platform for enabling fully integrated therapeutic drug discovery and development across small molecules, new modalities and biologics.</v>
    <v>6533</v>
    <v>National Stock Exchange of India</v>
    <v>XNSE</v>
    <v>XNSE</v>
    <v>Biocon Park, SEZ,, Bommasandra Industrial Area Phase-IV, Jigani Link Road, BANGALORE, KARNATAKA, 560 099 IN</v>
    <v>656.25</v>
    <v>Biotechnology &amp; Medical Research</v>
    <v>Stock</v>
    <v>46017.492905092593</v>
    <v>1430</v>
    <v>648.79999999999995</v>
    <v>262300400000</v>
    <v>SYNGENE INTERNATIONAL LIMITED</v>
    <v>SYNGENE INTERNATIONAL LIMITED</v>
    <v>650.95000000000005</v>
    <v>56.214399999999998</v>
    <v>652.95000000000005</v>
    <v>654.65</v>
    <v>401715900</v>
    <v>SYNGENE</v>
    <v>SYNGENE INTERNATIONAL LIMITED (XNSE:SYNGENE)</v>
    <v>130024</v>
    <v>606870</v>
    <v>1993</v>
  </rv>
  <rv s="2">
    <v>1431</v>
  </rv>
  <rv s="10">
    <v>en-US</v>
    <v>c776w7</v>
    <v>268435456</v>
    <v>1</v>
    <v>Powered by Refinitiv</v>
    <v>18</v>
    <v>SYRMA SGS TECHNOLOGY LIMITED (XNSE:SYRMA)</v>
    <v>6</v>
    <v>3</v>
    <v>Finance</v>
    <v>4</v>
    <v>909.9</v>
    <v>370</v>
    <v>0.6532</v>
    <v>3.85</v>
    <v>5.2459999999999998E-3</v>
    <v>INR</v>
    <v>Syrma SGS Technology Limited is an India-based electronic manufacturing services company engaged in providing electronic system design and manufacturing. The Company is engaged in the business of manufacturing various electronic sub-assemblies, assemblies and box builds, disk drives, memory modules, power supplies / adapters, fiber optic assemblies, magnetic induction coils and radio frequency identification (RFID) products and other electronic products. Its services include electronic manufacturing, engineering &amp; technology, RFID, MedTech ODM and magnetics. It supplies complete high-level assemblies, including PCBAs, enclosures, wire harnesses, testing and custom packing. Its engineering &amp; technology services include product engineering, digital engineering, design studio and prototyping. Its MedTech products include Aesthetic Devices, Diagnostic Devices, Wearable Devices, Microcurrent Devices and Neubie- Neuro Muscular Stimulation Devices.</v>
    <v>764</v>
    <v>National Stock Exchange of India</v>
    <v>XNSE</v>
    <v>XNSE</v>
    <v>Plot B27, Phase II, Zone B, MEPZ-SEZ, Sanatorium, Tambaram, CHENNAI, TAMIL NADU, 600045 IN</v>
    <v>741.9</v>
    <v>Electronic Equipment &amp; Parts</v>
    <v>Stock</v>
    <v>46017.492905092593</v>
    <v>727</v>
    <v>141395300000</v>
    <v>SYRMA SGS TECHNOLOGY LIMITED</v>
    <v>SYRMA SGS TECHNOLOGY LIMITED</v>
    <v>733.8</v>
    <v>58</v>
    <v>733.85</v>
    <v>737.7</v>
    <v>192676100</v>
    <v>SYRMA</v>
    <v>SYRMA SGS TECHNOLOGY LIMITED (XNSE:SYRMA)</v>
    <v>564067</v>
    <v>828550</v>
    <v>2004</v>
  </rv>
  <rv s="2">
    <v>1433</v>
  </rv>
  <rv s="10">
    <v>en-US</v>
    <v>cd87p2</v>
    <v>268435456</v>
    <v>1</v>
    <v>Powered by Refinitiv</v>
    <v>18</v>
    <v>TBO TEK LIMITED (XNSE:TBOTEK)</v>
    <v>6</v>
    <v>3</v>
    <v>Finance</v>
    <v>4</v>
    <v>1845.55</v>
    <v>996</v>
    <v>1.143</v>
    <v>-3.1</v>
    <v>-1.82E-3</v>
    <v>INR</v>
    <v>TBO Tek Limited is primarily in the business of operating an online technology platform (TBO Portal) providing its customers access to book global travel inventory aggregated through travel suppliers like airlines, hotels, and others. Its segments include Air Ticketing and Hotel and Packages. Its TBO Platform is a Business-to-Business (B2B) travel platform that allows the real time booking of flights, hotels and other travel products like car rentals, transfers, and sightseeing packages. It simplifies the business of travel for suppliers and buyers. Its supplier consists of hotels, airlines, car rentals, transfers, cruises, insurance, rail and others (Suppliers). Its buyers consist of retail and API buyers such as travel agencies, independent travel advisors, and enterprise buyers including tour operators, travel management companies, online travel companies, super-apps, and loyalty apps. Its TBO Academy is an online-learning platform for travel agents and travel trade partners.</v>
    <v>1553</v>
    <v>National Stock Exchange of India</v>
    <v>XNSE</v>
    <v>XNSE</v>
    <v>Plot No. 728, Udyog Vihar, Phase-V, GURGAON, HARYANA, 122016 IN</v>
    <v>1720</v>
    <v>Hotels &amp; Entertainment Services</v>
    <v>Stock</v>
    <v>46017.492905092593</v>
    <v>1682.5</v>
    <v>181289800000</v>
    <v>TBO TEK LIMITED</v>
    <v>TBO TEK LIMITED</v>
    <v>1720</v>
    <v>75.84</v>
    <v>1703.5</v>
    <v>1700.4</v>
    <v>106421900</v>
    <v>TBOTEK</v>
    <v>TBO TEK LIMITED (XNSE:TBOTEK)</v>
    <v>74294</v>
    <v>121460</v>
    <v>2006</v>
  </rv>
  <rv s="2">
    <v>1435</v>
  </rv>
  <rv s="0">
    <v>https://www.bing.com/financeapi/forcetrigger?t=ahk9jc&amp;q=XNSE%3aTATACOMM&amp;form=skydnc</v>
    <v>Learn more on Bing</v>
  </rv>
  <rv s="1">
    <v>en-US</v>
    <v>ahk9jc</v>
    <v>268435456</v>
    <v>1</v>
    <v>Powered by Refinitiv</v>
    <v>0</v>
    <v>Tata Communications Limited (XNSE:TATACOMM)</v>
    <v>2</v>
    <v>3</v>
    <v>Finance</v>
    <v>4</v>
    <v>2004</v>
    <v>1291</v>
    <v>1.4827999999999999</v>
    <v>6.2</v>
    <v>3.4999999999999996E-3</v>
    <v>INR</v>
    <v>Tata Communications Limited is an India-based communications technology company. The Company enables digital transformation for enterprises globally. It delivers services powered by cloud, mobility, Internet of Things (IoT), collaboration, security, and network services. Its segments include Voice Solutions, Data Services, Transformation Services, Real Estate and Campaign Registry. The Voice Solutions segment includes international and national long-distance voice services. The Data Services segment includes core and Nextgen connectivity services, digital platforms and connected services. The Transformation Services segment includes the business of providing telecommunication network management and support services. The Real Estate segment includes rentals for premises given on lease. The Campaign Registry segment includes the business of collecting robotically driven campaign information and processing and sharing that information with mobile operators and the messaging ecosystem.</v>
    <v>13047</v>
    <v>National Stock Exchange of India</v>
    <v>XNSE</v>
    <v>XNSE</v>
    <v>Plot No. C21 &amp; C36, 'G' Block, Bandra Kurla Complex,, MUMBAI, MAHARASHTRA, 400098 IN</v>
    <v>1804.4</v>
    <v>Telecommunications Services</v>
    <v>Stock</v>
    <v>46017.492905092593</v>
    <v>1437</v>
    <v>1770.1</v>
    <v>504849000000</v>
    <v>Tata Communications Limited</v>
    <v>Tata Communications Limited</v>
    <v>1772.9</v>
    <v>35.25</v>
    <v>1771.4</v>
    <v>1777.6</v>
    <v>285000000</v>
    <v>TATACOMM</v>
    <v>Tata Communications Limited (XNSE:TATACOMM)</v>
    <v>95640</v>
    <v>203040</v>
    <v>1986</v>
  </rv>
  <rv s="2">
    <v>1438</v>
  </rv>
  <rv s="0">
    <v>https://www.bing.com/financeapi/forcetrigger?t=ahk9rw&amp;q=XNSE%3aTATAINVEST&amp;form=skydnc</v>
    <v>Learn more on Bing</v>
  </rv>
  <rv s="1">
    <v>en-US</v>
    <v>ahk9rw</v>
    <v>268435456</v>
    <v>1</v>
    <v>Powered by Refinitiv</v>
    <v>0</v>
    <v>TATA INVESTMENT CORPORATION LIMITED (XNSE:TATAINVEST)</v>
    <v>2</v>
    <v>3</v>
    <v>Finance</v>
    <v>4</v>
    <v>1184.7</v>
    <v>514.52</v>
    <v>0.43230000000000002</v>
    <v>-4.8499999999999996</v>
    <v>-6.8100000000000001E-3</v>
    <v>INR</v>
    <v>Tata Investment Corporation Limited is an India-based non-banking financial company. The Company is primarily involved in investing in long-term investments, such as equity shares and equity-related securities. The Company’s activities primarily comprise investing in listed and unlisted equity shares, debt instruments and mutual funds, and other companies in a range of industries. The Company is subsidiary of Tata Sons Private Limited. It invests in various sectors, such as automobiles &amp; auto components, banks, cement, chemicals &amp; fertilizers, engineering, construction &amp; infrastructure, fast moving consumer goods &amp; consumer durables, financial services, insurance &amp; AMC, healthcare &amp; pharmaceuticals, hotels, information technology, internet &amp; software services, media, metals &amp; mining, oil and natural resources, power generation &amp; transmission, retail, telecommunications, and others.</v>
    <v>24</v>
    <v>National Stock Exchange of India</v>
    <v>XNSE</v>
    <v>XNSE</v>
    <v>Elphinstone building, 10 Veer Nariman Road, MUMBAI, MAHARASHTRA, 400001 IN</v>
    <v>712.85</v>
    <v>Investment Banking &amp; Investment Services</v>
    <v>Stock</v>
    <v>46017.492905092593</v>
    <v>1440</v>
    <v>704.65</v>
    <v>360314400000</v>
    <v>TATA INVESTMENT CORPORATION LIMITED</v>
    <v>TATA INVESTMENT CORPORATION LIMITED</v>
    <v>712.15</v>
    <v>101.71420000000001</v>
    <v>712.15</v>
    <v>707.3</v>
    <v>505953000</v>
    <v>TATAINVEST</v>
    <v>TATA INVESTMENT CORPORATION LIMITED (XNSE:TATAINVEST)</v>
    <v>196001</v>
    <v>294330</v>
    <v>1937</v>
  </rv>
  <rv s="2">
    <v>1441</v>
  </rv>
  <rv s="0">
    <v>https://www.bing.com/financeapi/forcetrigger?t=ahkfnm&amp;q=XNSE%3aTTML&amp;form=skydnc</v>
    <v>Learn more on Bing</v>
  </rv>
  <rv s="1">
    <v>en-US</v>
    <v>ahkfnm</v>
    <v>268435456</v>
    <v>1</v>
    <v>Powered by Refinitiv</v>
    <v>0</v>
    <v>TATA TELESERVICES (MAHARASHTRA) LIMITED (XNSE:TTML)</v>
    <v>2</v>
    <v>3</v>
    <v>Finance</v>
    <v>4</v>
    <v>84.5</v>
    <v>44.52</v>
    <v>-9.5500000000000002E-2</v>
    <v>-0.83</v>
    <v>-1.6284E-2</v>
    <v>INR</v>
    <v>Tata Teleservices (Maharashtra) Limited is engaged in the business of providing telecommunication services. The Company, equipped with Unified Licenses (UL)-access service authorization, operates in Mumbai and Maharashtra License Service Area (LSA), caters to the regions of Maharashtra and Goa. It operates under the brand name of Tata Tele Business Services and offers a comprehensive suite of smart digital solutions comprising Network &amp; Connectivity, Business Communications, Security, Marketing, and Managed Services. Its Network &amp; Connectivity includes Business Wi-Fi, Smart WAN, Internet Leased Line and Broadband. Its Business Communication includes Outbound &amp; Marketing Communications, Inbound Communications, and Integrated Solutions. Its Smartflo UCaaS offers business communication by integrating Microsoft Teams and PSTN. Its Smart Internet Telephony offers voice services over the internet. Its EZ Cloud Connect provides secure connectivity across offices, data centers and cloud ports.</v>
    <v>390</v>
    <v>National Stock Exchange of India</v>
    <v>XNSE</v>
    <v>XNSE</v>
    <v>D-26, TTC Industrial Area, MIDC Sanpada P.O. Turbhe, NAVI MUMBAI, MAHARASHTRA, 400703 IN</v>
    <v>50.68</v>
    <v>Telecommunications Services</v>
    <v>Stock</v>
    <v>46017.492905092593</v>
    <v>1443</v>
    <v>50.05</v>
    <v>99642660000</v>
    <v>TATA TELESERVICES (MAHARASHTRA) LIMITED</v>
    <v>TATA TELESERVICES (MAHARASHTRA) LIMITED</v>
    <v>50.2</v>
    <v>0</v>
    <v>50.97</v>
    <v>50.14</v>
    <v>1954928000</v>
    <v>TTML</v>
    <v>TATA TELESERVICES (MAHARASHTRA) LIMITED (XNSE:TTML)</v>
    <v>1919847</v>
    <v>19649480</v>
    <v>1995</v>
  </rv>
  <rv s="2">
    <v>1444</v>
  </rv>
  <rv s="0">
    <v>https://www.bing.com/financeapi/forcetrigger?t=ahkb9c&amp;q=XNSE%3aTECHNOE&amp;form=skydnc</v>
    <v>Learn more on Bing</v>
  </rv>
  <rv s="1">
    <v>en-US</v>
    <v>ahkb9c</v>
    <v>268435456</v>
    <v>1</v>
    <v>Powered by Refinitiv</v>
    <v>0</v>
    <v>Techno Electric &amp; Engineering Company Limited (XNSE:TECHNOE)</v>
    <v>2</v>
    <v>3</v>
    <v>Finance</v>
    <v>4</v>
    <v>1720</v>
    <v>785.15</v>
    <v>0.89639999999999997</v>
    <v>-19.399999999999999</v>
    <v>-1.7557E-2</v>
    <v>INR</v>
    <v>Techno Electric &amp; Engineering Company Limited is an India-based power-infrastructure company. The Company is engaged in engineering, procurement, and construction (EPC) services across power generation, transmission, and distribution, catering to diverse industries. The Company is also engaged in the generation of wind power through Wind Turbine Generators in the states of Tamil Nadu and Karnataka. The Company's segments include EPC/ Engineering Services, Others, and Corporate. The Company is engaged in offering flue gas desulfurization (FGD), advanced metering infrastructure (AMI) and end-to-end data center solutions. It is also engaged in the transmission and distribution, including Extra High Voltage (EHV) substations up to 765 kilovolts (kV), advanced metering infrastructure, and Static Synchronous Compensator (STATCOM) installations. It provides comprehensive solutions for data centers, encompassing design and engineering, civil, and structural works.</v>
    <v>541</v>
    <v>National Stock Exchange of India</v>
    <v>XNSE</v>
    <v>XNSE</v>
    <v>1B, Park Plaza, South Block, 71, Park Street, Kolkata, KOLKATA, WEST BENGAL, 700016 IN</v>
    <v>1107.5999999999999</v>
    <v>Construction &amp; Engineering</v>
    <v>Stock</v>
    <v>46017.492905092593</v>
    <v>1446</v>
    <v>1083.3</v>
    <v>128511000000</v>
    <v>Techno Electric &amp; Engineering Company Limited</v>
    <v>Techno Electric &amp; Engineering Company Limited</v>
    <v>1104.8</v>
    <v>28.84</v>
    <v>1105</v>
    <v>1085.5999999999999</v>
    <v>116299600</v>
    <v>TECHNOE</v>
    <v>Techno Electric &amp; Engineering Company Limited (XNSE:TECHNOE)</v>
    <v>59373</v>
    <v>155360</v>
    <v>2005</v>
  </rv>
  <rv s="2">
    <v>1447</v>
  </rv>
  <rv s="0">
    <v>https://www.bing.com/financeapi/forcetrigger?t=ahkbhw&amp;q=XNSE%3aTEJASNET&amp;form=skydnc</v>
    <v>Learn more on Bing</v>
  </rv>
  <rv s="1">
    <v>en-US</v>
    <v>ahkbhw</v>
    <v>268435456</v>
    <v>1</v>
    <v>Powered by Refinitiv</v>
    <v>0</v>
    <v>TEJAS NETWORKS LIMITED (XNSE:TEJASNET)</v>
    <v>2</v>
    <v>3</v>
    <v>Finance</v>
    <v>4</v>
    <v>1258.8</v>
    <v>440</v>
    <v>1.3259000000000001</v>
    <v>-3.25</v>
    <v>-7.1899999999999993E-3</v>
    <v>INR</v>
    <v>Tejas Networks Limited is a wireline and wireless telecommunications (telecom) and data networking products company. The Company designs, develops and manufactures products for building high-speed communication networks that carry voice, data and video traffic from fixed line, mobile and broadband networks. It offers a range of solutions, which include radio access network, fiber broadband access, satcom solution, optical aggregation, switching and routing, direct to mobile broadcast solution, metro core and backbone, network management, and wireless core. Its products include TJ1400 Aggregation, TJ1400P Access Router, Tejas 4G/ 5G Base Band Unit, Navdoot, SAMRAT, Gyandoot, Lehar, TJ1280 MSPP, and TJ1600. The Company’s services include customer services, build services, managed services, consultancy services, and nurture services. It caters to Internet service providers, Web-scale Internet companies, telecom companies, utility and defense companies.</v>
    <v>2370</v>
    <v>National Stock Exchange of India</v>
    <v>XNSE</v>
    <v>XNSE</v>
    <v>Plot No. 25, JP Software Park,, Electronics City, Phase 1,, Hosur Road,, BANGALORE, KARNATAKA, 560100 IN</v>
    <v>453</v>
    <v>Communications &amp; Networking</v>
    <v>Stock</v>
    <v>46017.492905092593</v>
    <v>1449</v>
    <v>447.25</v>
    <v>79900100000</v>
    <v>TEJAS NETWORKS LIMITED</v>
    <v>TEJAS NETWORKS LIMITED</v>
    <v>453</v>
    <v>0</v>
    <v>452</v>
    <v>448.75</v>
    <v>176770100</v>
    <v>TEJASNET</v>
    <v>TEJAS NETWORKS LIMITED (XNSE:TEJASNET)</v>
    <v>367752</v>
    <v>1438250</v>
    <v>2000</v>
  </rv>
  <rv s="2">
    <v>1450</v>
  </rv>
  <rv s="0">
    <v>https://www.bing.com/financeapi/forcetrigger?t=ahjlww&amp;q=XNSE%3aRAMCOCEM&amp;form=skydnc</v>
    <v>Learn more on Bing</v>
  </rv>
  <rv s="1">
    <v>en-US</v>
    <v>ahjlww</v>
    <v>268435456</v>
    <v>1</v>
    <v>Powered by Refinitiv</v>
    <v>0</v>
    <v>THE RAMCO CEMENTS LIMITED (XNSE:RAMCOCEM)</v>
    <v>2</v>
    <v>3</v>
    <v>Finance</v>
    <v>4</v>
    <v>1209</v>
    <v>788.2</v>
    <v>0.73960000000000004</v>
    <v>2.8</v>
    <v>2.6410000000000001E-3</v>
    <v>INR</v>
    <v>The Ramco Cements Limited is an India-based company, which is engaged in the manufacturing of cement with operations across South and East India. The Company is engaged in the manufacturing of cement &amp; construction chemicals. The Company’s portfolio includes cement and construction chemical products, supported by a wide distribution network of dealers and sub-dealers. The Company caters mainly to the domestic markets. It also sells cement to the Maldives and Myanmar through direct and merchant exports. Its Cement products include Ramco Supergrade, Ramco Supercrete, Ramco Superfine EFC, Ramco Super Steel, Ramco OPC Infra 53 Grade, Ramco OPC 53 Grade, Ramco OPC 43 Grade, Ramco Super-Fast and others. The Dry mix products include Ramco Super Plaster, Ramco Plastering Compound, Ramco Super Fine, Ramco Super Bond Epoxy, Ramco Super Shield, and others. The Ready-mix Concrete product includes Ramco Ready Mix Concrete RMC.</v>
    <v>3767</v>
    <v>National Stock Exchange of India</v>
    <v>XNSE</v>
    <v>XNSE</v>
    <v>Auras Corporate Centre, 98-A, V Floor, Dr. Radhakrishnan Road, CHENNAI, TAMIL NADU, 600004 IN</v>
    <v>1087</v>
    <v>Construction Materials</v>
    <v>Stock</v>
    <v>46017.492893518516</v>
    <v>1452</v>
    <v>1055.5999999999999</v>
    <v>250564400000</v>
    <v>THE RAMCO CEMENTS LIMITED</v>
    <v>THE RAMCO CEMENTS LIMITED</v>
    <v>1060.4000000000001</v>
    <v>67.75</v>
    <v>1060.4000000000001</v>
    <v>1063.2</v>
    <v>236292400</v>
    <v>RAMCOCEM</v>
    <v>THE RAMCO CEMENTS LIMITED (XNSE:RAMCOCEM)</v>
    <v>353435</v>
    <v>320480</v>
    <v>1957</v>
  </rv>
  <rv s="2">
    <v>1453</v>
  </rv>
  <rv s="0">
    <v>https://www.bing.com/financeapi/forcetrigger?t=ahkcec&amp;q=XNSE%3aTHERMAX&amp;form=skydnc</v>
    <v>Learn more on Bing</v>
  </rv>
  <rv s="1">
    <v>en-US</v>
    <v>ahkcec</v>
    <v>268435456</v>
    <v>1</v>
    <v>Powered by Refinitiv</v>
    <v>0</v>
    <v>THERMAX LIMITED. (XNSE:THERMAX)</v>
    <v>2</v>
    <v>3</v>
    <v>Finance</v>
    <v>4</v>
    <v>4670.95</v>
    <v>2742.7</v>
    <v>0.46910000000000002</v>
    <v>11.8</v>
    <v>3.9329999999999999E-3</v>
    <v>INR</v>
    <v>Thermax Limited is an India-based energy and environment solutions provider. The Company's segments include Industrial Products, Industrial Infra, Green Solutions and Chemical. Industrial Products segment includes air pollution control, cooling, heating, water and waste solutions, and specialized services. Industrial Infra segment includes boilers and fired heaters, projects and energy solutions, and specialized services. Green Solutions segment includes build-own-operate, energy management solutions, green hydrogen projects and renewable energy (solar/wind). Chemical segment includes construction chemicals, ion exchange resins, oil field chemicals and performance chemicals. Its Thermax EDGE Live is a digital solution that uses AI and machine learning to analyze data from all industrial equipment worldwide and help clients to optimize asset performance in terms of up time and efficiency. It serves various industries, including aviation, construction, biotechnology and chemicals.</v>
    <v>3704</v>
    <v>National Stock Exchange of India</v>
    <v>XNSE</v>
    <v>XNSE</v>
    <v>Thermax House, 14 Mumbai-Pune Road, Wakdewadi, PUNE, MAHARASHTRA, 411003 IN</v>
    <v>3017.1</v>
    <v>Machinery, Equipment &amp; Components</v>
    <v>Stock</v>
    <v>46017.492905092593</v>
    <v>1455</v>
    <v>2963.7</v>
    <v>338010300000</v>
    <v>THERMAX LIMITED.</v>
    <v>THERMAX LIMITED.</v>
    <v>3008.9</v>
    <v>57.151600000000002</v>
    <v>3000.6</v>
    <v>3012.4</v>
    <v>112647600</v>
    <v>THERMAX</v>
    <v>THERMAX LIMITED. (XNSE:THERMAX)</v>
    <v>114630</v>
    <v>110430</v>
    <v>1980</v>
  </rv>
  <rv s="2">
    <v>1456</v>
  </rv>
  <rv s="0">
    <v>https://www.bing.com/financeapi/forcetrigger?t=ahkdjc&amp;q=XNSE%3aTIMKEN&amp;form=skydnc</v>
    <v>Learn more on Bing</v>
  </rv>
  <rv s="1">
    <v>en-US</v>
    <v>ahkdjc</v>
    <v>268435456</v>
    <v>1</v>
    <v>Powered by Refinitiv</v>
    <v>0</v>
    <v>TIMKEN INDIA LIMITED (XNSE:TIMKEN)</v>
    <v>2</v>
    <v>3</v>
    <v>Finance</v>
    <v>4</v>
    <v>3575</v>
    <v>2202</v>
    <v>0.97689999999999999</v>
    <v>-79.2</v>
    <v>-2.5821999999999998E-2</v>
    <v>INR</v>
    <v>Timken India Limited is an India-based company, which is engaged in engineered bearings and industrial motion products. The Company is in the manufacture, distribution and sale of anti-friction bearings, primarily tapered roller bearings, other roller bearings, components, accessories, and mechanical power transmission products for a diverse customer base. It also provides maintenance contract and refurbishment services. The Company's manufacturing plants are located at Jamshedpur in Jharkhand &amp; Bharuch in Gujarat and distribution centers are located in various parts of the country. Industrial motion products include augers, automatic lubrication systems, belts, brakes and clutches, chain, couplings &amp; universal joints, gear drives / transmissions, linear motion, lubrication and lubrication systems, Timken maintenance tools, gearboxes overhaul, motor repair services, and up tower wind services. It offers various brands, such as Timken, Beka, Cone Drive, Diamond Drives and others.</v>
    <v>1282</v>
    <v>National Stock Exchange of India</v>
    <v>XNSE</v>
    <v>XNSE</v>
    <v>39-42, Electronic City, Phase II, HOSUR Road, BANGALORE, KARNATAKA, 560100 IN</v>
    <v>3094</v>
    <v>Machinery, Equipment &amp; Components</v>
    <v>Stock</v>
    <v>46017.492905092593</v>
    <v>1458</v>
    <v>2981.3</v>
    <v>224753600000</v>
    <v>TIMKEN INDIA LIMITED</v>
    <v>TIMKEN INDIA LIMITED</v>
    <v>3094</v>
    <v>50.72</v>
    <v>3067.2</v>
    <v>2988</v>
    <v>75218730</v>
    <v>TIMKEN</v>
    <v>TIMKEN INDIA LIMITED (XNSE:TIMKEN)</v>
    <v>14547</v>
    <v>20690</v>
    <v>1996</v>
  </rv>
  <rv s="2">
    <v>1459</v>
  </rv>
  <rv s="0">
    <v>https://www.bing.com/financeapi/forcetrigger?t=ahkelh&amp;q=XNSE%3aTORNTPOWER&amp;form=skydnc</v>
    <v>Learn more on Bing</v>
  </rv>
  <rv s="1">
    <v>en-US</v>
    <v>ahkelh</v>
    <v>268435456</v>
    <v>1</v>
    <v>Powered by Refinitiv</v>
    <v>0</v>
    <v>TORRENT POWER LIMITED (XNSE:TORNTPOWER)</v>
    <v>2</v>
    <v>3</v>
    <v>Finance</v>
    <v>4</v>
    <v>1640</v>
    <v>1188</v>
    <v>1.5654999999999999</v>
    <v>18.399999999999999</v>
    <v>1.4366E-2</v>
    <v>INR</v>
    <v>Torrent Power Limited is an India-based integrated power utility company. The Company has a presence in power generation, transmission, distribution and manufacturing and supply of power cables. The Company operates through three segments: Generation, Transmission and Distribution, and Renewables. The Generation segment comprises of generation of power from thermal sources (gas and coal) and trading of regassified liquified natural gas. The Transmission and Distribution segment comprises of transmission and distribution business (licensed and franchisee) and related ancillary services. This segment also comprises the power cable business. The Renewables segment comprises of generation of power from renewable energy sources, such as wind and solar. The Company has an aggregate installed generation capacity of approximately 4,328-Megawatt peak (MWp) comprising of 2,730 megawatts (MW) of gas-based capacity, 1,236 MWp of renewable capacity and 362 MW of coal-based capacity.</v>
    <v>7213</v>
    <v>National Stock Exchange of India</v>
    <v>XNSE</v>
    <v>XNSE</v>
    <v>Samanvay, 600, Tapovan, Ambavadi, AHMEDABAD, GUJARAT, 380015 IN</v>
    <v>1308</v>
    <v>Electrical Utilities &amp; IPPs</v>
    <v>Stock</v>
    <v>46017.492905092593</v>
    <v>1461</v>
    <v>1277.4000000000001</v>
    <v>645399700000</v>
    <v>TORRENT POWER LIMITED</v>
    <v>TORRENT POWER LIMITED</v>
    <v>1278.0999999999999</v>
    <v>21.46</v>
    <v>1280.8</v>
    <v>1299.2</v>
    <v>503903500</v>
    <v>TORNTPOWER</v>
    <v>TORRENT POWER LIMITED (XNSE:TORNTPOWER)</v>
    <v>259777</v>
    <v>298760</v>
    <v>2004</v>
  </rv>
  <rv s="2">
    <v>1462</v>
  </rv>
  <rv s="0">
    <v>https://www.bing.com/financeapi/forcetrigger?t=ahkf6h&amp;q=XNSE%3aTRIL&amp;form=skydnc</v>
    <v>Learn more on Bing</v>
  </rv>
  <rv s="1">
    <v>en-US</v>
    <v>ahkf6h</v>
    <v>268435456</v>
    <v>1</v>
    <v>Powered by Refinitiv</v>
    <v>0</v>
    <v>TRANSFORMERS AND RECTIFIERS (INDIA) LIMITED (XNSE:TARIL)</v>
    <v>2</v>
    <v>3</v>
    <v>Finance</v>
    <v>4</v>
    <v>648.9</v>
    <v>230.1</v>
    <v>-6.1000000000000004E-3</v>
    <v>-7.55</v>
    <v>-2.5493999999999999E-2</v>
    <v>INR</v>
    <v>Transformers and Rectifiers (India) Limited is an India-based company engaged in the manufacturing of power, furnace, and rectifier transformers. The Company manufactures a range of transformers, supplying both the domestic and international markets. It produces transformers and reactors with capacities ranging from approximately 0.5 Megavolt-Amperes (MVA) to 500 MVA capacity and voltage classes from five Kilovolt (kV) to 1200 kV. The Company primarily operates in the Manufacturing of Transformers segment. Its product categories include Power Transformers, Distribution Transformers, Furnace Transformers, Rectifier Transformers, Specialty Transformers, and Reactors. It offers services such as Upgrade, Repair &amp; Refurbishment, Spares &amp; Consumables, Technical Training, and Oil Sample Analysis &amp; Diagnosis. The Company's subsidiaries include Transweld Mechanical Engineering Works Limited, Transpares Limited, TARIL Infrastructure Limited, Savas Engineering Company Private Limited, and others.</v>
    <v>553</v>
    <v>National Stock Exchange of India</v>
    <v>XNSE</v>
    <v>XNSE</v>
    <v>Survey No. 427 P/3-4 and 431 P/1-2, Sarkhej- Bavla Highway, Village:Moraiya,Taluka: Sanand,, AHMEDABAD, GUJARAT, 382213 IN</v>
    <v>297.5</v>
    <v>Machinery, Equipment &amp; Components</v>
    <v>Stock</v>
    <v>46017.492905092593</v>
    <v>1464</v>
    <v>287.64999999999998</v>
    <v>88894110000</v>
    <v>TRANSFORMERS AND RECTIFIERS (INDIA) LIMITED</v>
    <v>TRANSFORMERS AND RECTIFIERS (INDIA) LIMITED</v>
    <v>297.5</v>
    <v>35.49</v>
    <v>296.14999999999998</v>
    <v>288.60000000000002</v>
    <v>300165800</v>
    <v>TARIL</v>
    <v>TRANSFORMERS AND RECTIFIERS (INDIA) LIMITED (XNSE:TARIL)</v>
    <v>1533828</v>
    <v>16281510</v>
    <v>1994</v>
  </rv>
  <rv s="2">
    <v>1465</v>
  </rv>
  <rv s="0">
    <v>https://www.bing.com/financeapi/forcetrigger?t=ahkfc7&amp;q=XNSE%3aTRIVENI&amp;form=skydnc</v>
    <v>Learn more on Bing</v>
  </rv>
  <rv s="1">
    <v>en-US</v>
    <v>ahkfc7</v>
    <v>268435456</v>
    <v>1</v>
    <v>Powered by Refinitiv</v>
    <v>0</v>
    <v>TRIVENI ENGINEERING AND INDUSTRIES LIMITED (XNSE:TRIVENI)</v>
    <v>2</v>
    <v>3</v>
    <v>Finance</v>
    <v>4</v>
    <v>536</v>
    <v>313.10000000000002</v>
    <v>0.92620000000000002</v>
    <v>-0.1</v>
    <v>-2.499E-4</v>
    <v>INR</v>
    <v>Triveni Engineering and Industries Limited is an India-based company. It is engaged in diversified businesses, mainly categorized into two segments-sugar and allied businesses and the engineering business. Sugar &amp; allied businesses primarily comprise the manufacture of white crystal sugar and distillation of alcohol. Molasses, a by-product in the manufacturing of sugar, is used as a raw material for producing ethanol and extra neutral alcohol. The engineering business comprises manufacturing of high-speed gear, gearboxes and providing water/wastewater treatment solutions. Its power transmission business is focused on high speed and niche low speed gears and gear boxes covering supply to original equipment manufacturers (OEMs), after-market services and retro fitment of gearboxes, catering to the requirements of the power sector, other industrial segments and defense. It provides engineered-to-order process equipment and comprehensive solutions in water and wastewater management.</v>
    <v>4645</v>
    <v>National Stock Exchange of India</v>
    <v>XNSE</v>
    <v>XNSE</v>
    <v>8th floor, Express Trade Towers,, 15-16, sector -16A,, NOIDA, UTTAR PRADESH, 201301 IN</v>
    <v>402.9</v>
    <v>Food &amp; Tobacco</v>
    <v>Stock</v>
    <v>46017.492905092593</v>
    <v>1467</v>
    <v>396.65</v>
    <v>87602970000</v>
    <v>TRIVENI ENGINEERING AND INDUSTRIES LIMITED</v>
    <v>TRIVENI ENGINEERING AND INDUSTRIES LIMITED</v>
    <v>402.9</v>
    <v>19.12</v>
    <v>400.2</v>
    <v>400.1</v>
    <v>218898000</v>
    <v>TRIVENI</v>
    <v>TRIVENI ENGINEERING AND INDUSTRIES LIMITED (XNSE:TRIVENI)</v>
    <v>213052</v>
    <v>635650</v>
    <v>1932</v>
  </rv>
  <rv s="2">
    <v>1468</v>
  </rv>
  <rv s="0">
    <v>https://www.bing.com/financeapi/forcetrigger?t=ahkf9c&amp;q=XNSE%3aTRITURBINE&amp;form=skydnc</v>
    <v>Learn more on Bing</v>
  </rv>
  <rv s="1">
    <v>en-US</v>
    <v>ahkf9c</v>
    <v>268435456</v>
    <v>1</v>
    <v>Powered by Refinitiv</v>
    <v>0</v>
    <v>TRIVENI TURBINE LIMITED (XNSE:TRITURBINE)</v>
    <v>2</v>
    <v>3</v>
    <v>Finance</v>
    <v>4</v>
    <v>789.9</v>
    <v>460.3</v>
    <v>1.4096</v>
    <v>-0.25</v>
    <v>-4.5870000000000004E-4</v>
    <v>INR</v>
    <v>Triveni Turbine Limited is an India-based industrial steam turbine manufacturer. The Company is primarily engaged in the business of manufacturing and supplying power-generating equipment and solutions. The Company designs, develops, and delivers advanced technology steam turbine generators (STGs) of up to 100 megawatts electric (Mwe) range for power generation and combined heat and power generation applications across a broad spectrum of industries. Its products include API turbines for drives and power generation, Transcritical CO2 Heat Pump &amp; Chiller, and SMART turbines for pressure reducer desuperheater (PRDS). It caters to various industries, including geothermal power plants, independent power plants, industrial captive power plants, oil &amp; gas plants, and utility power plants. The Company supplies approximately 6,000 steam turbines, which are installed across 20 industries in over 80 countries. Its manufacturing facilities are in Bengaluru, Karnataka.</v>
    <v>828</v>
    <v>National Stock Exchange of India</v>
    <v>XNSE</v>
    <v>XNSE</v>
    <v>Express Trade Towers,, 8th Floor, 15-16, Sector 16A,, NOIDA, UTTAR PRADESH, 201301 IN</v>
    <v>546.70000000000005</v>
    <v>Machinery, Equipment &amp; Components</v>
    <v>Stock</v>
    <v>46017.492905092593</v>
    <v>1470</v>
    <v>539.4</v>
    <v>173263900000</v>
    <v>TRIVENI TURBINE LIMITED</v>
    <v>TRIVENI TURBINE LIMITED</v>
    <v>545</v>
    <v>50.63</v>
    <v>545.04999999999995</v>
    <v>544.79999999999995</v>
    <v>317886300</v>
    <v>TRITURBINE</v>
    <v>TRIVENI TURBINE LIMITED (XNSE:TRITURBINE)</v>
    <v>190895</v>
    <v>287190</v>
    <v>1995</v>
  </rv>
  <rv s="2">
    <v>1471</v>
  </rv>
  <rv s="0">
    <v>https://www.bing.com/financeapi/forcetrigger?t=ahkd52&amp;q=XNSE%3aTIINDIA&amp;form=skydnc</v>
    <v>Learn more on Bing</v>
  </rv>
  <rv s="1">
    <v>en-US</v>
    <v>ahkd52</v>
    <v>268435456</v>
    <v>1</v>
    <v>Powered by Refinitiv</v>
    <v>0</v>
    <v>TUBE INVESTMENTS OF INDIA LIMITED (XNSE:TIINDIA)</v>
    <v>2</v>
    <v>3</v>
    <v>Finance</v>
    <v>4</v>
    <v>3693.6</v>
    <v>2407.1</v>
    <v>1.0561</v>
    <v>5.0999999999999996</v>
    <v>1.9650000000000002E-3</v>
    <v>INR</v>
    <v>Tube Investments of India Limited is an India-based engineering company. Its divisions include Mobility, Engineering, Metal-Formed Products, and Others. The Mobility division comprises standard bi-cycles, special bi-cycles, such as alloy bikes and specialty performance bikes, fitness equipment and three-wheeler electric vehicles. The Engineering division comprises cold rolled steel strips and precision steel tubes, such as cold drawn welded tubes and electric resistant welded (ERW) tubes. The Metal Formed Products division comprises automotive chains, fine blanked products, stamped products, roll-formed car door frames and cold rolled formed sections for railway wagons and passenger coaches. The other product division includes TIDC industrial chains, TI Macho TMT Bars, and TI Optoelectronic Solutions. Its products include Engineering Class Chains, cowl cross beam, cam chain, and others. Its subsidiaries are Shanthi Gears Ltd and CG Power and Industrial Solutions Ltd.</v>
    <v>3219</v>
    <v>National Stock Exchange of India</v>
    <v>XNSE</v>
    <v>XNSE</v>
    <v>Chola Crest 4th Floor, No.C54-55 &amp; Super B-4, Thiru Vi Ka Industrial Estate, Guindy, CHENNAI, TAMIL NADU, 600032 IN</v>
    <v>2630.7</v>
    <v>Automobiles &amp; Auto Parts</v>
    <v>Stock</v>
    <v>46017.492905092593</v>
    <v>1473</v>
    <v>2590.1</v>
    <v>502290900000</v>
    <v>TUBE INVESTMENTS OF INDIA LIMITED</v>
    <v>TUBE INVESTMENTS OF INDIA LIMITED</v>
    <v>2610</v>
    <v>80.392899999999997</v>
    <v>2595.6999999999998</v>
    <v>2600.8000000000002</v>
    <v>193508900</v>
    <v>TIINDIA</v>
    <v>TUBE INVESTMENTS OF INDIA LIMITED (XNSE:TIINDIA)</v>
    <v>156269</v>
    <v>230140</v>
    <v>2008</v>
  </rv>
  <rv s="2">
    <v>1474</v>
  </rv>
  <rv s="0">
    <v>https://www.bing.com/financeapi/forcetrigger?t=ahkgmw&amp;q=XNSE%3aUCOBANK&amp;form=skydnc</v>
    <v>Learn more on Bing</v>
  </rv>
  <rv s="1">
    <v>en-US</v>
    <v>ahkgmw</v>
    <v>268435456</v>
    <v>1</v>
    <v>Powered by Refinitiv</v>
    <v>0</v>
    <v>UCO Bank (XNSE:UCOBANK)</v>
    <v>2</v>
    <v>3</v>
    <v>Finance</v>
    <v>4</v>
    <v>46.27</v>
    <v>26.81</v>
    <v>0.73140000000000005</v>
    <v>-0.16</v>
    <v>-5.5569999999999994E-3</v>
    <v>INR</v>
    <v>UCO Bank is an India-based commercial bank. The Company’s segments include Treasury Operations, Corporate Banking Operations, Retail Banking, Digital Banking, Other Retail Banking, and Other Banking Operations. The Bank offers corporate banking, international banking, government business, and rural banking. The Bank's corporate banking includes loans/advances, credit growth, deposits, value-added services. Its international banking includes non-resident Indian (NRI) banking, foreign currency loans, finance/services to exporters, finance/services to importers, remittances, foreign exchange and treasury services, resident foreign currency (domestic) deposits, and correspondent banking services. Its rural banking includes policy framework for microfinance loan, personal loans/advances, agriculture credit, financial inclusion, deposit, RRB, SLBC, and PM 15 point. The Bank's loan portfolio includes UCO suryodaya loan, agri loan, education loan, GECL, gold loan, home loan, and others.</v>
    <v>21049</v>
    <v>National Stock Exchange of India</v>
    <v>XNSE</v>
    <v>XNSE</v>
    <v>10, B T M Sarani, KOLKATA, WEST BENGAL, 700001 IN</v>
    <v>29</v>
    <v>Banking Services</v>
    <v>Stock</v>
    <v>46017.492905092593</v>
    <v>1476</v>
    <v>28.54</v>
    <v>359007600000</v>
    <v>UCO Bank</v>
    <v>UCO Bank</v>
    <v>28.79</v>
    <v>14.03</v>
    <v>28.79</v>
    <v>28.63</v>
    <v>12539560000</v>
    <v>UCOBANK</v>
    <v>UCO Bank (XNSE:UCOBANK)</v>
    <v>4361450</v>
    <v>4535270</v>
    <v>1943</v>
  </rv>
  <rv s="2">
    <v>1477</v>
  </rv>
  <rv s="0">
    <v>https://www.bing.com/financeapi/forcetrigger?t=ahki77&amp;q=XNSE%3aUPL&amp;form=skydnc</v>
    <v>Learn more on Bing</v>
  </rv>
  <rv s="1">
    <v>en-US</v>
    <v>ahki77</v>
    <v>268435456</v>
    <v>1</v>
    <v>Powered by Refinitiv</v>
    <v>0</v>
    <v>UPL LIMITED (XNSE:UPL)</v>
    <v>2</v>
    <v>3</v>
    <v>Finance</v>
    <v>4</v>
    <v>786.3</v>
    <v>493</v>
    <v>1.0971</v>
    <v>1.35</v>
    <v>1.7469999999999999E-3</v>
    <v>INR</v>
    <v>UPL Limited is an India-based company that provides agricultural solutions and services. The Company operates through three segments: Crop Protection, Seeds Business, and Non Agro. Its Crop Protection segment includes the manufacture and marketing of conventional agrochemical products, and other agricultural related products. Its Seeds Business segment includes the production and marketing of seeds. Its Non Agro includes manufacture and marketing of industrial chemical and other non-agricultural related products. The Company’s specialty applications include crop protection solutions for niche and specialty crops; products for underserved or hard-to-control pests; alternative application methods like seed and soil applied technologies; and bio-based products. Its offering covers the entire agricultural value chain spanning, such as seeds, crop protection products, natural solutions, on-farm equipment and services, and post-harvest solutions.</v>
    <v>4247</v>
    <v>National Stock Exchange of India</v>
    <v>XNSE</v>
    <v>XNSE</v>
    <v>Uniphos House, C.D. Marg,, 11th Road, Madhu Park,, Khar (West),, MUMBAI, MAHARASHTRA, 400052 IN</v>
    <v>780.7</v>
    <v>Chemicals</v>
    <v>Stock</v>
    <v>46017.492905092593</v>
    <v>1479</v>
    <v>770.2</v>
    <v>652206000000</v>
    <v>UPL LIMITED</v>
    <v>UPL LIMITED</v>
    <v>775</v>
    <v>30.19</v>
    <v>772.7</v>
    <v>774.05</v>
    <v>844433600</v>
    <v>UPL</v>
    <v>UPL LIMITED (XNSE:UPL)</v>
    <v>1476893</v>
    <v>2795360</v>
    <v>1985</v>
  </rv>
  <rv s="2">
    <v>1480</v>
  </rv>
  <rv s="0">
    <v>https://www.bing.com/financeapi/forcetrigger?t=bwg53m&amp;q=XNSE%3aUTIAMC&amp;form=skydnc</v>
    <v>Learn more on Bing</v>
  </rv>
  <rv s="1">
    <v>en-US</v>
    <v>bwg53m</v>
    <v>268435456</v>
    <v>1</v>
    <v>Powered by Refinitiv</v>
    <v>0</v>
    <v>UTI ASSET MANAGEMENT COMPANY LIMITED (XNSE:UTIAMC)</v>
    <v>2</v>
    <v>3</v>
    <v>Finance</v>
    <v>4</v>
    <v>1472.43</v>
    <v>891.45</v>
    <v>1.2695000000000001</v>
    <v>-9.8000000000000007</v>
    <v>-8.6370000000000006E-3</v>
    <v>INR</v>
    <v>UTI Asset Management Company Limited is an India-based investment management company. The Company is primarily engaged in fund management and advisory services. The Company acts as a Portfolio Manager, offering discretionary, non-discretionary, and advisory services to high-net-worth clients, corporates, and institutions. It is also involved in the wholesale investment management of pension funds under the new pension system. It has a presence across various business segments, including Mutual Funds, Alternative Investment Funds, Pension Business, and Portfolio Management Services. The Company offers Discretionary Portfolio Management Services (PMS) to the Employees’ Provident Fund Organisation (EPFO), Coal Mines Provident Fund Organisation (CMPFO), Employees’ State Insurance Corporation (ESIC), and the National Skill Development Fund (NSDF). Additionally, it provides Non-Discretionary PMS to the Directorate of Postal Life Insurance (PLI) and Advisory PMS to various offshore accounts.</v>
    <v>1393</v>
    <v>National Stock Exchange of India</v>
    <v>XNSE</v>
    <v>XNSE</v>
    <v>PMS Division, UTI - Tower, Gn Block, Bandra Kurla Complex, MUMBAI, MAHARASHTRA, 400051 IN</v>
    <v>1139.8</v>
    <v>Investment Banking &amp; Investment Services</v>
    <v>Stock</v>
    <v>46017.492905092593</v>
    <v>1482</v>
    <v>1121.2</v>
    <v>145759600000</v>
    <v>UTI ASSET MANAGEMENT COMPANY LIMITED</v>
    <v>UTI ASSET MANAGEMENT COMPANY LIMITED</v>
    <v>1129.0999999999999</v>
    <v>24.69</v>
    <v>1134.7</v>
    <v>1124.9000000000001</v>
    <v>128456500</v>
    <v>UTIAMC</v>
    <v>UTI ASSET MANAGEMENT COMPANY LIMITED (XNSE:UTIAMC)</v>
    <v>31126</v>
    <v>154350</v>
    <v>2002</v>
  </rv>
  <rv s="2">
    <v>1483</v>
  </rv>
  <rv s="0">
    <v>https://www.bing.com/financeapi/forcetrigger?t=ahkhjc&amp;q=XNSE%3aUNIONBANK&amp;form=skydnc</v>
    <v>Learn more on Bing</v>
  </rv>
  <rv s="1">
    <v>en-US</v>
    <v>ahkhjc</v>
    <v>268435456</v>
    <v>1</v>
    <v>Powered by Refinitiv</v>
    <v>0</v>
    <v>UNION BANK OF INDIA LIMITED (XNSE:UNIONBANK)</v>
    <v>2</v>
    <v>3</v>
    <v>Finance</v>
    <v>4</v>
    <v>160.15</v>
    <v>100.81</v>
    <v>1.2882</v>
    <v>-0.54</v>
    <v>-3.5820000000000001E-3</v>
    <v>INR</v>
    <v>Union Bank of India Limited is an India-based banking company. The Company’s segments include Treasury Operations, Corporate and Wholesale Banking and Other Banking Operations. The Company offers products in three categories, including personal, corporate loans and international. Its personal products include accounts and deposits, loans, which includes retail, micro, small and medium enterprises (MSME), wealth management, financial schemes and lockers/other services. Its corporate loans include trade finance, working capital, line of credit, project financing, and channel finance. Its international services include non-resident Indian speedy and easy remittances, Internet Banking, international debit/credit cards, home loans, special deposit schemes, and an online donation facility. It provides digital services, such as app banking, Internet banking, automated teller machine banking, self-service banking and immediate payment service (IMPS). It also provides foreign currency loans.</v>
    <v>73945</v>
    <v>National Stock Exchange of India</v>
    <v>XNSE</v>
    <v>XNSE</v>
    <v>Union Bank Bhavan, 239, Vidhan Bhavan Marg, Nariman Point, MUMBAI, MAHARASHTRA, 400021 IN</v>
    <v>151.47</v>
    <v>Banking Services</v>
    <v>Stock</v>
    <v>46017.492905092593</v>
    <v>1485</v>
    <v>150</v>
    <v>1150842000000</v>
    <v>UNION BANK OF INDIA LIMITED</v>
    <v>UNION BANK OF INDIA LIMITED</v>
    <v>150.79</v>
    <v>6.22</v>
    <v>150.76</v>
    <v>150.22</v>
    <v>7633605000</v>
    <v>UNIONBANK</v>
    <v>UNION BANK OF INDIA LIMITED (XNSE:UNIONBANK)</v>
    <v>2656436</v>
    <v>7383120</v>
    <v>1919</v>
  </rv>
  <rv s="2">
    <v>1486</v>
  </rv>
  <rv s="0">
    <v>https://www.bing.com/financeapi/forcetrigger?t=ahkgh7&amp;q=XNSE%3aUBL&amp;form=skydnc</v>
    <v>Learn more on Bing</v>
  </rv>
  <rv s="1">
    <v>en-US</v>
    <v>ahkgh7</v>
    <v>268435456</v>
    <v>1</v>
    <v>Powered by Refinitiv</v>
    <v>0</v>
    <v>UNITED BREWERIES LIMITED (XNSE:UBL)</v>
    <v>2</v>
    <v>3</v>
    <v>Finance</v>
    <v>4</v>
    <v>2299.6999999999998</v>
    <v>1574.1</v>
    <v>0.62039999999999995</v>
    <v>3.5</v>
    <v>2.16E-3</v>
    <v>INR</v>
    <v>United Breweries Limited is an India-based beer company, which is engaged in the manufacturing, purchasing and selling of beer and non-alcoholic beverages. The Company’s Beer segment includes the manufacture, purchase and sale of beer, including licensing of brands. Its product range includes internationally recognized beers, non-alcoholic beverages, packaged drinking water, and soda. Its alcoholic brands include Heineken Original; Heineken Silver; Amstel Bier; Amstel Grande Bier; Kingfisher Premium; Kingfisher Strong; Kingfisher Ultra; Kingfisher Ultra Max; Kingfisher Ultra Witbier; Kingfisher Storm; Kingfisher Blue; Kingfisher Flavour Mango; Kingfisher Flavour Lemon; Bullet Super Strong; Cannon 1000, and others. Its non-alcoholic brands include Heineken 0.0; Kingfisher Premium Packaged Drinking Water; Kingfisher Strong Power Soda, and Kingfisher Ultra Premium Soda. The Company has manufacturing facilities in India. It has operations in approximately 50 international markets.</v>
    <v>1441</v>
    <v>National Stock Exchange of India</v>
    <v>XNSE</v>
    <v>XNSE</v>
    <v>Level 3, 4 &amp; 5, UB Towers, UB City, 24 Vittal Mallya Road, BANGALORE, KARNATAKA, 560001 IN</v>
    <v>1629</v>
    <v>Beverages</v>
    <v>Stock</v>
    <v>46017.492905092593</v>
    <v>1488</v>
    <v>1604.8</v>
    <v>428442100000</v>
    <v>UNITED BREWERIES LIMITED</v>
    <v>UNITED BREWERIES LIMITED</v>
    <v>1616</v>
    <v>116.95</v>
    <v>1620.4</v>
    <v>1623.9</v>
    <v>264405200</v>
    <v>UBL</v>
    <v>UNITED BREWERIES LIMITED (XNSE:UBL)</v>
    <v>56075</v>
    <v>54020</v>
    <v>1999</v>
  </rv>
  <rv s="2">
    <v>1489</v>
  </rv>
  <rv s="0">
    <v>https://www.bing.com/financeapi/forcetrigger?t=ahkicw&amp;q=XNSE%3aUSHAMART&amp;form=skydnc</v>
    <v>Learn more on Bing</v>
  </rv>
  <rv s="1">
    <v>en-US</v>
    <v>ahkicw</v>
    <v>268435456</v>
    <v>1</v>
    <v>Powered by Refinitiv</v>
    <v>0</v>
    <v>USHA MARTIN LIMITED (XNSE:USHAMART)</v>
    <v>2</v>
    <v>3</v>
    <v>Finance</v>
    <v>4</v>
    <v>497.1</v>
    <v>278.55</v>
    <v>0.62529999999999997</v>
    <v>-11</v>
    <v>-2.4237000000000002E-2</v>
    <v>INR</v>
    <v>Usha Martin Limited is an India-based specialty steel wire rope solutions provider. The Company is also engaged in the manufacturing of wires, low relaxation prestressed concrete steel strand (LRPC), wires, prestressing solutions, cables, and bespoke end-fitments and accessories. Its segments include Wire and Wire ropes, and Others. The Wire and Wire ropes segment is engaged in the manufacturing and sale of steel wires, strands, wire ropes, cords, related accessories, wire drawing and allied machine, among others. The Others segment is engaged in the manufacturing and sale of jelly filled and optical fiber telecommunication cables. It provides various wire ropes, such as crane rope, mining rope, elevator rope, oil and offshore rope, fishing rope, general engineering rope, aerial transportation rope, structural rope, and conveyor rope. Its LRPC strands include unbonded polymer coated LRPC strand, bonded polymer coated LRPC strand, compacted LRPC strand, and intended LRPC strand.</v>
    <v>2235</v>
    <v>National Stock Exchange of India</v>
    <v>XNSE</v>
    <v>XNSE</v>
    <v>2A Shakespeare Sarani, Mangal Kalash, KOLKATA, WEST BENGAL, 700071 IN</v>
    <v>454.9</v>
    <v>Metals &amp; Mining</v>
    <v>Stock</v>
    <v>46017.492905092593</v>
    <v>1491</v>
    <v>441.1</v>
    <v>138220700000</v>
    <v>USHA MARTIN LIMITED</v>
    <v>USHA MARTIN LIMITED</v>
    <v>453</v>
    <v>32.729999999999997</v>
    <v>453.85</v>
    <v>442.85</v>
    <v>304551500</v>
    <v>USHAMART</v>
    <v>USHA MARTIN LIMITED (XNSE:USHAMART)</v>
    <v>421728</v>
    <v>597440</v>
    <v>1986</v>
  </rv>
  <rv s="2">
    <v>1492</v>
  </rv>
  <rv s="0">
    <v>https://www.bing.com/financeapi/forcetrigger?t=ahkk5r&amp;q=XNSE%3aVGUARD&amp;form=skydnc</v>
    <v>Learn more on Bing</v>
  </rv>
  <rv s="1">
    <v>en-US</v>
    <v>ahkk5r</v>
    <v>268435456</v>
    <v>1</v>
    <v>Powered by Refinitiv</v>
    <v>0</v>
    <v>V GUARD INDUSTRIES LIMITED (XNSE:VGUARD)</v>
    <v>2</v>
    <v>3</v>
    <v>Finance</v>
    <v>4</v>
    <v>450</v>
    <v>300</v>
    <v>0.57950000000000002</v>
    <v>-2.85</v>
    <v>-8.6219999999999995E-3</v>
    <v>INR</v>
    <v>V-Guard Industries Limited is an India-based company, which is engaged in manufacturing, trading, and selling electronic products. The Company operates through four segments: Electronics, Electricals, Consumer Durables, and Sunflame. Electronics include stabilizers, digital uninterruptible power supply (UPS) and solar inverters. Electricals include Polyvinyl Chloride (PVC) insulated cables, switch gears, pumps, and modular switches. Consumer Durables include electric water heaters, solar water heaters, fans, kitchen appliances and air coolers. Sunflame includes products sold under the trademark Sunflame and Superflame. Sunflame brand has a rich legacy in the kitchen and small domestic appliances industry and its portfolio includes chimneys, cooktops, cookers, and other small appliances. Its products include voltage stabilizers, inverters, inverter batteries and solar power systems, electric, solar and heat pumps, water heaters, wires and cables, fans, kitchen appliances, and others.</v>
    <v>3133</v>
    <v>National Stock Exchange of India</v>
    <v>XNSE</v>
    <v>XNSE</v>
    <v>42/962, Vennala High School Road, Vennala, KOCHI, KERALA, 682028 IN</v>
    <v>330.95</v>
    <v>Machinery, Equipment &amp; Components</v>
    <v>Stock</v>
    <v>46017.492905092593</v>
    <v>1494</v>
    <v>327.05</v>
    <v>144233700000</v>
    <v>V GUARD INDUSTRIES LIMITED</v>
    <v>V GUARD INDUSTRIES LIMITED</v>
    <v>330.55</v>
    <v>49.81</v>
    <v>330.55</v>
    <v>327.7</v>
    <v>436344600</v>
    <v>VGUARD</v>
    <v>V GUARD INDUSTRIES LIMITED (XNSE:VGUARD)</v>
    <v>68205</v>
    <v>211180</v>
    <v>1996</v>
  </rv>
  <rv s="2">
    <v>1495</v>
  </rv>
  <rv s="0">
    <v>https://www.bing.com/financeapi/forcetrigger?t=ahhi7w&amp;q=XNSE%3aDBREALTY&amp;form=skydnc</v>
    <v>Learn more on Bing</v>
  </rv>
  <rv s="1">
    <v>en-US</v>
    <v>ahhi7w</v>
    <v>268435456</v>
    <v>1</v>
    <v>Powered by Refinitiv</v>
    <v>0</v>
    <v>VALOR ESTATE LIMITED (XNSE:DBREALTY)</v>
    <v>2</v>
    <v>3</v>
    <v>Finance</v>
    <v>4</v>
    <v>219.09</v>
    <v>99.81</v>
    <v>0.43759999999999999</v>
    <v>-2.1800000000000002</v>
    <v>-1.8012E-2</v>
    <v>INR</v>
    <v>Valor Estate Limited is an India-based real estate development and construction company. The Company is engaged primarily in the business of real estate construction, development, and other related activities and the hospitality business. The Company is focused on residential, commercial, retail, and other projects, such as mass housing and cluster redevelopment. Its segments include real estate and hospitality. Its residential projects include Ocean Towers, One Mahalaxmi, Ten BKC, DB SkyPark, DB Ozone, DB Woods, and Orchid Surburbia. Its portfolio consists of over 100 million square feet of prime property. Its DB Ozone is located at Dahisar, which consists of approximately 25 residential buildings. Its subsidiaries include Conwood DB Joint Venture, DB Contractors &amp; Builders Private Limited, DB Man Realty Limited, DB View Infracon Private Limited, and others.</v>
    <v>1110</v>
    <v>National Stock Exchange of India</v>
    <v>XNSE</v>
    <v>XNSE</v>
    <v>4th Floor, Wing 15, Gate No. 2,, Ten BKC, off N. Dharmadhikari Marg,, Kalanagar, Bandra (East), MUMBAI, MAHARASHTRA, 400051 IN</v>
    <v>122.27</v>
    <v>Real Estate Operations</v>
    <v>Stock</v>
    <v>46017.492881944447</v>
    <v>1497</v>
    <v>118.41</v>
    <v>65259910000</v>
    <v>VALOR ESTATE LIMITED</v>
    <v>VALOR ESTATE LIMITED</v>
    <v>121.4</v>
    <v>265.24</v>
    <v>121.03</v>
    <v>118.85</v>
    <v>539204400</v>
    <v>DBREALTY</v>
    <v>VALOR ESTATE LIMITED (XNSE:DBREALTY)</v>
    <v>1077618</v>
    <v>1368210</v>
    <v>2007</v>
  </rv>
  <rv s="2">
    <v>1498</v>
  </rv>
  <rv s="0">
    <v>https://www.bing.com/financeapi/forcetrigger?t=ahkmww&amp;q=XNSE%3aVTL&amp;form=skydnc</v>
    <v>Learn more on Bing</v>
  </rv>
  <rv s="1">
    <v>en-US</v>
    <v>ahkmww</v>
    <v>268435456</v>
    <v>1</v>
    <v>Powered by Refinitiv</v>
    <v>0</v>
    <v>VARDHMAN TEXTILES LIMITED (XNSE:VTL)</v>
    <v>2</v>
    <v>3</v>
    <v>Finance</v>
    <v>4</v>
    <v>539.9</v>
    <v>361.1</v>
    <v>0.94950000000000001</v>
    <v>2.75</v>
    <v>6.1919999999999996E-3</v>
    <v>INR</v>
    <v>Vardhman Textiles Limited is an India-based vertically integrated textile manufacturer. The Company is primarily engaged in the business of manufacturing, purchase, and sale of textiles, such as yarns and fabrics. Its segments include Textiles and Acrylic Fibre. Its businesses include yarns, fabrics, acrylic fiber, garments, collections, and special steel. Its yarn products include specialty yarns, acrylic, fancy and hand-knitted yarns, dyed yarns, and others. Its garment products include 100% cotton, poly cotton, cotton stretch or cotton lycra, linen, cotton Tencel, Cotton viscose, and Melange. The Company produces approximately 2,40,000 metric tons of yarn and 220 million meters of woven fabric. Its woven products include twill dobby-texture, grindle, jacquard crinkle, and seer sucker. Its fiber blend products include 100% cotton, polyester cotton, cotton stretch, and cotton linen. Its subsidiaries include Vardhman Acrylics Limited and VTL Investments Limited.</v>
    <v>23196</v>
    <v>National Stock Exchange of India</v>
    <v>XNSE</v>
    <v>XNSE</v>
    <v>Chandigarh Road, LUDHIANA, PUNJAB, 141010 IN</v>
    <v>448</v>
    <v>Textiles &amp; Apparel</v>
    <v>Stock</v>
    <v>46017.492905092593</v>
    <v>1500</v>
    <v>438.15</v>
    <v>127139100000</v>
    <v>VARDHMAN TEXTILES LIMITED</v>
    <v>VARDHMAN TEXTILES LIMITED</v>
    <v>444.1</v>
    <v>15.01</v>
    <v>444.1</v>
    <v>446.85</v>
    <v>284523000</v>
    <v>VTL</v>
    <v>VARDHMAN TEXTILES LIMITED (XNSE:VTL)</v>
    <v>76731</v>
    <v>100030</v>
    <v>1973</v>
  </rv>
  <rv s="2">
    <v>1501</v>
  </rv>
  <rv s="0">
    <v>https://www.bing.com/financeapi/forcetrigger?t=c57mm7&amp;q=XNSE%3aMANYAVAR&amp;form=skydnc</v>
    <v>Learn more on Bing</v>
  </rv>
  <rv s="1">
    <v>en-US</v>
    <v>c57mm7</v>
    <v>268435456</v>
    <v>1</v>
    <v>Powered by Refinitiv</v>
    <v>0</v>
    <v>Vedant Fashions Ltd (XNSE:MANYAVAR)</v>
    <v>2</v>
    <v>3</v>
    <v>Finance</v>
    <v>4</v>
    <v>1333.45</v>
    <v>575.04999999999995</v>
    <v>0.60870000000000002</v>
    <v>-3.2</v>
    <v>-5.4979999999999994E-3</v>
    <v>INR</v>
    <v>Vedant Fashions Limited is an India-based company. The Company is primarily engaged in manufacturing, trading, and sale of ready-made ethnic wear for men, women, and kids primarily in India under the brand names Manyavar, Mohey, Mebaz, Twamev, and Manthan. The Company has only one reportable segment, which is branded fashion apparel and accessories. The Company’s products include men's kurta pajama, kurta jacket sets, only kurtas, nehru jacket, indo-western, sherwani, and accessories, such as juti, safa, mala, and others. Women’s ethnic and celebration wear items, such as lehenga, sarees, indo-western, stitched-suits, and accessories. Kids products include an indo-western, kurta jacket set, kurta pajama, and accessories. The Company has approximately 676 stores and 16 global stores in 255 Indian cities and 13 global cities. The Company has its international branded outlets in the United Arab Emirates, United States, Canada, and the United Kingdom.</v>
    <v>770</v>
    <v>National Stock Exchange of India</v>
    <v>XNSE</v>
    <v>XNSE</v>
    <v>SDF 1, 4th Floor, A501-A502, Paridhan Garment Park, 19 Canal South Road, KOLKATA, WEST BENGAL, 700015 IN</v>
    <v>584.95000000000005</v>
    <v>Specialty Retailers</v>
    <v>Stock</v>
    <v>46017.492893518516</v>
    <v>1503</v>
    <v>578.1</v>
    <v>141410300000</v>
    <v>Vedant Fashions Ltd</v>
    <v>Vedant Fashions Ltd</v>
    <v>580</v>
    <v>36.487200000000001</v>
    <v>582</v>
    <v>578.79999999999995</v>
    <v>242973100</v>
    <v>MANYAVAR</v>
    <v>Vedant Fashions Ltd (XNSE:MANYAVAR)</v>
    <v>45511</v>
    <v>101680</v>
    <v>2002</v>
  </rv>
  <rv s="2">
    <v>1504</v>
  </rv>
  <rv s="10">
    <v>en-US</v>
    <v>cfj6tc</v>
    <v>268435456</v>
    <v>1</v>
    <v>Powered by Refinitiv</v>
    <v>18</v>
    <v>VENTIVE HOSPITALITY LIMITED (XNSE:VENTIVE)</v>
    <v>6</v>
    <v>3</v>
    <v>Finance</v>
    <v>4</v>
    <v>840</v>
    <v>523.4</v>
    <v>0.35199999999999998</v>
    <v>0.95</v>
    <v>1.32E-3</v>
    <v>INR</v>
    <v>Ventive Hospitality Limited is an India-based company, which is engaged in the business of leasing of commercial spaces, operation of a retail mall, operation of a commercial hotel and operation of windmills. The Company operates in three segments: Commercial leasing, Hospitality, and Windmills. The Commercial leasing segment includes leasing operations comprising lease rentals from the properties given under lease. The Hospitality segment includes hotel operations, sale of rooms, food and beverages and allied services related to hotel operations, including income from telecommunication and Internet services. The Windmills segment is a credit provided for transmission of electricity based on the data provided by the Maharashtra State Electricity Distribution Company Limited on electricity bills. It operates 11 fully operational hotels with 2,036 rooms across the business and luxury segments, mixed-use commercial and retail spaces of approx. 3.4 million square feet.</v>
    <v>3061</v>
    <v>National Stock Exchange of India</v>
    <v>XNSE</v>
    <v>XNSE</v>
    <v>Tech Park One,, Tower D, 191 Yerwada,, PUNE, MAHARASHTRA, 411006 IN</v>
    <v>728.6</v>
    <v>Hotels &amp; Entertainment Services</v>
    <v>Stock</v>
    <v>46017.492905092593</v>
    <v>717</v>
    <v>168033200000</v>
    <v>VENTIVE HOSPITALITY LIMITED</v>
    <v>VENTIVE HOSPITALITY LIMITED</v>
    <v>727</v>
    <v>73.2</v>
    <v>719.5</v>
    <v>720.45</v>
    <v>233541600</v>
    <v>VENTIVE</v>
    <v>VENTIVE HOSPITALITY LIMITED (XNSE:VENTIVE)</v>
    <v>147075</v>
    <v>66800</v>
    <v>2002</v>
  </rv>
  <rv s="2">
    <v>1506</v>
  </rv>
  <rv s="0">
    <v>https://www.bing.com/financeapi/forcetrigger?t=c3ecr7&amp;q=XNSE%3aVIJAYA&amp;form=skydnc</v>
    <v>Learn more on Bing</v>
  </rv>
  <rv s="1">
    <v>en-US</v>
    <v>c3ecr7</v>
    <v>268435456</v>
    <v>1</v>
    <v>Powered by Refinitiv</v>
    <v>0</v>
    <v>VIJAYA DIAGNOSTIC CENTRE LIMITED (XNSE:VIJAYA)</v>
    <v>2</v>
    <v>3</v>
    <v>Finance</v>
    <v>4</v>
    <v>1275</v>
    <v>740</v>
    <v>0.3846</v>
    <v>4.7</v>
    <v>4.5620000000000001E-3</v>
    <v>INR</v>
    <v>Vijaya Diagnostic Centre Limited is an India-based company, which is engaged in the business of providing a range of diagnostic services, spanning pathological investigations, basic and high-end radiology, nuclear medicine, and related healthcare services. It operates through the Diagnostic Services segment. It offers laboratory services and radiology services. Its services include clinical pathology, microbiology, hematology, serology, histopathology, cytogenetics, biochemistry, molecular diagnostics, computerized tomography (CT) scan, magnetic resonance imaging (MRI) scan, ultrasound, X-ray, cardiology, gastroenterology, nuclear medicine, and MRI-3T. It operates approximately 160 diagnostic centers in 25 cities spread across India. Its clinical pathology includes liver function test (LFT-A), creatine kinase (CPK) test, and thyroid profile test. It offers various health checkups, which include general wellness, women's care, gynecology packages, and lifestyle.</v>
    <v>2218</v>
    <v>National Stock Exchange of India</v>
    <v>XNSE</v>
    <v>XNSE</v>
    <v>6-3-883/F, Ground Floor, FPA Building,, Near Topaz Building, Punjagutta,, HYDERABAD, TELANGANA, 500082 IN</v>
    <v>1047</v>
    <v>Healthcare Providers &amp; Services</v>
    <v>Stock</v>
    <v>46017.492905092593</v>
    <v>1508</v>
    <v>1021.55</v>
    <v>105837500000</v>
    <v>VIJAYA DIAGNOSTIC CENTRE LIMITED</v>
    <v>VIJAYA DIAGNOSTIC CENTRE LIMITED</v>
    <v>1047</v>
    <v>69.819999999999993</v>
    <v>1030.3</v>
    <v>1035</v>
    <v>102724900</v>
    <v>VIJAYA</v>
    <v>VIJAYA DIAGNOSTIC CENTRE LIMITED (XNSE:VIJAYA)</v>
    <v>93529</v>
    <v>231020</v>
    <v>2002</v>
  </rv>
  <rv s="2">
    <v>1509</v>
  </rv>
  <rv s="10">
    <v>en-US</v>
    <v>cff2nm</v>
    <v>268435456</v>
    <v>1</v>
    <v>Powered by Refinitiv</v>
    <v>18</v>
    <v>VISHAL MEGA MART LIMITED (XNSE:VMM)</v>
    <v>6</v>
    <v>3</v>
    <v>Finance</v>
    <v>4</v>
    <v>157.6</v>
    <v>95.99</v>
    <v>1.175</v>
    <v>-0.52</v>
    <v>-3.8019999999999998E-3</v>
    <v>INR</v>
    <v>Vishal Mega Mart Limited is an India-based company that curates a range of merchandize through its portfolio of own brands and third-party brands to fulfil daily needs of consumers. It offers products across three major product categories: apparel, general merchandise and fast-moving consumer goods. Its apparel category comprises exclusively of its own brands with a range of apparel for all members of a family. Its apparel category products include shirts, denim, formal wear, children, and infants. Its general merchandize and fast-moving consumer goods categories comprise its own brand and third-party brand products. Its general merchandize category products include home appliances, crockery and utensils, travel products and footwear. Its fast-moving consumer goods category products include packaged food, staples and non-food categories. It has a pan-India network of around 645 Vishal Mega Mart stores. It also sells its products through Vishal Mega Mart mobile application and Website.</v>
    <v>18029</v>
    <v>National Stock Exchange of India</v>
    <v>XNSE</v>
    <v>XNSE</v>
    <v>Plot No. 184, Fifth Floor, Platinum Tower, Udyog Vihar, Phase-1, GURGAON, HARYANA, 122016 IN</v>
    <v>137.5</v>
    <v>Diversified Retail</v>
    <v>Stock</v>
    <v>46017.492905092593</v>
    <v>134.72</v>
    <v>639173300000</v>
    <v>VISHAL MEGA MART LIMITED</v>
    <v>VISHAL MEGA MART LIMITED</v>
    <v>136.5</v>
    <v>84.591499999999996</v>
    <v>136.78</v>
    <v>136.26</v>
    <v>4673003000</v>
    <v>VMM</v>
    <v>VISHAL MEGA MART LIMITED (XNSE:VMM)</v>
    <v>5008679</v>
    <v>8025950</v>
    <v>2018</v>
  </rv>
  <rv s="2">
    <v>1511</v>
  </rv>
  <rv s="10">
    <v>en-US</v>
    <v>ceycp2</v>
    <v>268435456</v>
    <v>1</v>
    <v>Powered by Refinitiv</v>
    <v>18</v>
    <v>WAAREE ENERGIES LIMITED (XNSE:WAAREEENER)</v>
    <v>6</v>
    <v>3</v>
    <v>Finance</v>
    <v>4</v>
    <v>3865</v>
    <v>1863</v>
    <v>1.9690000000000001</v>
    <v>-33.6</v>
    <v>-1.0907999999999999E-2</v>
    <v>INR</v>
    <v>Waaree Energies Limited is an India-based renewable energy company. The Company, with a primary footprint across India and over 25 countries, offers a comprehensive portfolio spanning solar panels and inverters manufacturing, engineering, procurement and construction (EPC) services, green hydrogen solutions, battery energy storage systems, green energy infrastructure, and data centers. The Company's solutions include ground mounted, roof top, floating solar, asset management, and green hydrogen. The Company's solar product line includes N-type HJT Modules, N-type TOPCon Modules, Mono PERC, Lightweight &amp; Flexible Modules, Small Modules, Integrated Photovoltaic Solutions (BIPV &amp; Agrivoltaics) and Customized Modules. Its smart on-grid inverters deliver efficiency across a comprehensive range from 1kW to 136kW. Its inverters include Waaree Three Phase Inverter Series (3Kw to 25kw) and Waaree Three Phase Inverter Series (30Kw to 75Kw). It is also engaged in the transformer business.</v>
    <v>2512</v>
    <v>National Stock Exchange of India</v>
    <v>XNSE</v>
    <v>XNSE</v>
    <v>Western Edge - I, Western Express Highway, Borivali (East), MUMBAI, MAHARASHTRA, 400066 IN</v>
    <v>3075</v>
    <v>Renewable Energy</v>
    <v>Stock</v>
    <v>46017.492905092593</v>
    <v>3035</v>
    <v>886020300000</v>
    <v>WAAREE ENERGIES LIMITED</v>
    <v>WAAREE ENERGIES LIMITED</v>
    <v>3075</v>
    <v>32.46</v>
    <v>3080.3</v>
    <v>3046.7</v>
    <v>287640900</v>
    <v>WAAREEENER</v>
    <v>WAAREE ENERGIES LIMITED (XNSE:WAAREEENER)</v>
    <v>333164</v>
    <v>663820</v>
    <v>1990</v>
  </rv>
  <rv s="2">
    <v>1513</v>
  </rv>
  <rv s="0">
    <v>https://www.bing.com/financeapi/forcetrigger?t=ahknnm&amp;q=XNSE%3aWELCORP&amp;form=skydnc</v>
    <v>Learn more on Bing</v>
  </rv>
  <rv s="1">
    <v>en-US</v>
    <v>ahknnm</v>
    <v>268435456</v>
    <v>1</v>
    <v>Powered by Refinitiv</v>
    <v>0</v>
    <v>WELSPUN CORP LIMITED (XNSE:WELCORP)</v>
    <v>2</v>
    <v>3</v>
    <v>Finance</v>
    <v>4</v>
    <v>994</v>
    <v>664.3</v>
    <v>0.46829999999999999</v>
    <v>-3.95</v>
    <v>-4.8709999999999995E-3</v>
    <v>INR</v>
    <v>Welspun Corp Limited is an India-based company, which is engaged in the line pipes and home solutions, along with other lines of businesses in infrastructure, pipe solutions, building materials, warehousing, retail, advanced textiles and flooring solutions. The Company is engaged in the manufacturing of large diameter pipes globally and has established a global footprint across six continents and fifty countries by delivering key customized solutions for both onshore and offshore applications. It offers end-to-end products, comprehensive pipe solutions and ancillary services. It also manufactures Bureau of Indian Standards (BIS) -certified steel billets, thermo-mechanically treated (TMT) rebars, ductile iron (DI) pipes, stainless steel pipes, and tubes &amp; bars. The Company has manufacturing facilities in Anjar (Gujarat), Bhopal (Madhya Pradesh), Mandya (Karnataka) and Jhagadia (Gujarat) in India. Overseas, the Company has a manufacturing presence in Little Rock, Arkansas, United States.</v>
    <v>2698</v>
    <v>National Stock Exchange of India</v>
    <v>XNSE</v>
    <v>XNSE</v>
    <v>Welspun House, 5Th Floor, Kamala City,, Senapati Bapat Marg, Lower Parel (W),, MUMBAI, MAHARASHTRA, 400013 IN</v>
    <v>815.8</v>
    <v>Metals &amp; Mining</v>
    <v>Stock</v>
    <v>46017.492905092593</v>
    <v>1515</v>
    <v>803.25</v>
    <v>213824300000</v>
    <v>WELSPUN CORP LIMITED</v>
    <v>WELSPUN CORP LIMITED</v>
    <v>812.55</v>
    <v>10.117599999999999</v>
    <v>810.85</v>
    <v>806.9</v>
    <v>263703900</v>
    <v>WELCORP</v>
    <v>WELSPUN CORP LIMITED (XNSE:WELCORP)</v>
    <v>167056</v>
    <v>491230</v>
    <v>1995</v>
  </rv>
  <rv s="2">
    <v>1516</v>
  </rv>
  <rv s="0">
    <v>https://www.bing.com/financeapi/forcetrigger?t=ahknw7&amp;q=XNSE%3aWELSPUNIND&amp;form=skydnc</v>
    <v>Learn more on Bing</v>
  </rv>
  <rv s="1">
    <v>en-US</v>
    <v>ahknw7</v>
    <v>268435456</v>
    <v>1</v>
    <v>Powered by Refinitiv</v>
    <v>0</v>
    <v>WELSPUN LIVING LIMITED (XNSE:WELSPUNLIV)</v>
    <v>2</v>
    <v>3</v>
    <v>Finance</v>
    <v>4</v>
    <v>166.76</v>
    <v>104.8</v>
    <v>1.2666999999999999</v>
    <v>-2.4500000000000002</v>
    <v>-1.8145000000000001E-2</v>
    <v>INR</v>
    <v>Welspun Living Limited is an India-based home textile manufacturer. The Company manufactures a range of home textile products, mainly terry towels, bed linen products, rugs and flooring products. The Company operates through two segments: Home Textile, and Flooring. Home Textile segment manufactures towels, bath robes, bath rugs/ mats, area rugs, carpet, bed sheets, utility bedding and fashion bedding. The Flooring segment includes tiles and grass tiles. The Company provides a range of solutions, including flooring solutions, advanced textiles, e-commerce, hospitality, and wellness. The Company’s flooring products include Click N Lock Tiles, Carpet Tiles, Wall to Wall, Greens and MultiStile. The Company's brands include Christy, Spaces, Welspun Flooring, Martha, Welhome and SPUN. The Company's subsidiaries include Welspun Anjar SEZ Limited, Welspun Global Brands Limited, Welspun USA Inc., Welspun Captive Power Generation Limited, Welspun Holdings Private Limited, among others.</v>
    <v>21084</v>
    <v>National Stock Exchange of India</v>
    <v>XNSE</v>
    <v>XNSE</v>
    <v>Welspun House, 6th Floor,, Kamala Mills Compound,, Senapati Bapat Marg, Lower Parel,, MUMBAI, MAHARASHTRA, 400013 IN</v>
    <v>135.02000000000001</v>
    <v>Textiles &amp; Apparel</v>
    <v>Stock</v>
    <v>46017.492905092593</v>
    <v>1518</v>
    <v>132.05000000000001</v>
    <v>129032200000</v>
    <v>WELSPUN LIVING LIMITED</v>
    <v>WELSPUN LIVING LIMITED</v>
    <v>135.02000000000001</v>
    <v>36.369999999999997</v>
    <v>135.02000000000001</v>
    <v>132.57</v>
    <v>955652500</v>
    <v>WELSPUNLIV</v>
    <v>WELSPUN LIVING LIMITED (XNSE:WELSPUNLIV)</v>
    <v>900710</v>
    <v>1349930</v>
    <v>1985</v>
  </rv>
  <rv s="2">
    <v>1519</v>
  </rv>
  <rv s="0">
    <v>https://www.bing.com/financeapi/forcetrigger?t=ahko5r&amp;q=XNSE%3aWHIRLPOOL&amp;form=skydnc</v>
    <v>Learn more on Bing</v>
  </rv>
  <rv s="1">
    <v>en-US</v>
    <v>ahko5r</v>
    <v>268435456</v>
    <v>1</v>
    <v>Powered by Refinitiv</v>
    <v>0</v>
    <v>WHIRLPOOL OF INDIA LIMITED (XNSE:WHIRLPOOL)</v>
    <v>2</v>
    <v>3</v>
    <v>Finance</v>
    <v>4</v>
    <v>1944.5</v>
    <v>887.7</v>
    <v>1.0349999999999999</v>
    <v>-15.1</v>
    <v>-1.6344000000000001E-2</v>
    <v>INR</v>
    <v>Whirlpool of India Limited is an India-based manufacturer of home appliances. The Company is primarily engaged in manufacturing and trading refrigerators, washing machines, air conditioners, microwave ovens, built-in and small appliances and caters to both domestic and international markets. The Company also provides services in the area of product development and procurement services to Whirlpool Corporation, United States of America and other group companies. Its refrigerators include single door refrigerators, double door refrigerators, three doors’ refrigerators, and bottom mount refrigerators. Its washing machines include semi-automatic washing machines, top load washing machines, and front load washing machines. Its microwave ovens include convection microwave ovens, grill ovens, solo microwave ovens, and oven toaster grill. Its built-in products include hoods, hobs, free standing cooktops, built-in ovens, and others. Its subsidiary is Elica PB Whirlpool Kitchen Appliances.</v>
    <v>2193</v>
    <v>National Stock Exchange of India</v>
    <v>XNSE</v>
    <v>XNSE</v>
    <v>Plot No. 40, Sector 44, Gurugram, GURGAON, HARYANA, 122002 IN</v>
    <v>929</v>
    <v>Household Goods</v>
    <v>Stock</v>
    <v>46017.492905092593</v>
    <v>1521</v>
    <v>906.3</v>
    <v>117216900000</v>
    <v>WHIRLPOOL OF INDIA LIMITED</v>
    <v>WHIRLPOOL OF INDIA LIMITED</v>
    <v>928.6</v>
    <v>33.47</v>
    <v>923.9</v>
    <v>908.8</v>
    <v>126871800</v>
    <v>WHIRLPOOL</v>
    <v>WHIRLPOOL OF INDIA LIMITED (XNSE:WHIRLPOOL)</v>
    <v>344876</v>
    <v>272560</v>
    <v>1960</v>
  </rv>
  <rv s="2">
    <v>1522</v>
  </rv>
  <rv s="0">
    <v>https://www.bing.com/financeapi/forcetrigger?t=ahkomw&amp;q=XNSE%3aWOCKPHARMA&amp;form=skydnc</v>
    <v>Learn more on Bing</v>
  </rv>
  <rv s="1">
    <v>en-US</v>
    <v>ahkomw</v>
    <v>268435456</v>
    <v>1</v>
    <v>Powered by Refinitiv</v>
    <v>0</v>
    <v>WOCKHARDT LIMITED (XNSE:WOCKPHARMA)</v>
    <v>2</v>
    <v>3</v>
    <v>Finance</v>
    <v>4</v>
    <v>1868.8</v>
    <v>1110.05</v>
    <v>1.3386</v>
    <v>-2.7</v>
    <v>-1.879E-3</v>
    <v>INR</v>
    <v>Wockhardt Limited is a research-based global pharmaceutical and biotech company. The Company is engaged in the pharmaceutical business. It focuses on the unmet need for antibacterial drugs that are effective against the menace of untreatable superbugs. It manufactures and supplies branded and generic finished formulations, as well as intermediate products like active pharmaceutical ingredients (APIs), worldwide. The Company’s products in India include EMROK, MERIWOK, REINVEXIN, ERLISO, METHYCOBAL 500 MCG 15T, METHYCOBAL INJ 1 ML, METHYCOBAL D 10T, HAPID 10C, PROXYFEN NANO GEL, LIVATIRA 500 10T NEW PACK, LIVATIRA INJ 5 ml, GABAWOK NT 100MG 15T, GABAWOK NT 400MG 15T, ETOBRIX 90 MG 10C, ETOBRIX TH 4 10C, ETOBRIX P 10T, GLARZEN 100IU, TERITIDE, GLIMADAY HS, GLIMADAY FORTE-2, GLIMADAY FORTE-1, GLIMADAY FORTE 3, GLIMADAY 2 mg, GLIMADAY 1 mg, MOPADAY FORTE, INOGLA, WEPOX 4000 IU 1ML, MYCORAL M, Val 450, OKERON INJ 100MCG 1ML, DARBOTIN 40, and DARBOTIN 60.</v>
    <v>2296</v>
    <v>National Stock Exchange of India</v>
    <v>XNSE</v>
    <v>XNSE</v>
    <v>Wockhardt Towers, Bandra Kurla Complex, Bandra (East), MUMBAI, MAHARASHTRA, 400051 IN</v>
    <v>1465.9</v>
    <v>Pharmaceuticals</v>
    <v>Stock</v>
    <v>46017.492905092593</v>
    <v>1524</v>
    <v>1420.1</v>
    <v>233501300000</v>
    <v>WOCKHARDT LIMITED</v>
    <v>WOCKHARDT LIMITED</v>
    <v>1437.5</v>
    <v>0</v>
    <v>1437</v>
    <v>1434.3</v>
    <v>162492200</v>
    <v>WOCKPHARMA</v>
    <v>WOCKHARDT LIMITED (XNSE:WOCKPHARMA)</v>
    <v>696300</v>
    <v>815500</v>
    <v>1999</v>
  </rv>
  <rv s="2">
    <v>1525</v>
  </rv>
  <rv s="0">
    <v>https://www.bing.com/financeapi/forcetrigger?t=ahkpar&amp;q=XNSE%3aYESBANK&amp;form=skydnc</v>
    <v>Learn more on Bing</v>
  </rv>
  <rv s="1">
    <v>en-US</v>
    <v>ahkpar</v>
    <v>268435456</v>
    <v>1</v>
    <v>Powered by Refinitiv</v>
    <v>0</v>
    <v>YES BANK LIMITED (XNSE:YESBANK)</v>
    <v>2</v>
    <v>3</v>
    <v>Finance</v>
    <v>4</v>
    <v>24.3</v>
    <v>16.02</v>
    <v>0.80489999999999995</v>
    <v>-0.17</v>
    <v>-7.8380000000000012E-3</v>
    <v>INR</v>
    <v>YES BANK Limited is an India-based commercial bank, which offers a range of products, services and technology-driven digital offerings to its corporate, retail, and small and medium-sized enterprises (SME) customers. Its segments include Treasury, Corporate Banking, Retail Banking and Other Banking Operations. Treasury segment includes investments, all financial market activities undertaken on behalf of the customers, proprietary trading, maintenance of reserve requirements and resource mobilization from other banks and financial institutions. Corporate Banking segment includes lending, deposit taking and other services offered to corporate customers. Retail Banking segment includes lending, deposit taking and other services offered to retail customers. Its sub-segment Digital Banking represents segment results pertaining to digital banking units of the bank. Other Banking Operations segment includes para banking activities like third party product distribution, merchant banking.</v>
    <v>28690</v>
    <v>National Stock Exchange of India</v>
    <v>XNSE</v>
    <v>XNSE</v>
    <v>YES BANK House, Off Western Express Highway, Santacruz East, MUMBAI, MAHARASHTRA, 400055 IN</v>
    <v>21.73</v>
    <v>Banking Services</v>
    <v>Stock</v>
    <v>46017.492905092593</v>
    <v>1527</v>
    <v>21.47</v>
    <v>680598400000</v>
    <v>YES BANK LIMITED</v>
    <v>YES BANK LIMITED</v>
    <v>21.67</v>
    <v>23.674399999999999</v>
    <v>21.69</v>
    <v>21.52</v>
    <v>31378440000</v>
    <v>YESBANK</v>
    <v>YES BANK LIMITED (XNSE:YESBANK)</v>
    <v>37356486</v>
    <v>52036960</v>
    <v>2003</v>
  </rv>
  <rv s="2">
    <v>1528</v>
  </rv>
  <rv s="0">
    <v>https://www.bing.com/financeapi/forcetrigger?t=ahkn3m&amp;q=XNSE%3aZFCVINDIA&amp;form=skydnc</v>
    <v>Learn more on Bing</v>
  </rv>
  <rv s="1">
    <v>en-US</v>
    <v>ahkn3m</v>
    <v>268435456</v>
    <v>1</v>
    <v>Powered by Refinitiv</v>
    <v>0</v>
    <v>ZF COMMERCIAL VEHICLE CONTROL SYSTEMS INDIA LIMITED (XNSE:ZFCVINDIA)</v>
    <v>2</v>
    <v>3</v>
    <v>Finance</v>
    <v>4</v>
    <v>15848</v>
    <v>9561</v>
    <v>0.26150000000000001</v>
    <v>-35</v>
    <v>-2.3649999999999999E-3</v>
    <v>INR</v>
    <v>ZF Commercial Vehicle Control Systems India Limited is an India-based company, which is primarily engaged in the manufacturing of air brake actuation systems for commercial vehicles. The Company is also engaged in the rendering of software development and other services. The Company offers advanced braking systems, conventional braking products and related air-assisted technology and systems. It provides industry solutions in the autonomous, connected, and electric (ACE) domains to the commercial vehicle industry in India. It primarily operates in the automotive segment. The automotive segment includes all activities related to the development, design, and manufacture of products. The Company’s wholly owned subsidiary is ZF CV Control Systems Manufacturing India Private Limited, which is engaged in manufacturing and trading in auto ancillary parts for domestic and export markets. The Company has approximately six manufacturing facilities and an advanced technology development center.</v>
    <v>2488</v>
    <v>National Stock Exchange of India</v>
    <v>XNSE</v>
    <v>XNSE</v>
    <v>3 3rd Main Rd, Twp Colony, Old Ambattur, Attipatttu, Ambattur Industrial Estate, CHENNAI, TAMIL NADU, 600058 IN</v>
    <v>14973</v>
    <v>Automobiles &amp; Auto Parts</v>
    <v>Stock</v>
    <v>46017.492905092593</v>
    <v>1530</v>
    <v>14717</v>
    <v>280094300000</v>
    <v>ZF COMMERCIAL VEHICLE CONTROL SYSTEMS INDIA LIMITED</v>
    <v>ZF COMMERCIAL VEHICLE CONTROL SYSTEMS INDIA LIMITED</v>
    <v>14848</v>
    <v>58.15</v>
    <v>14802</v>
    <v>14767</v>
    <v>18967580</v>
    <v>ZFCVINDIA</v>
    <v>ZF COMMERCIAL VEHICLE CONTROL SYSTEMS INDIA LIMITED (XNSE:ZFCVINDIA)</v>
    <v>14416</v>
    <v>29050</v>
    <v>2004</v>
  </rv>
  <rv s="2">
    <v>1531</v>
  </rv>
  <rv s="0">
    <v>https://www.bing.com/financeapi/forcetrigger?t=ahkpgh&amp;q=XNSE%3aZEEL&amp;form=skydnc</v>
    <v>Learn more on Bing</v>
  </rv>
  <rv s="1">
    <v>en-US</v>
    <v>ahkpgh</v>
    <v>268435456</v>
    <v>1</v>
    <v>Powered by Refinitiv</v>
    <v>0</v>
    <v>Zee Entertainment Enterprises Limited (XNSE:ZEEL)</v>
    <v>2</v>
    <v>3</v>
    <v>Finance</v>
    <v>4</v>
    <v>151.69999999999999</v>
    <v>89.32</v>
    <v>1.3285</v>
    <v>-0.6</v>
    <v>-6.535E-3</v>
    <v>INR</v>
    <v>Zee Entertainment Enterprises Limited is an India-based content company offering entertainment content to diverse audiences. The Company is engaged in businesses, such as broadcasting of satellite television channels and digital media; space selling agent for other satellite television channels; sale of media content, such as programs/film rights/feeds/music rights, and movie production and distribution. Its entertainment platforms consist of Broadcast, which includes domestic and international; Digital, which includes over-the-top (OTT), content delivery, and technology &amp; innovation, and Movies &amp; Music, which includes movie production &amp; distribution, and music publishing. Its domestic broadcasting categories include Hindi General Entertainment Channels, Regional Entertainment Channels, Hindi Movie Cluster and Niche Channels. It serves the South Asian diaspora with channels and programming in Indian languages, as well as the international audience in their native languages as well.</v>
    <v>2486</v>
    <v>National Stock Exchange of India</v>
    <v>XNSE</v>
    <v>XNSE</v>
    <v>18th Floor, A - Wing, Marathon Futurex, Lower Parel, MUMBAI, MAHARASHTRA, 400013 IN</v>
    <v>92.64</v>
    <v>Media &amp; Publishing</v>
    <v>Stock</v>
    <v>46017.492905092593</v>
    <v>1533</v>
    <v>91.05</v>
    <v>88185290000</v>
    <v>Zee Entertainment Enterprises Limited</v>
    <v>Zee Entertainment Enterprises Limited</v>
    <v>91.81</v>
    <v>15.3119</v>
    <v>91.81</v>
    <v>91.21</v>
    <v>960519400</v>
    <v>ZEEL</v>
    <v>Zee Entertainment Enterprises Limited (XNSE:ZEEL)</v>
    <v>5028083</v>
    <v>6584370</v>
    <v>1982</v>
  </rv>
  <rv s="2">
    <v>1534</v>
  </rv>
  <rv s="0">
    <v>https://www.bing.com/financeapi/forcetrigger?t=ahkpur&amp;q=XNSE%3aZENSARTECH&amp;form=skydnc</v>
    <v>Learn more on Bing</v>
  </rv>
  <rv s="1">
    <v>en-US</v>
    <v>ahkpur</v>
    <v>268435456</v>
    <v>1</v>
    <v>Powered by Refinitiv</v>
    <v>0</v>
    <v>ZENSAR TECHNOLOGIES LIMITED (XNSE:ZENSARTECH)</v>
    <v>2</v>
    <v>3</v>
    <v>Finance</v>
    <v>4</v>
    <v>984.95</v>
    <v>535.85</v>
    <v>1.2173</v>
    <v>-16.45</v>
    <v>-2.2238999999999998E-2</v>
    <v>INR</v>
    <v>Zensar Technologies Limited provides digital solutions and technology services globally. It offers a range of information technology (IT) services and solutions. Its segments include Digital and Application Services and Cloud Infrastructure and Security. Its services include Product and platforms, which include accessibility, cloud transformation and operations, digital experience platforms, engineering and platforms, product and design, and product and experience strategy. Marketing and engagement include brand strategy and design, consulting, and marketing and insights. Data engineering and analytics include accelerated generative artificial intelligence (AI), automation, data engineering, and visualization and analytics. Application services include application management, enterprise change management, Oracle services, and quality engineering services. Cloud infrastructure and security services include digital security and digital workplace.</v>
    <v>9975</v>
    <v>National Stock Exchange of India</v>
    <v>XNSE</v>
    <v>XNSE</v>
    <v>Zensar Knowledge Park, Kharadi, Plot #4, MIDC, Off Nagar Road, PUNE, MAHARASHTRA, 411014 IN</v>
    <v>741.5</v>
    <v>Software &amp; IT Services</v>
    <v>Stock</v>
    <v>46017.492905092593</v>
    <v>1536</v>
    <v>720.65</v>
    <v>168213700000</v>
    <v>ZENSAR TECHNOLOGIES LIMITED</v>
    <v>ZENSAR TECHNOLOGIES LIMITED</v>
    <v>739.7</v>
    <v>23.453399999999998</v>
    <v>739.7</v>
    <v>723.25</v>
    <v>227408000</v>
    <v>ZENSARTECH</v>
    <v>ZENSAR TECHNOLOGIES LIMITED (XNSE:ZENSARTECH)</v>
    <v>129323</v>
    <v>225730</v>
    <v>1963</v>
  </rv>
  <rv s="2">
    <v>1537</v>
  </rv>
  <rv s="0">
    <v>https://www.bing.com/financeapi/forcetrigger?t=ahhmp2&amp;q=XNSE%3aECLERX&amp;form=skydnc</v>
    <v>Learn more on Bing</v>
  </rv>
  <rv s="1">
    <v>en-US</v>
    <v>ahhmp2</v>
    <v>268435456</v>
    <v>1</v>
    <v>Powered by Refinitiv</v>
    <v>0</v>
    <v>ECLERX SERVICES LIMITED (XNSE:ECLERX)</v>
    <v>2</v>
    <v>3</v>
    <v>Finance</v>
    <v>4</v>
    <v>4959</v>
    <v>2168</v>
    <v>0.60540000000000005</v>
    <v>-105.3</v>
    <v>-2.1998000000000004E-2</v>
    <v>INR</v>
    <v>eClerx Services Limited is an India-based industry-focused specialist services firm managing and improving complex data-driven processes. The Company provides business process management, automation and analytics services to various sectors, including financial services, communications, retail, fashion, media &amp; entertainment, manufacturing, travel &amp; leisure and technology companies. The Company's divisions include eClerx Customer Operations, eClerx Digital and eClerx Markets. eClerx Customer Operations include operations support, technology solutions, data analytics &amp; reporting, customer experience and consulting services. eClerx Digital includes data management, analytics &amp; insights, digital marketing operations, and creative services. eClerx Markets derivative trade support, cash securities operations, regulatory compliance &amp; data, document management, analytics, and technology products. Its products include Compliance Manager, Market360, Fluiid4, DocIntel and Merchandiser+.</v>
    <v>19000</v>
    <v>National Stock Exchange of India</v>
    <v>XNSE</v>
    <v>XNSE</v>
    <v>Sonawala Building, 1st Floor, 29 Bank Street, Fort, MUMBAI, MAHARASHTRA, 400023 IN</v>
    <v>4783</v>
    <v>Professional &amp; Commercial Services</v>
    <v>Stock</v>
    <v>46017.492881944447</v>
    <v>1539</v>
    <v>4669.8999999999996</v>
    <v>219674900000</v>
    <v>ECLERX SERVICES LIMITED</v>
    <v>ECLERX SERVICES LIMITED</v>
    <v>4783</v>
    <v>36.630000000000003</v>
    <v>4786.7</v>
    <v>4681.3999999999996</v>
    <v>46925050</v>
    <v>ECLERX</v>
    <v>ECLERX SERVICES LIMITED (XNSE:ECLERX)</v>
    <v>21459</v>
    <v>70950</v>
    <v>2000</v>
  </rv>
  <rv s="2">
    <v>1540</v>
  </rv>
</rvData>
</file>

<file path=xl/richData/rdrichvaluestructure.xml><?xml version="1.0" encoding="utf-8"?>
<rvStructures xmlns="http://schemas.microsoft.com/office/spreadsheetml/2017/richdata" count="15">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error">
    <k n="errorType" t="i"/>
    <k n="propagated" t="b"/>
  </s>
  <s t="_linkedentitycore">
    <k n="%EntityCulture" t="s"/>
    <k n="%EntityId" t="s"/>
    <k n="%EntityServiceId"/>
    <k n="%IsRefreshable" t="b"/>
    <k n="%ProviderInfo" t="s"/>
    <k n="_Display" t="spb"/>
    <k n="_DisplayString" t="s"/>
    <k n="_Flags" t="spb"/>
    <k n="_Format" t="spb"/>
    <k n="_Icon" t="s"/>
    <k n="_SubLabel" t="spb"/>
    <k n="52 week high"/>
    <k n="52 week low"/>
    <k n="Change"/>
    <k n="Change (%)"/>
    <k n="Country/region" t="s"/>
    <k n="High"/>
    <k n="Instrument type" t="s"/>
    <k n="LearnMoreOnLink" t="r"/>
    <k n="Low"/>
    <k n="Name" t="s"/>
    <k n="Open"/>
    <k n="Previous close"/>
    <k n="Price"/>
    <k n="Ticker symbol" t="s"/>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9">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Headquarters</v>
      <v t="s">Industry</v>
      <v t="s">Instrument type</v>
      <v t="s">Year incorporated</v>
      <v t="s">_Flags</v>
      <v t="s">UniqueName</v>
      <v t="s">_DisplayString</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28">
    <spb s="0">
      <v>0</v>
      <v>Name</v>
      <v>LearnMoreOnLink</v>
    </spb>
    <spb s="1">
      <v>0</v>
      <v>0</v>
      <v>0</v>
    </spb>
    <spb s="2">
      <v>1</v>
      <v>1</v>
      <v>1</v>
      <v>1</v>
    </spb>
    <spb s="3">
      <v>1</v>
      <v>2</v>
      <v>2</v>
      <v>1</v>
      <v>3</v>
      <v>1</v>
      <v>1</v>
      <v>1</v>
      <v>4</v>
      <v>4</v>
      <v>5</v>
      <v>6</v>
      <v>1</v>
      <v>1</v>
      <v>1</v>
      <v>4</v>
      <v>7</v>
      <v>8</v>
      <v>9</v>
      <v>4</v>
    </spb>
    <spb s="4">
      <v>Delayed 5 minutes</v>
      <v>from previous close</v>
      <v>from previous close</v>
      <v>GMT</v>
    </spb>
    <spb s="5">
      <v>1</v>
      <v>Name</v>
    </spb>
    <spb s="6">
      <v>1</v>
      <v>1</v>
      <v>1</v>
    </spb>
    <spb s="7">
      <v>1</v>
      <v>2</v>
      <v>1</v>
      <v>3</v>
      <v>1</v>
      <v>1</v>
      <v>1</v>
      <v>4</v>
      <v>4</v>
      <v>5</v>
      <v>6</v>
      <v>1</v>
      <v>1</v>
      <v>1</v>
      <v>4</v>
      <v>7</v>
      <v>8</v>
      <v>9</v>
      <v>4</v>
    </spb>
    <spb s="0">
      <v>2</v>
      <v>Name</v>
      <v>LearnMoreOnLink</v>
    </spb>
    <spb s="8">
      <v>0</v>
      <v>0</v>
    </spb>
    <spb s="9">
      <v>9</v>
      <v>1</v>
      <v>1</v>
      <v>1</v>
      <v>1</v>
    </spb>
    <spb s="10">
      <v>1</v>
      <v>2</v>
      <v>2</v>
      <v>1</v>
      <v>3</v>
      <v>1</v>
      <v>10</v>
      <v>1</v>
      <v>1</v>
      <v>4</v>
      <v>4</v>
      <v>5</v>
      <v>6</v>
      <v>1</v>
      <v>1</v>
      <v>1</v>
      <v>4</v>
      <v>7</v>
      <v>8</v>
      <v>9</v>
      <v>4</v>
    </spb>
    <spb s="11">
      <v>Powered by Refinitiv</v>
    </spb>
    <spb s="5">
      <v>3</v>
      <v>Name</v>
    </spb>
    <spb s="12">
      <v>1</v>
      <v>2</v>
      <v>2</v>
      <v>1</v>
      <v>3</v>
      <v>1</v>
      <v>1</v>
      <v>1</v>
      <v>4</v>
      <v>5</v>
      <v>6</v>
      <v>1</v>
      <v>1</v>
      <v>1</v>
      <v>4</v>
      <v>7</v>
      <v>8</v>
      <v>9</v>
      <v>4</v>
    </spb>
    <spb s="0">
      <v>4</v>
      <v>Name</v>
      <v>LearnMoreOnLink</v>
    </spb>
    <spb s="13">
      <v>1</v>
      <v>1</v>
      <v>1</v>
    </spb>
    <spb s="14">
      <v>1</v>
      <v>2</v>
      <v>1</v>
      <v>3</v>
      <v>1</v>
      <v>1</v>
      <v>1</v>
      <v>4</v>
      <v>5</v>
      <v>6</v>
      <v>1</v>
      <v>1</v>
      <v>5</v>
      <v>1</v>
      <v>7</v>
      <v>9</v>
    </spb>
    <spb s="5">
      <v>5</v>
      <v>Name</v>
    </spb>
    <spb s="0">
      <v>6</v>
      <v>Name</v>
      <v>LearnMoreOnLink</v>
    </spb>
    <spb s="15">
      <v>1</v>
      <v>2</v>
      <v>2</v>
      <v>1</v>
      <v>3</v>
      <v>1</v>
      <v>1</v>
      <v>1</v>
      <v>4</v>
      <v>4</v>
      <v>5</v>
      <v>6</v>
      <v>1</v>
      <v>1</v>
      <v>1</v>
      <v>4</v>
      <v>7</v>
      <v>9</v>
      <v>4</v>
    </spb>
    <spb s="0">
      <v>7</v>
      <v>Name</v>
      <v>LearnMoreOnLink</v>
    </spb>
    <spb s="16">
      <v>1</v>
      <v>1</v>
      <v>3</v>
      <v>1</v>
      <v>1</v>
      <v>1</v>
      <v>5</v>
      <v>1</v>
      <v>1</v>
      <v>1</v>
      <v>9</v>
    </spb>
    <spb s="17">
      <v>from previous close</v>
      <v>from previous close</v>
    </spb>
    <spb s="4">
      <v>Delayed 15 minutes</v>
      <v>from previous close</v>
      <v>from previous close</v>
      <v>GMT</v>
    </spb>
    <spb s="0">
      <v>8</v>
      <v>Name</v>
      <v>LearnMoreOnLink</v>
    </spb>
    <spb s="18">
      <v>1</v>
      <v>2</v>
      <v>2</v>
      <v>1</v>
      <v>3</v>
      <v>1</v>
      <v>1</v>
      <v>1</v>
      <v>4</v>
      <v>4</v>
      <v>5</v>
      <v>6</v>
      <v>1</v>
      <v>1</v>
      <v>1</v>
      <v>4</v>
      <v>7</v>
      <v>8</v>
      <v>9</v>
      <v>4</v>
      <v>1</v>
      <v>1</v>
      <v>5</v>
    </spb>
    <spb s="19">
      <v>at close</v>
      <v>from previous close</v>
      <v>from previous close</v>
      <v>GMT</v>
      <v>Delayed 5 minutes</v>
      <v>from close</v>
      <v>from close</v>
    </spb>
  </spbData>
</supportingPropertyBags>
</file>

<file path=xl/richData/rdsupportingpropertybagstructure.xml><?xml version="1.0" encoding="utf-8"?>
<spbStructures xmlns="http://schemas.microsoft.com/office/spreadsheetml/2017/richdata2" count="20">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Order" t="spba"/>
    <k n="TitleProperty" t="s"/>
  </s>
  <s>
    <k n="ExchangeID" t="spb"/>
    <k n="UniqueName" t="spb"/>
    <k n="`%ProviderInfo" t="spb"/>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P/E"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Low" t="i"/>
    <k n="High" t="i"/>
    <k n="Name" t="i"/>
    <k n="Open" t="i"/>
    <k n="Price" t="i"/>
    <k n="Change" t="i"/>
    <k n="Change (%)" t="i"/>
    <k n="52 week low" t="i"/>
    <k n="52 week high" t="i"/>
    <k n="Previous close" t="i"/>
    <k n="`%EntityServiceId" t="i"/>
  </s>
  <s>
    <k n="Change" t="s"/>
    <k n="Change (%)"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 xml:space="preserve">_ [$₹-as-IN] * #,##0.00_ ;_ [$₹-as-IN] * -#,##0.00_ ;_ [$₹-as-IN] * "-"??_ ;_ @_ </rpv>
    </rSty>
    <rSty dxfid="5">
      <rpv i="0">#,##0.00</rpv>
    </rSty>
    <rSty>
      <rpv i="1">1</rpv>
    </rSty>
    <rSty dxfid="4">
      <rpv i="0">#,##0</rpv>
    </rSty>
    <rSty dxfid="3"/>
    <rSty dxfid="1">
      <rpv i="0" xml:space="preserve">_ [$₹-as-IN] * #,##0_ ;_ [$₹-as-IN] * -#,##0_ ;_ [$₹-as-IN] * "-"_ ;_ @_ </rpv>
    </rSty>
    <rSty dxfid="2"/>
    <rSty dxfid="6">
      <rpv i="0">0</rpv>
    </rSty>
    <rSty dxfid="0">
      <rpv i="0">0.00</rpv>
    </rSty>
    <rSty>
      <rpv i="2">1</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P134"/>
  <sheetViews>
    <sheetView tabSelected="1" workbookViewId="0">
      <selection activeCell="A2" sqref="A2"/>
    </sheetView>
  </sheetViews>
  <sheetFormatPr defaultRowHeight="15"/>
  <cols>
    <col min="1" max="1" width="44.140625" customWidth="1"/>
    <col min="2" max="2" width="19" customWidth="1"/>
    <col min="3" max="8" width="12.140625" bestFit="1" customWidth="1"/>
    <col min="9" max="9" width="34.7109375" customWidth="1"/>
    <col min="10" max="10" width="16.28515625" bestFit="1" customWidth="1"/>
    <col min="11" max="11" width="16.42578125" bestFit="1" customWidth="1"/>
    <col min="12" max="12" width="10.140625" bestFit="1" customWidth="1"/>
    <col min="13" max="13" width="39.5703125" bestFit="1" customWidth="1"/>
  </cols>
  <sheetData>
    <row r="1" spans="1:15" ht="23.25">
      <c r="A1" s="67" t="s">
        <v>0</v>
      </c>
      <c r="B1" s="68" t="s">
        <v>1</v>
      </c>
      <c r="C1" s="67" t="s">
        <v>2</v>
      </c>
      <c r="D1" s="67" t="s">
        <v>3</v>
      </c>
      <c r="E1" s="67" t="s">
        <v>4</v>
      </c>
      <c r="F1" s="67" t="s">
        <v>5</v>
      </c>
      <c r="G1" s="67" t="s">
        <v>6</v>
      </c>
      <c r="H1" s="67" t="s">
        <v>7</v>
      </c>
      <c r="I1" s="67" t="s">
        <v>8</v>
      </c>
      <c r="J1" s="67" t="s">
        <v>9</v>
      </c>
      <c r="K1" s="67" t="s">
        <v>10</v>
      </c>
      <c r="L1" s="67" t="s">
        <v>11</v>
      </c>
      <c r="M1" s="67" t="s">
        <v>12</v>
      </c>
    </row>
    <row r="2" spans="1:15">
      <c r="A2" s="69" t="e" vm="1">
        <v>#VALUE!</v>
      </c>
      <c r="B2" s="70">
        <f t="array" aca="1" ref="B2" ca="1">_FV(A2,"Change (%)",TRUE)</f>
        <v>-8.6909999999999991E-3</v>
      </c>
      <c r="C2" s="71">
        <f t="array" aca="1" ref="C2" ca="1">_FV(A2,"Previous close",TRUE)</f>
        <v>379.7</v>
      </c>
      <c r="D2" s="71">
        <f t="array" aca="1" ref="D2" ca="1">_FV(A2,"Price")</f>
        <v>376.4</v>
      </c>
      <c r="E2" s="71">
        <f t="array" aca="1" ref="E2" ca="1">_FV(A2,"Low")</f>
        <v>375.55</v>
      </c>
      <c r="F2" s="71">
        <f t="array" aca="1" ref="F2" ca="1">_FV(A2,"High")</f>
        <v>382.8</v>
      </c>
      <c r="G2" s="71">
        <f t="array" aca="1" ref="G2" ca="1">_FV(A2,"52 week low",TRUE)</f>
        <v>344.2</v>
      </c>
      <c r="H2" s="72">
        <f t="array" aca="1" ref="H2" ca="1">_FV(A2,"52 week high",TRUE)</f>
        <v>495</v>
      </c>
      <c r="I2" s="73">
        <f t="shared" ref="I2:I33" ca="1" si="0">(H2-D2)*100/H2</f>
        <v>23.959595959595962</v>
      </c>
      <c r="J2" s="74" t="str">
        <f t="shared" ref="J2:J33" ca="1" si="1">IF(AND(L2="HLC", I2&gt;12), "SURE HLC BUY",IF(AND(L2="HLC", I2&gt;7), "FIRST HLC BUY",IF(AND(L2="LC", I2&gt;20), "SURE LC BUY",IF(AND(L2="LC", I2&gt;10), "LC BUY",IF(AND(L2="HMC", I2&gt;30), "SURE HMC BUY",IF(AND(L2="HMC", I2&gt;20), "HMC BUY",IF(AND(L2="HMC", I2&gt;15), "FIRST HMC BUY",IF(AND(L2="MC", I2&gt;40), "SURE MC BUY",IF(AND(L2="MC", I2&gt;30), "MC BUY",IF(AND(L2="MC", I2&gt;20), "FIRST MC BUY",IF(AND(L2="HSC", I2&gt;60), "SURE HSC BUY",IF(AND(L2="HSC", I2&gt;50), "HSC BUY",IF(AND(L2="HSC", I2&gt;40), "FIRST HSC BUY",IF(AND(L2="SC", I2&gt;70), "SURE SC BUY",IF(AND(L2="SC", I2&gt;60), "SC BUY",IF(AND(L2="SC", I2&gt;50), "FIRST SC BUY",IF(AND(L2="VSC", I2&gt;80), "SURE VSC BUY",IF(AND(L2="VSC", I2&gt;70), "VSC BUY",IF(AND(L2="VSC", I2&gt;60), "FIRST VSC BUY","WATCH")))))))))))))))))))</f>
        <v>FIRST MC BUY</v>
      </c>
      <c r="K2" s="75">
        <f t="array" aca="1" ref="K2" ca="1">_FV(A2,"Market cap",TRUE)/10000000</f>
        <v>13648.03</v>
      </c>
      <c r="L2" s="76" t="str">
        <f t="shared" ref="L2:L33" ca="1" si="2">IF(K2&gt;500000,"HLC",IF(K2 &gt;100000,"LC",IF(K2 &gt;40000,"HMC",IF(K2 &gt;10000,"MC",IF(K2 &gt;=5000,"HSC",IF(K2 &gt;1000,"SC","VSC"))))))</f>
        <v>MC</v>
      </c>
      <c r="M2" s="77" t="str">
        <f t="array" aca="1" ref="M2" ca="1">_FV(A2,"Industry")</f>
        <v>Chemicals</v>
      </c>
    </row>
    <row r="3" spans="1:15">
      <c r="A3" s="69" t="e" vm="2">
        <v>#VALUE!</v>
      </c>
      <c r="B3" s="70">
        <f t="array" aca="1" ref="B3" ca="1">_FV(A3,"Change (%)",TRUE)</f>
        <v>-2.2768999999999998E-2</v>
      </c>
      <c r="C3" s="71">
        <f t="array" aca="1" ref="C3" ca="1">_FV(A3,"Previous close",TRUE)</f>
        <v>759.8</v>
      </c>
      <c r="D3" s="71">
        <f t="array" aca="1" ref="D3" ca="1">_FV(A3,"Price")</f>
        <v>742.5</v>
      </c>
      <c r="E3" s="71">
        <f t="array" aca="1" ref="E3" ca="1">_FV(A3,"Low")</f>
        <v>740.6</v>
      </c>
      <c r="F3" s="71">
        <f t="array" aca="1" ref="F3" ca="1">_FV(A3,"High")</f>
        <v>759.8</v>
      </c>
      <c r="G3" s="71">
        <f t="array" aca="1" ref="G3" ca="1">_FV(A3,"52 week low",TRUE)</f>
        <v>559.9</v>
      </c>
      <c r="H3" s="72">
        <f t="array" aca="1" ref="H3" ca="1">_FV(A3,"52 week high",TRUE)</f>
        <v>971</v>
      </c>
      <c r="I3" s="73">
        <f t="shared" ca="1" si="0"/>
        <v>23.532440782698249</v>
      </c>
      <c r="J3" s="74" t="str">
        <f t="shared" ca="1" si="1"/>
        <v>WATCH</v>
      </c>
      <c r="K3" s="75">
        <f t="array" aca="1" ref="K3" ca="1">_FV(A3,"Market cap",TRUE)/10000000</f>
        <v>6887.3810000000003</v>
      </c>
      <c r="L3" s="76" t="str">
        <f t="shared" ca="1" si="2"/>
        <v>HSC</v>
      </c>
      <c r="M3" s="77" t="str">
        <f t="array" aca="1" ref="M3" ca="1">_FV(A3,"Industry")</f>
        <v>Pharmaceuticals</v>
      </c>
    </row>
    <row r="4" spans="1:15">
      <c r="A4" s="69" t="e" vm="3">
        <v>#VALUE!</v>
      </c>
      <c r="B4" s="70">
        <f t="array" aca="1" ref="B4" ca="1">_FV(A4,"Change (%)",TRUE)</f>
        <v>-6.136E-3</v>
      </c>
      <c r="C4" s="71">
        <f t="array" aca="1" ref="C4" ca="1">_FV(A4,"Previous close",TRUE)</f>
        <v>5215</v>
      </c>
      <c r="D4" s="71">
        <f t="array" aca="1" ref="D4" ca="1">_FV(A4,"Price")</f>
        <v>5183</v>
      </c>
      <c r="E4" s="71">
        <f t="array" aca="1" ref="E4" ca="1">_FV(A4,"Low")</f>
        <v>5164.5</v>
      </c>
      <c r="F4" s="71">
        <f t="array" aca="1" ref="F4" ca="1">_FV(A4,"High")</f>
        <v>5244.5</v>
      </c>
      <c r="G4" s="71">
        <f t="array" aca="1" ref="G4" ca="1">_FV(A4,"52 week low",TRUE)</f>
        <v>4684.45</v>
      </c>
      <c r="H4" s="72">
        <f t="array" aca="1" ref="H4" ca="1">_FV(A4,"52 week high",TRUE)</f>
        <v>7056</v>
      </c>
      <c r="I4" s="73">
        <f t="shared" ca="1" si="0"/>
        <v>26.544784580498867</v>
      </c>
      <c r="J4" s="74" t="str">
        <f t="shared" ca="1" si="1"/>
        <v>SURE LC BUY</v>
      </c>
      <c r="K4" s="75">
        <f t="array" aca="1" ref="K4" ca="1">_FV(A4,"Market cap",TRUE)/10000000</f>
        <v>109832.1</v>
      </c>
      <c r="L4" s="76" t="str">
        <f t="shared" ca="1" si="2"/>
        <v>LC</v>
      </c>
      <c r="M4" s="77" t="str">
        <f t="array" aca="1" ref="M4" ca="1">_FV(A4,"Industry")</f>
        <v>Machinery, Equipment &amp; Components</v>
      </c>
    </row>
    <row r="5" spans="1:15">
      <c r="A5" s="69" t="e" vm="4">
        <v>#VALUE!</v>
      </c>
      <c r="B5" s="70">
        <f t="array" aca="1" ref="B5" ca="1">_FV(A5,"Change (%)",TRUE)</f>
        <v>3.2390000000000001E-3</v>
      </c>
      <c r="C5" s="71">
        <f t="array" aca="1" ref="C5" ca="1">_FV(A5,"Previous close",TRUE)</f>
        <v>2222.6999999999998</v>
      </c>
      <c r="D5" s="71">
        <f t="array" aca="1" ref="D5" ca="1">_FV(A5,"Price")</f>
        <v>2229.9</v>
      </c>
      <c r="E5" s="71">
        <f t="array" aca="1" ref="E5" ca="1">_FV(A5,"Low")</f>
        <v>2218</v>
      </c>
      <c r="F5" s="71">
        <f t="array" aca="1" ref="F5" ca="1">_FV(A5,"High")</f>
        <v>2250.9</v>
      </c>
      <c r="G5" s="71">
        <f t="array" aca="1" ref="G5" ca="1">_FV(A5,"52 week low",TRUE)</f>
        <v>1964.71</v>
      </c>
      <c r="H5" s="72">
        <f t="array" aca="1" ref="H5" ca="1">_FV(A5,"52 week high",TRUE)</f>
        <v>2612.7600000000002</v>
      </c>
      <c r="I5" s="73">
        <f t="shared" ca="1" si="0"/>
        <v>14.653469893905299</v>
      </c>
      <c r="J5" s="74" t="str">
        <f t="shared" ca="1" si="1"/>
        <v>LC BUY</v>
      </c>
      <c r="K5" s="75">
        <f t="array" aca="1" ref="K5" ca="1">_FV(A5,"Market cap",TRUE)/10000000</f>
        <v>275121.09999999998</v>
      </c>
      <c r="L5" s="76" t="str">
        <f t="shared" ca="1" si="2"/>
        <v>LC</v>
      </c>
      <c r="M5" s="77" t="str">
        <f t="array" aca="1" ref="M5" ca="1">_FV(A5,"Industry")</f>
        <v>Diversified Industrial Goods Wholesale</v>
      </c>
    </row>
    <row r="6" spans="1:15">
      <c r="A6" s="69" t="e" vm="5">
        <v>#VALUE!</v>
      </c>
      <c r="B6" s="70">
        <f t="array" aca="1" ref="B6" ca="1">_FV(A6,"Change (%)",TRUE)</f>
        <v>3.0539999999999999E-3</v>
      </c>
      <c r="C6" s="71">
        <f t="array" aca="1" ref="C6" ca="1">_FV(A6,"Previous close",TRUE)</f>
        <v>1015</v>
      </c>
      <c r="D6" s="71">
        <f t="array" aca="1" ref="D6" ca="1">_FV(A6,"Price")</f>
        <v>1018.1</v>
      </c>
      <c r="E6" s="71">
        <f t="array" aca="1" ref="E6" ca="1">_FV(A6,"Low")</f>
        <v>1011.5</v>
      </c>
      <c r="F6" s="71">
        <f t="array" aca="1" ref="F6" ca="1">_FV(A6,"High")</f>
        <v>1027</v>
      </c>
      <c r="G6" s="71">
        <f t="array" aca="1" ref="G6" ca="1">_FV(A6,"52 week low",TRUE)</f>
        <v>758</v>
      </c>
      <c r="H6" s="72">
        <f t="array" aca="1" ref="H6" ca="1">_FV(A6,"52 week high",TRUE)</f>
        <v>1177.55</v>
      </c>
      <c r="I6" s="73">
        <f t="shared" ca="1" si="0"/>
        <v>13.540826291877197</v>
      </c>
      <c r="J6" s="74" t="str">
        <f t="shared" ca="1" si="1"/>
        <v>LC BUY</v>
      </c>
      <c r="K6" s="75">
        <f t="array" aca="1" ref="K6" ca="1">_FV(A6,"Market cap",TRUE)/10000000</f>
        <v>167188.4</v>
      </c>
      <c r="L6" s="76" t="str">
        <f t="shared" ca="1" si="2"/>
        <v>LC</v>
      </c>
      <c r="M6" s="77" t="str">
        <f t="array" aca="1" ref="M6" ca="1">_FV(A6,"Industry")</f>
        <v>Electrical Utilities &amp; IPPs</v>
      </c>
    </row>
    <row r="7" spans="1:15">
      <c r="A7" s="69" t="e" vm="6">
        <v>#VALUE!</v>
      </c>
      <c r="B7" s="70">
        <f t="array" aca="1" ref="B7" ca="1">_FV(A7,"Change (%)",TRUE)</f>
        <v>7.3010000000000002E-4</v>
      </c>
      <c r="C7" s="71">
        <f t="array" aca="1" ref="C7" ca="1">_FV(A7,"Previous close",TRUE)</f>
        <v>1780.6</v>
      </c>
      <c r="D7" s="71">
        <f t="array" aca="1" ref="D7" ca="1">_FV(A7,"Price")</f>
        <v>1781.9</v>
      </c>
      <c r="E7" s="71">
        <f t="array" aca="1" ref="E7" ca="1">_FV(A7,"Low")</f>
        <v>1748</v>
      </c>
      <c r="F7" s="71">
        <f t="array" aca="1" ref="F7" ca="1">_FV(A7,"High")</f>
        <v>1786.2</v>
      </c>
      <c r="G7" s="71">
        <f t="array" aca="1" ref="G7" ca="1">_FV(A7,"52 week low",TRUE)</f>
        <v>1246</v>
      </c>
      <c r="H7" s="72">
        <f t="array" aca="1" ref="H7" ca="1">_FV(A7,"52 week high",TRUE)</f>
        <v>2185.9</v>
      </c>
      <c r="I7" s="73">
        <f t="shared" ca="1" si="0"/>
        <v>18.482089757079464</v>
      </c>
      <c r="J7" s="74" t="str">
        <f t="shared" ca="1" si="1"/>
        <v>WATCH</v>
      </c>
      <c r="K7" s="75">
        <f t="array" aca="1" ref="K7" ca="1">_FV(A7,"Market cap",TRUE)/10000000</f>
        <v>25046.15</v>
      </c>
      <c r="L7" s="76" t="str">
        <f t="shared" ca="1" si="2"/>
        <v>MC</v>
      </c>
      <c r="M7" s="78" t="str">
        <f t="array" aca="1" ref="M7" ca="1">_FV(A7,"Industry")</f>
        <v>Media &amp; Publishing</v>
      </c>
    </row>
    <row r="8" spans="1:15">
      <c r="A8" s="69" t="e" vm="7">
        <v>#VALUE!</v>
      </c>
      <c r="B8" s="70">
        <f t="array" aca="1" ref="B8" ca="1">_FV(A8,"Change (%)",TRUE)</f>
        <v>-1.5139999999999999E-4</v>
      </c>
      <c r="C8" s="71">
        <f t="array" aca="1" ref="C8" ca="1">_FV(A8,"Previous close",TRUE)</f>
        <v>1321</v>
      </c>
      <c r="D8" s="71">
        <f t="array" aca="1" ref="D8" ca="1">_FV(A8,"Price")</f>
        <v>1320.8</v>
      </c>
      <c r="E8" s="71">
        <f t="array" aca="1" ref="E8" ca="1">_FV(A8,"Low")</f>
        <v>1308.5999999999999</v>
      </c>
      <c r="F8" s="71">
        <f t="array" aca="1" ref="F8" ca="1">_FV(A8,"High")</f>
        <v>1329.2</v>
      </c>
      <c r="G8" s="71">
        <f t="array" aca="1" ref="G8" ca="1">_FV(A8,"52 week low",TRUE)</f>
        <v>601</v>
      </c>
      <c r="H8" s="72">
        <f t="array" aca="1" ref="H8" ca="1">_FV(A8,"52 week high",TRUE)</f>
        <v>1346</v>
      </c>
      <c r="I8" s="73">
        <f t="shared" ca="1" si="0"/>
        <v>1.8722139673105531</v>
      </c>
      <c r="J8" s="74" t="str">
        <f t="shared" ca="1" si="1"/>
        <v>WATCH</v>
      </c>
      <c r="K8" s="75">
        <f t="array" aca="1" ref="K8" ca="1">_FV(A8,"Market cap",TRUE)/10000000</f>
        <v>15037.08</v>
      </c>
      <c r="L8" s="76" t="str">
        <f t="shared" ca="1" si="2"/>
        <v>MC</v>
      </c>
      <c r="M8" s="77" t="str">
        <f t="array" aca="1" ref="M8" ca="1">_FV(A8,"Industry")</f>
        <v>Chemicals</v>
      </c>
      <c r="O8">
        <v>1</v>
      </c>
    </row>
    <row r="9" spans="1:15">
      <c r="A9" s="69" t="e" vm="8">
        <v>#VALUE!</v>
      </c>
      <c r="B9" s="70">
        <f t="array" aca="1" ref="B9" ca="1">_FV(A9,"Change (%)",TRUE)</f>
        <v>-5.3490000000000005E-3</v>
      </c>
      <c r="C9" s="71">
        <f t="array" aca="1" ref="C9" ca="1">_FV(A9,"Previous close",TRUE)</f>
        <v>925.35</v>
      </c>
      <c r="D9" s="71">
        <f t="array" aca="1" ref="D9" ca="1">_FV(A9,"Price")</f>
        <v>920.4</v>
      </c>
      <c r="E9" s="71">
        <f t="array" aca="1" ref="E9" ca="1">_FV(A9,"Low")</f>
        <v>919.1</v>
      </c>
      <c r="F9" s="71">
        <f t="array" aca="1" ref="F9" ca="1">_FV(A9,"High")</f>
        <v>927.5</v>
      </c>
      <c r="G9" s="71">
        <f t="array" aca="1" ref="G9" ca="1">_FV(A9,"52 week low",TRUE)</f>
        <v>832.3</v>
      </c>
      <c r="H9" s="72">
        <f t="array" aca="1" ref="H9" ca="1">_FV(A9,"52 week high",TRUE)</f>
        <v>1242</v>
      </c>
      <c r="I9" s="73">
        <f t="shared" ca="1" si="0"/>
        <v>25.893719806763286</v>
      </c>
      <c r="J9" s="74" t="str">
        <f t="shared" ca="1" si="1"/>
        <v>FIRST MC BUY</v>
      </c>
      <c r="K9" s="75">
        <f t="array" aca="1" ref="K9" ca="1">_FV(A9,"Market cap",TRUE)/10000000</f>
        <v>16936.25</v>
      </c>
      <c r="L9" s="76" t="str">
        <f t="shared" ca="1" si="2"/>
        <v>MC</v>
      </c>
      <c r="M9" s="77" t="str">
        <f t="array" aca="1" ref="M9" ca="1">_FV(A9,"Industry")</f>
        <v>Machinery, Equipment &amp; Components</v>
      </c>
    </row>
    <row r="10" spans="1:15">
      <c r="A10" s="69" t="e" vm="9">
        <v>#VALUE!</v>
      </c>
      <c r="B10" s="70">
        <f t="array" aca="1" ref="B10" ca="1">_FV(A10,"Change (%)",TRUE)</f>
        <v>-1.0337000000000001E-2</v>
      </c>
      <c r="C10" s="71">
        <f t="array" aca="1" ref="C10" ca="1">_FV(A10,"Previous close",TRUE)</f>
        <v>172.19</v>
      </c>
      <c r="D10" s="71">
        <f t="array" aca="1" ref="D10" ca="1">_FV(A10,"Price")</f>
        <v>170.41</v>
      </c>
      <c r="E10" s="71">
        <f t="array" aca="1" ref="E10" ca="1">_FV(A10,"Low")</f>
        <v>170.07</v>
      </c>
      <c r="F10" s="71">
        <f t="array" aca="1" ref="F10" ca="1">_FV(A10,"High")</f>
        <v>173.39</v>
      </c>
      <c r="G10" s="71">
        <f t="array" aca="1" ref="G10" ca="1">_FV(A10,"52 week low",TRUE)</f>
        <v>159.22999999999999</v>
      </c>
      <c r="H10" s="72">
        <f t="array" aca="1" ref="H10" ca="1">_FV(A10,"52 week high",TRUE)</f>
        <v>319</v>
      </c>
      <c r="I10" s="73">
        <f t="shared" ca="1" si="0"/>
        <v>46.579937304075237</v>
      </c>
      <c r="J10" s="74" t="str">
        <f t="shared" ca="1" si="1"/>
        <v>WATCH</v>
      </c>
      <c r="K10" s="75">
        <f t="array" aca="1" ref="K10" ca="1">_FV(A10,"Market cap",TRUE)/10000000</f>
        <v>4833.7730000000001</v>
      </c>
      <c r="L10" s="76" t="str">
        <f t="shared" ca="1" si="2"/>
        <v>SC</v>
      </c>
      <c r="M10" s="78" t="str">
        <f t="array" aca="1" ref="M10" ca="1">_FV(A10,"Industry")</f>
        <v>Construction &amp; Engineering</v>
      </c>
    </row>
    <row r="11" spans="1:15">
      <c r="A11" s="69" t="e" vm="10">
        <v>#VALUE!</v>
      </c>
      <c r="B11" s="70">
        <f t="array" aca="1" ref="B11" ca="1">_FV(A11,"Change (%)",TRUE)</f>
        <v>-1.4001E-2</v>
      </c>
      <c r="C11" s="71">
        <f t="array" aca="1" ref="C11" ca="1">_FV(A11,"Previous close",TRUE)</f>
        <v>2785.5</v>
      </c>
      <c r="D11" s="71">
        <f t="array" aca="1" ref="D11" ca="1">_FV(A11,"Price")</f>
        <v>2746.5</v>
      </c>
      <c r="E11" s="71">
        <f t="array" aca="1" ref="E11" ca="1">_FV(A11,"Low")</f>
        <v>2743</v>
      </c>
      <c r="F11" s="71">
        <f t="array" aca="1" ref="F11" ca="1">_FV(A11,"High")</f>
        <v>2794.4</v>
      </c>
      <c r="G11" s="71">
        <f t="array" aca="1" ref="G11" ca="1">_FV(A11,"52 week low",TRUE)</f>
        <v>2124.75</v>
      </c>
      <c r="H11" s="72">
        <f t="array" aca="1" ref="H11" ca="1">_FV(A11,"52 week high",TRUE)</f>
        <v>2985.7</v>
      </c>
      <c r="I11" s="73">
        <f t="shared" ca="1" si="0"/>
        <v>8.0115215862276798</v>
      </c>
      <c r="J11" s="74" t="str">
        <f t="shared" ca="1" si="1"/>
        <v>WATCH</v>
      </c>
      <c r="K11" s="75">
        <f t="array" aca="1" ref="K11" ca="1">_FV(A11,"Market cap",TRUE)/10000000</f>
        <v>263273.5</v>
      </c>
      <c r="L11" s="76" t="str">
        <f t="shared" ca="1" si="2"/>
        <v>LC</v>
      </c>
      <c r="M11" s="77" t="str">
        <f t="array" aca="1" ref="M11" ca="1">_FV(A11,"Industry")</f>
        <v>Chemicals</v>
      </c>
    </row>
    <row r="12" spans="1:15">
      <c r="A12" s="69" t="e" vm="11">
        <v>#VALUE!</v>
      </c>
      <c r="B12" s="70">
        <f t="array" aca="1" ref="B12" ca="1">_FV(A12,"Change (%)",TRUE)</f>
        <v>-4.7260000000000002E-3</v>
      </c>
      <c r="C12" s="71">
        <f t="array" aca="1" ref="C12" ca="1">_FV(A12,"Previous close",TRUE)</f>
        <v>1396.6</v>
      </c>
      <c r="D12" s="71">
        <f t="array" aca="1" ref="D12" ca="1">_FV(A12,"Price")</f>
        <v>1390</v>
      </c>
      <c r="E12" s="71">
        <f t="array" aca="1" ref="E12" ca="1">_FV(A12,"Low")</f>
        <v>1386</v>
      </c>
      <c r="F12" s="71">
        <f t="array" aca="1" ref="F12" ca="1">_FV(A12,"High")</f>
        <v>1399.9</v>
      </c>
      <c r="G12" s="71">
        <f t="array" aca="1" ref="G12" ca="1">_FV(A12,"52 week low",TRUE)</f>
        <v>1232.3</v>
      </c>
      <c r="H12" s="72">
        <f t="array" aca="1" ref="H12" ca="1">_FV(A12,"52 week high",TRUE)</f>
        <v>1747.95</v>
      </c>
      <c r="I12" s="73">
        <f t="shared" ca="1" si="0"/>
        <v>20.478274550187365</v>
      </c>
      <c r="J12" s="74" t="str">
        <f t="shared" ca="1" si="1"/>
        <v>FIRST MC BUY</v>
      </c>
      <c r="K12" s="75">
        <f t="array" aca="1" ref="K12" ca="1">_FV(A12,"Market cap",TRUE)/10000000</f>
        <v>37519.68</v>
      </c>
      <c r="L12" s="76" t="str">
        <f t="shared" ca="1" si="2"/>
        <v>MC</v>
      </c>
      <c r="M12" s="77" t="str">
        <f t="array" aca="1" ref="M12" ca="1">_FV(A12,"Industry")</f>
        <v>Homebuilding &amp; Construction Supplies</v>
      </c>
    </row>
    <row r="13" spans="1:15">
      <c r="A13" s="69" t="e" vm="12">
        <v>#VALUE!</v>
      </c>
      <c r="B13" s="70">
        <f t="array" aca="1" ref="B13" ca="1">_FV(A13,"Change (%)",TRUE)</f>
        <v>-1.0730000000000002E-3</v>
      </c>
      <c r="C13" s="71">
        <f t="array" aca="1" ref="C13" ca="1">_FV(A13,"Previous close",TRUE)</f>
        <v>6055</v>
      </c>
      <c r="D13" s="71">
        <f t="array" aca="1" ref="D13" ca="1">_FV(A13,"Price")</f>
        <v>6048.5</v>
      </c>
      <c r="E13" s="71">
        <f t="array" aca="1" ref="E13" ca="1">_FV(A13,"Low")</f>
        <v>6010</v>
      </c>
      <c r="F13" s="71">
        <f t="array" aca="1" ref="F13" ca="1">_FV(A13,"High")</f>
        <v>6095</v>
      </c>
      <c r="G13" s="71">
        <f t="array" aca="1" ref="G13" ca="1">_FV(A13,"52 week low",TRUE)</f>
        <v>4752</v>
      </c>
      <c r="H13" s="72">
        <f t="array" aca="1" ref="H13" ca="1">_FV(A13,"52 week high",TRUE)</f>
        <v>7788</v>
      </c>
      <c r="I13" s="73">
        <f t="shared" ca="1" si="0"/>
        <v>22.335644581407294</v>
      </c>
      <c r="J13" s="74" t="str">
        <f t="shared" ca="1" si="1"/>
        <v>FIRST MC BUY</v>
      </c>
      <c r="K13" s="75">
        <f t="array" aca="1" ref="K13" ca="1">_FV(A13,"Market cap",TRUE)/10000000</f>
        <v>17826.98</v>
      </c>
      <c r="L13" s="76" t="str">
        <f t="shared" ca="1" si="2"/>
        <v>MC</v>
      </c>
      <c r="M13" s="78" t="str">
        <f t="array" aca="1" ref="M13" ca="1">_FV(A13,"Industry")</f>
        <v>Chemicals</v>
      </c>
    </row>
    <row r="14" spans="1:15">
      <c r="A14" s="69" t="e" vm="13">
        <v>#VALUE!</v>
      </c>
      <c r="B14" s="70">
        <f t="array" aca="1" ref="B14" ca="1">_FV(A14,"Change (%)",TRUE)</f>
        <v>9.2399999999999991E-4</v>
      </c>
      <c r="C14" s="71">
        <f t="array" aca="1" ref="C14" ca="1">_FV(A14,"Previous close",TRUE)</f>
        <v>974.05</v>
      </c>
      <c r="D14" s="71">
        <f t="array" aca="1" ref="D14" ca="1">_FV(A14,"Price")</f>
        <v>974.95</v>
      </c>
      <c r="E14" s="71">
        <f t="array" aca="1" ref="E14" ca="1">_FV(A14,"Low")</f>
        <v>970</v>
      </c>
      <c r="F14" s="71">
        <f t="array" aca="1" ref="F14" ca="1">_FV(A14,"High")</f>
        <v>982</v>
      </c>
      <c r="G14" s="71">
        <f t="array" aca="1" ref="G14" ca="1">_FV(A14,"52 week low",TRUE)</f>
        <v>478.35</v>
      </c>
      <c r="H14" s="72">
        <f t="array" aca="1" ref="H14" ca="1">_FV(A14,"52 week high",TRUE)</f>
        <v>1007.25</v>
      </c>
      <c r="I14" s="73">
        <f t="shared" ca="1" si="0"/>
        <v>3.2067510548523162</v>
      </c>
      <c r="J14" s="74" t="str">
        <f t="shared" ca="1" si="1"/>
        <v>WATCH</v>
      </c>
      <c r="K14" s="75">
        <f t="array" aca="1" ref="K14" ca="1">_FV(A14,"Market cap",TRUE)/10000000</f>
        <v>72754.92</v>
      </c>
      <c r="L14" s="76" t="str">
        <f t="shared" ca="1" si="2"/>
        <v>HMC</v>
      </c>
      <c r="M14" s="78" t="str">
        <f t="array" aca="1" ref="M14" ca="1">_FV(A14,"Industry")</f>
        <v>Banking Services</v>
      </c>
    </row>
    <row r="15" spans="1:15">
      <c r="A15" s="69" t="e" vm="14">
        <v>#VALUE!</v>
      </c>
      <c r="B15" s="70">
        <f t="array" aca="1" ref="B15" ca="1">_FV(A15,"Change (%)",TRUE)</f>
        <v>-4.2929999999999999E-3</v>
      </c>
      <c r="C15" s="71">
        <f t="array" aca="1" ref="C15" ca="1">_FV(A15,"Previous close",TRUE)</f>
        <v>1211.4000000000001</v>
      </c>
      <c r="D15" s="71">
        <f t="array" aca="1" ref="D15" ca="1">_FV(A15,"Price")</f>
        <v>1206.2</v>
      </c>
      <c r="E15" s="71">
        <f t="array" aca="1" ref="E15" ca="1">_FV(A15,"Low")</f>
        <v>1203.8</v>
      </c>
      <c r="F15" s="71">
        <f t="array" aca="1" ref="F15" ca="1">_FV(A15,"High")</f>
        <v>1220.9000000000001</v>
      </c>
      <c r="G15" s="71">
        <f t="array" aca="1" ref="G15" ca="1">_FV(A15,"52 week low",TRUE)</f>
        <v>1010</v>
      </c>
      <c r="H15" s="72">
        <f t="array" aca="1" ref="H15" ca="1">_FV(A15,"52 week high",TRUE)</f>
        <v>1356.2</v>
      </c>
      <c r="I15" s="73">
        <f t="shared" ca="1" si="0"/>
        <v>11.060315587671434</v>
      </c>
      <c r="J15" s="74" t="str">
        <f t="shared" ca="1" si="1"/>
        <v>WATCH</v>
      </c>
      <c r="K15" s="75">
        <f t="array" aca="1" ref="K15" ca="1">_FV(A15,"Market cap",TRUE)/10000000</f>
        <v>70358.31</v>
      </c>
      <c r="L15" s="76" t="str">
        <f t="shared" ca="1" si="2"/>
        <v>HMC</v>
      </c>
      <c r="M15" s="78" t="str">
        <f t="array" aca="1" ref="M15" ca="1">_FV(A15,"Industry")</f>
        <v>Pharmaceuticals</v>
      </c>
    </row>
    <row r="16" spans="1:15">
      <c r="A16" s="69" t="e" vm="15">
        <v>#VALUE!</v>
      </c>
      <c r="B16" s="70">
        <f t="array" aca="1" ref="B16" ca="1">_FV(A16,"Change (%)",TRUE)</f>
        <v>0</v>
      </c>
      <c r="C16" s="71">
        <f t="array" aca="1" ref="C16" ca="1">_FV(A16,"Previous close",TRUE)</f>
        <v>236.95</v>
      </c>
      <c r="D16" s="71">
        <f t="array" aca="1" ref="D16" ca="1">_FV(A16,"Price")</f>
        <v>236.95</v>
      </c>
      <c r="E16" s="71">
        <f t="array" aca="1" ref="E16" ca="1">_FV(A16,"Low")</f>
        <v>235.5</v>
      </c>
      <c r="F16" s="71">
        <f t="array" aca="1" ref="F16" ca="1">_FV(A16,"High")</f>
        <v>237.75</v>
      </c>
      <c r="G16" s="71">
        <f t="array" aca="1" ref="G16" ca="1">_FV(A16,"52 week low",TRUE)</f>
        <v>231.55</v>
      </c>
      <c r="H16" s="72">
        <f t="array" aca="1" ref="H16" ca="1">_FV(A16,"52 week high",TRUE)</f>
        <v>337.05</v>
      </c>
      <c r="I16" s="73">
        <f t="shared" ca="1" si="0"/>
        <v>29.698857736240917</v>
      </c>
      <c r="J16" s="74" t="str">
        <f t="shared" ca="1" si="1"/>
        <v>FIRST MC BUY</v>
      </c>
      <c r="K16" s="75">
        <f t="array" aca="1" ref="K16" ca="1">_FV(A16,"Market cap",TRUE)/10000000</f>
        <v>30691.73</v>
      </c>
      <c r="L16" s="76" t="str">
        <f t="shared" ca="1" si="2"/>
        <v>MC</v>
      </c>
      <c r="M16" s="78" t="str">
        <f t="array" aca="1" ref="M16" ca="1">_FV(A16,"Industry")</f>
        <v>Food &amp; Tobacco</v>
      </c>
    </row>
    <row r="17" spans="1:13">
      <c r="A17" s="69" t="e" vm="16">
        <v>#VALUE!</v>
      </c>
      <c r="B17" s="70">
        <f t="array" aca="1" ref="B17" ca="1">_FV(A17,"Change (%)",TRUE)</f>
        <v>-1.1505000000000001E-2</v>
      </c>
      <c r="C17" s="71">
        <f t="array" aca="1" ref="C17" ca="1">_FV(A17,"Previous close",TRUE)</f>
        <v>9170</v>
      </c>
      <c r="D17" s="71">
        <f t="array" aca="1" ref="D17" ca="1">_FV(A17,"Price")</f>
        <v>9064.5</v>
      </c>
      <c r="E17" s="71">
        <f t="array" aca="1" ref="E17" ca="1">_FV(A17,"Low")</f>
        <v>9052</v>
      </c>
      <c r="F17" s="71">
        <f t="array" aca="1" ref="F17" ca="1">_FV(A17,"High")</f>
        <v>9185.5</v>
      </c>
      <c r="G17" s="71">
        <f t="array" aca="1" ref="G17" ca="1">_FV(A17,"52 week low",TRUE)</f>
        <v>7089.35</v>
      </c>
      <c r="H17" s="72">
        <f t="array" aca="1" ref="H17" ca="1">_FV(A17,"52 week high",TRUE)</f>
        <v>9490</v>
      </c>
      <c r="I17" s="73">
        <f t="shared" ca="1" si="0"/>
        <v>4.4836670179135929</v>
      </c>
      <c r="J17" s="74" t="str">
        <f t="shared" ca="1" si="1"/>
        <v>WATCH</v>
      </c>
      <c r="K17" s="75">
        <f t="array" aca="1" ref="K17" ca="1">_FV(A17,"Market cap",TRUE)/10000000</f>
        <v>256267.2</v>
      </c>
      <c r="L17" s="76" t="str">
        <f t="shared" ca="1" si="2"/>
        <v>LC</v>
      </c>
      <c r="M17" s="77" t="str">
        <f t="array" aca="1" ref="M17" ca="1">_FV(A17,"Industry")</f>
        <v>Automobiles &amp; Auto Parts</v>
      </c>
    </row>
    <row r="18" spans="1:13">
      <c r="A18" s="69" t="e" vm="17">
        <v>#VALUE!</v>
      </c>
      <c r="B18" s="70">
        <f t="array" aca="1" ref="B18" ca="1">_FV(A18,"Change (%)",TRUE)</f>
        <v>-1.1565000000000001E-2</v>
      </c>
      <c r="C18" s="71">
        <f t="array" aca="1" ref="C18" ca="1">_FV(A18,"Previous close",TRUE)</f>
        <v>1011.7</v>
      </c>
      <c r="D18" s="71">
        <f t="array" aca="1" ref="D18" ca="1">_FV(A18,"Price")</f>
        <v>1000</v>
      </c>
      <c r="E18" s="71">
        <f t="array" aca="1" ref="E18" ca="1">_FV(A18,"Low")</f>
        <v>998</v>
      </c>
      <c r="F18" s="71">
        <f t="array" aca="1" ref="F18" ca="1">_FV(A18,"High")</f>
        <v>1011.7</v>
      </c>
      <c r="G18" s="71">
        <f t="array" aca="1" ref="G18" ca="1">_FV(A18,"52 week low",TRUE)</f>
        <v>678.28</v>
      </c>
      <c r="H18" s="72">
        <f t="array" aca="1" ref="H18" ca="1">_FV(A18,"52 week high",TRUE)</f>
        <v>1102.5</v>
      </c>
      <c r="I18" s="73">
        <f t="shared" ca="1" si="0"/>
        <v>9.2970521541950113</v>
      </c>
      <c r="J18" s="74" t="str">
        <f t="shared" ca="1" si="1"/>
        <v>FIRST HLC BUY</v>
      </c>
      <c r="K18" s="75">
        <f t="array" aca="1" ref="K18" ca="1">_FV(A18,"Market cap",TRUE)/10000000</f>
        <v>628785.19999999995</v>
      </c>
      <c r="L18" s="76" t="str">
        <f t="shared" ca="1" si="2"/>
        <v>HLC</v>
      </c>
      <c r="M18" s="77" t="str">
        <f t="array" aca="1" ref="M18" ca="1">_FV(A18,"Industry")</f>
        <v>Banking Services</v>
      </c>
    </row>
    <row r="19" spans="1:13">
      <c r="A19" s="69" t="e" vm="18">
        <v>#VALUE!</v>
      </c>
      <c r="B19" s="70">
        <f t="array" aca="1" ref="B19" ca="1">_FV(A19,"Change (%)",TRUE)</f>
        <v>-2.1320000000000002E-3</v>
      </c>
      <c r="C19" s="71">
        <f t="array" aca="1" ref="C19" ca="1">_FV(A19,"Previous close",TRUE)</f>
        <v>1125.7</v>
      </c>
      <c r="D19" s="71">
        <f t="array" aca="1" ref="D19" ca="1">_FV(A19,"Price")</f>
        <v>1123.3</v>
      </c>
      <c r="E19" s="71">
        <f t="array" aca="1" ref="E19" ca="1">_FV(A19,"Low")</f>
        <v>1120</v>
      </c>
      <c r="F19" s="71">
        <f t="array" aca="1" ref="F19" ca="1">_FV(A19,"High")</f>
        <v>1135</v>
      </c>
      <c r="G19" s="71">
        <f t="array" aca="1" ref="G19" ca="1">_FV(A19,"52 week low",TRUE)</f>
        <v>1079</v>
      </c>
      <c r="H19" s="72">
        <f t="array" aca="1" ref="H19" ca="1">_FV(A19,"52 week high",TRUE)</f>
        <v>1988</v>
      </c>
      <c r="I19" s="73">
        <f t="shared" ca="1" si="0"/>
        <v>43.495975855130787</v>
      </c>
      <c r="J19" s="74" t="str">
        <f t="shared" ca="1" si="1"/>
        <v>WATCH</v>
      </c>
      <c r="K19" s="75">
        <f t="array" aca="1" ref="K19" ca="1">_FV(A19,"Market cap",TRUE)/10000000</f>
        <v>3639.6039999999998</v>
      </c>
      <c r="L19" s="76" t="str">
        <f t="shared" ca="1" si="2"/>
        <v>SC</v>
      </c>
      <c r="M19" s="77" t="str">
        <f t="array" aca="1" ref="M19" ca="1">_FV(A19,"Industry")</f>
        <v>Chemicals</v>
      </c>
    </row>
    <row r="20" spans="1:13">
      <c r="A20" s="69" t="e" vm="19">
        <v>#VALUE!</v>
      </c>
      <c r="B20" s="70">
        <f t="array" aca="1" ref="B20" ca="1">_FV(A20,"Change (%)",TRUE)</f>
        <v>-2.2279999999999999E-3</v>
      </c>
      <c r="C20" s="71">
        <f t="array" aca="1" ref="C20" ca="1">_FV(A20,"Previous close",TRUE)</f>
        <v>1481.2</v>
      </c>
      <c r="D20" s="71">
        <f t="array" aca="1" ref="D20" ca="1">_FV(A20,"Price")</f>
        <v>1477.9</v>
      </c>
      <c r="E20" s="71">
        <f t="array" aca="1" ref="E20" ca="1">_FV(A20,"Low")</f>
        <v>1474</v>
      </c>
      <c r="F20" s="71">
        <f t="array" aca="1" ref="F20" ca="1">_FV(A20,"High")</f>
        <v>1517.7</v>
      </c>
      <c r="G20" s="71">
        <f t="array" aca="1" ref="G20" ca="1">_FV(A20,"52 week low",TRUE)</f>
        <v>907</v>
      </c>
      <c r="H20" s="72">
        <f t="array" aca="1" ref="H20" ca="1">_FV(A20,"52 week high",TRUE)</f>
        <v>2096.6</v>
      </c>
      <c r="I20" s="73">
        <f t="shared" ca="1" si="0"/>
        <v>29.509682342840783</v>
      </c>
      <c r="J20" s="74" t="str">
        <f t="shared" ca="1" si="1"/>
        <v>HMC BUY</v>
      </c>
      <c r="K20" s="75">
        <f t="array" aca="1" ref="K20" ca="1">_FV(A20,"Market cap",TRUE)/10000000</f>
        <v>54295.24</v>
      </c>
      <c r="L20" s="76" t="str">
        <f t="shared" ca="1" si="2"/>
        <v>HMC</v>
      </c>
      <c r="M20" s="77" t="str">
        <f t="array" aca="1" ref="M20" ca="1">_FV(A20,"Industry")</f>
        <v>Aerospace &amp; Defense</v>
      </c>
    </row>
    <row r="21" spans="1:13">
      <c r="A21" s="69" t="e" vm="20">
        <v>#VALUE!</v>
      </c>
      <c r="B21" s="70">
        <f t="array" aca="1" ref="B21" ca="1">_FV(A21,"Change (%)",TRUE)</f>
        <v>4.8720000000000005E-3</v>
      </c>
      <c r="C21" s="71">
        <f t="array" aca="1" ref="C21" ca="1">_FV(A21,"Previous close",TRUE)</f>
        <v>1867.9</v>
      </c>
      <c r="D21" s="71">
        <f t="array" aca="1" ref="D21" ca="1">_FV(A21,"Price")</f>
        <v>1877</v>
      </c>
      <c r="E21" s="71">
        <f t="array" aca="1" ref="E21" ca="1">_FV(A21,"Low")</f>
        <v>1867.7</v>
      </c>
      <c r="F21" s="71">
        <f t="array" aca="1" ref="F21" ca="1">_FV(A21,"High")</f>
        <v>1926.7</v>
      </c>
      <c r="G21" s="71">
        <f t="array" aca="1" ref="G21" ca="1">_FV(A21,"52 week low",TRUE)</f>
        <v>1175</v>
      </c>
      <c r="H21" s="72">
        <f t="array" aca="1" ref="H21" ca="1">_FV(A21,"52 week high",TRUE)</f>
        <v>2437.4</v>
      </c>
      <c r="I21" s="73">
        <f t="shared" ca="1" si="0"/>
        <v>22.991712480512025</v>
      </c>
      <c r="J21" s="74" t="str">
        <f t="shared" ca="1" si="1"/>
        <v>FIRST MC BUY</v>
      </c>
      <c r="K21" s="75">
        <f t="array" aca="1" ref="K21" ca="1">_FV(A21,"Market cap",TRUE)/10000000</f>
        <v>15633.35</v>
      </c>
      <c r="L21" s="76" t="str">
        <f t="shared" ca="1" si="2"/>
        <v>MC</v>
      </c>
      <c r="M21" s="77" t="str">
        <f t="array" aca="1" ref="M21" ca="1">_FV(A21,"Industry")</f>
        <v>Machinery, Equipment &amp; Components</v>
      </c>
    </row>
    <row r="22" spans="1:13">
      <c r="A22" s="69" t="e" vm="21">
        <v>#VALUE!</v>
      </c>
      <c r="B22" s="70">
        <f t="array" aca="1" ref="B22" ca="1">_FV(A22,"Change (%)",TRUE)</f>
        <v>-2.3597E-2</v>
      </c>
      <c r="C22" s="71">
        <f t="array" aca="1" ref="C22" ca="1">_FV(A22,"Previous close",TRUE)</f>
        <v>555.15</v>
      </c>
      <c r="D22" s="71">
        <f t="array" aca="1" ref="D22" ca="1">_FV(A22,"Price")</f>
        <v>542.04999999999995</v>
      </c>
      <c r="E22" s="71">
        <f t="array" aca="1" ref="E22" ca="1">_FV(A22,"Low")</f>
        <v>540</v>
      </c>
      <c r="F22" s="71">
        <f t="array" aca="1" ref="F22" ca="1">_FV(A22,"High")</f>
        <v>558.54999999999995</v>
      </c>
      <c r="G22" s="71">
        <f t="array" aca="1" ref="G22" ca="1">_FV(A22,"52 week low",TRUE)</f>
        <v>437.75</v>
      </c>
      <c r="H22" s="72">
        <f t="array" aca="1" ref="H22" ca="1">_FV(A22,"52 week high",TRUE)</f>
        <v>605</v>
      </c>
      <c r="I22" s="73">
        <f t="shared" ca="1" si="0"/>
        <v>10.404958677685958</v>
      </c>
      <c r="J22" s="74" t="str">
        <f t="shared" ca="1" si="1"/>
        <v>WATCH</v>
      </c>
      <c r="K22" s="75">
        <f t="array" aca="1" ref="K22" ca="1">_FV(A22,"Market cap",TRUE)/10000000</f>
        <v>64724.65</v>
      </c>
      <c r="L22" s="76" t="str">
        <f t="shared" ca="1" si="2"/>
        <v>HMC</v>
      </c>
      <c r="M22" s="77" t="str">
        <f t="array" aca="1" ref="M22" ca="1">_FV(A22,"Industry")</f>
        <v>Chemicals</v>
      </c>
    </row>
    <row r="23" spans="1:13">
      <c r="A23" s="69" t="e" vm="22">
        <v>#VALUE!</v>
      </c>
      <c r="B23" s="70">
        <f t="array" aca="1" ref="B23" ca="1">_FV(A23,"Change (%)",TRUE)</f>
        <v>-4.6189999999999998E-3</v>
      </c>
      <c r="C23" s="71">
        <f t="array" aca="1" ref="C23" ca="1">_FV(A23,"Previous close",TRUE)</f>
        <v>1450.5</v>
      </c>
      <c r="D23" s="71">
        <f t="array" aca="1" ref="D23" ca="1">_FV(A23,"Price")</f>
        <v>1443.8</v>
      </c>
      <c r="E23" s="71">
        <f t="array" aca="1" ref="E23" ca="1">_FV(A23,"Low")</f>
        <v>1438</v>
      </c>
      <c r="F23" s="71">
        <f t="array" aca="1" ref="F23" ca="1">_FV(A23,"High")</f>
        <v>1460</v>
      </c>
      <c r="G23" s="71">
        <f t="array" aca="1" ref="G23" ca="1">_FV(A23,"52 week low",TRUE)</f>
        <v>919.1</v>
      </c>
      <c r="H23" s="72">
        <f t="array" aca="1" ref="H23" ca="1">_FV(A23,"52 week high",TRUE)</f>
        <v>1470.6</v>
      </c>
      <c r="I23" s="73">
        <f t="shared" ca="1" si="0"/>
        <v>1.8223854209166297</v>
      </c>
      <c r="J23" s="74" t="str">
        <f t="shared" ca="1" si="1"/>
        <v>WATCH</v>
      </c>
      <c r="K23" s="75">
        <f t="array" aca="1" ref="K23" ca="1">_FV(A23,"Market cap",TRUE)/10000000</f>
        <v>69346.759999999995</v>
      </c>
      <c r="L23" s="76" t="str">
        <f t="shared" ca="1" si="2"/>
        <v>HMC</v>
      </c>
      <c r="M23" s="78" t="str">
        <f t="array" aca="1" ref="M23" ca="1">_FV(A23,"Industry")</f>
        <v>Metals &amp; Mining</v>
      </c>
    </row>
    <row r="24" spans="1:13">
      <c r="A24" s="69" t="e" vm="23">
        <v>#VALUE!</v>
      </c>
      <c r="B24" s="70">
        <f t="array" aca="1" ref="B24" ca="1">_FV(A24,"Change (%)",TRUE)</f>
        <v>-8.6169999999999997E-3</v>
      </c>
      <c r="C24" s="71">
        <f t="array" aca="1" ref="C24" ca="1">_FV(A24,"Previous close",TRUE)</f>
        <v>2123.6999999999998</v>
      </c>
      <c r="D24" s="71">
        <f t="array" aca="1" ref="D24" ca="1">_FV(A24,"Price")</f>
        <v>2105.4</v>
      </c>
      <c r="E24" s="71">
        <f t="array" aca="1" ref="E24" ca="1">_FV(A24,"Low")</f>
        <v>2101.8000000000002</v>
      </c>
      <c r="F24" s="71">
        <f t="array" aca="1" ref="F24" ca="1">_FV(A24,"High")</f>
        <v>2123</v>
      </c>
      <c r="G24" s="71">
        <f t="array" aca="1" ref="G24" ca="1">_FV(A24,"52 week low",TRUE)</f>
        <v>1559.5</v>
      </c>
      <c r="H24" s="72">
        <f t="array" aca="1" ref="H24" ca="1">_FV(A24,"52 week high",TRUE)</f>
        <v>2174.5</v>
      </c>
      <c r="I24" s="73">
        <f t="shared" ca="1" si="0"/>
        <v>3.1777420096573885</v>
      </c>
      <c r="J24" s="74" t="str">
        <f t="shared" ca="1" si="1"/>
        <v>WATCH</v>
      </c>
      <c r="K24" s="75">
        <f t="array" aca="1" ref="K24" ca="1">_FV(A24,"Market cap",TRUE)/10000000</f>
        <v>1277086</v>
      </c>
      <c r="L24" s="76" t="str">
        <f t="shared" ca="1" si="2"/>
        <v>HLC</v>
      </c>
      <c r="M24" s="78" t="str">
        <f t="array" aca="1" ref="M24" ca="1">_FV(A24,"Industry")</f>
        <v>Telecommunications Services</v>
      </c>
    </row>
    <row r="25" spans="1:13">
      <c r="A25" s="69" t="e" vm="24">
        <v>#VALUE!</v>
      </c>
      <c r="B25" s="70">
        <f t="array" aca="1" ref="B25" ca="1">_FV(A25,"Change (%)",TRUE)</f>
        <v>1.1861999999999999E-2</v>
      </c>
      <c r="C25" s="71">
        <f t="array" aca="1" ref="C25" ca="1">_FV(A25,"Previous close",TRUE)</f>
        <v>278.2</v>
      </c>
      <c r="D25" s="71">
        <f t="array" aca="1" ref="D25" ca="1">_FV(A25,"Price")</f>
        <v>281.5</v>
      </c>
      <c r="E25" s="71">
        <f t="array" aca="1" ref="E25" ca="1">_FV(A25,"Low")</f>
        <v>277.05</v>
      </c>
      <c r="F25" s="71">
        <f t="array" aca="1" ref="F25" ca="1">_FV(A25,"High")</f>
        <v>285.60000000000002</v>
      </c>
      <c r="G25" s="71">
        <f t="array" aca="1" ref="G25" ca="1">_FV(A25,"52 week low",TRUE)</f>
        <v>176</v>
      </c>
      <c r="H25" s="72">
        <f t="array" aca="1" ref="H25" ca="1">_FV(A25,"52 week high",TRUE)</f>
        <v>295.25</v>
      </c>
      <c r="I25" s="73">
        <f t="shared" ca="1" si="0"/>
        <v>4.6570702794242171</v>
      </c>
      <c r="J25" s="74" t="str">
        <f t="shared" ca="1" si="1"/>
        <v>WATCH</v>
      </c>
      <c r="K25" s="75">
        <f t="array" aca="1" ref="K25" ca="1">_FV(A25,"Market cap",TRUE)/10000000</f>
        <v>98020.08</v>
      </c>
      <c r="L25" s="76" t="str">
        <f t="shared" ca="1" si="2"/>
        <v>HMC</v>
      </c>
      <c r="M25" s="78" t="str">
        <f t="array" aca="1" ref="M25" ca="1">_FV(A25,"Industry")</f>
        <v>Machinery, Equipment &amp; Components</v>
      </c>
    </row>
    <row r="26" spans="1:13">
      <c r="A26" s="69" t="e" vm="25">
        <v>#VALUE!</v>
      </c>
      <c r="B26" s="70">
        <f t="array" aca="1" ref="B26" ca="1">_FV(A26,"Change (%)",TRUE)</f>
        <v>-8.1989999999999997E-3</v>
      </c>
      <c r="C26" s="71">
        <f t="array" aca="1" ref="C26" ca="1">_FV(A26,"Previous close",TRUE)</f>
        <v>2670.9</v>
      </c>
      <c r="D26" s="71">
        <f t="array" aca="1" ref="D26" ca="1">_FV(A26,"Price")</f>
        <v>2649</v>
      </c>
      <c r="E26" s="71">
        <f t="array" aca="1" ref="E26" ca="1">_FV(A26,"Low")</f>
        <v>2636</v>
      </c>
      <c r="F26" s="71">
        <f t="array" aca="1" ref="F26" ca="1">_FV(A26,"High")</f>
        <v>2689.3</v>
      </c>
      <c r="G26" s="71">
        <f t="array" aca="1" ref="G26" ca="1">_FV(A26,"52 week low",TRUE)</f>
        <v>1226.49</v>
      </c>
      <c r="H26" s="72">
        <f t="array" aca="1" ref="H26" ca="1">_FV(A26,"52 week high",TRUE)</f>
        <v>3030</v>
      </c>
      <c r="I26" s="73">
        <f t="shared" ca="1" si="0"/>
        <v>12.574257425742575</v>
      </c>
      <c r="J26" s="74" t="str">
        <f t="shared" ca="1" si="1"/>
        <v>LC BUY</v>
      </c>
      <c r="K26" s="75">
        <f t="array" aca="1" ref="K26" ca="1">_FV(A26,"Market cap",TRUE)/10000000</f>
        <v>108785.5</v>
      </c>
      <c r="L26" s="76" t="str">
        <f t="shared" ca="1" si="2"/>
        <v>LC</v>
      </c>
      <c r="M26" s="78" t="str">
        <f t="array" aca="1" ref="M26" ca="1">_FV(A26,"Industry")</f>
        <v>Investment Banking &amp; Investment Services</v>
      </c>
    </row>
    <row r="27" spans="1:13">
      <c r="A27" s="69" t="e" vm="26">
        <v>#VALUE!</v>
      </c>
      <c r="B27" s="70">
        <f t="array" aca="1" ref="B27" ca="1">_FV(A27,"Change (%)",TRUE)</f>
        <v>-1.0808E-2</v>
      </c>
      <c r="C27" s="71">
        <f t="array" aca="1" ref="C27" ca="1">_FV(A27,"Previous close",TRUE)</f>
        <v>1498.9</v>
      </c>
      <c r="D27" s="71">
        <f t="array" aca="1" ref="D27" ca="1">_FV(A27,"Price")</f>
        <v>1482.7</v>
      </c>
      <c r="E27" s="71">
        <f t="array" aca="1" ref="E27" ca="1">_FV(A27,"Low")</f>
        <v>1476.9</v>
      </c>
      <c r="F27" s="71">
        <f t="array" aca="1" ref="F27" ca="1">_FV(A27,"High")</f>
        <v>1506.4</v>
      </c>
      <c r="G27" s="71">
        <f t="array" aca="1" ref="G27" ca="1">_FV(A27,"52 week low",TRUE)</f>
        <v>1047.45</v>
      </c>
      <c r="H27" s="72">
        <f t="array" aca="1" ref="H27" ca="1">_FV(A27,"52 week high",TRUE)</f>
        <v>1888</v>
      </c>
      <c r="I27" s="73">
        <f t="shared" ca="1" si="0"/>
        <v>21.467161016949149</v>
      </c>
      <c r="J27" s="74" t="str">
        <f t="shared" ca="1" si="1"/>
        <v>FIRST MC BUY</v>
      </c>
      <c r="K27" s="75">
        <f t="array" aca="1" ref="K27" ca="1">_FV(A27,"Market cap",TRUE)/10000000</f>
        <v>31327.01</v>
      </c>
      <c r="L27" s="76" t="str">
        <f t="shared" ca="1" si="2"/>
        <v>MC</v>
      </c>
      <c r="M27" s="77" t="str">
        <f t="array" aca="1" ref="M27" ca="1">_FV(A27,"Industry")</f>
        <v>Investment Banking &amp; Investment Services</v>
      </c>
    </row>
    <row r="28" spans="1:13">
      <c r="A28" s="69" t="e" vm="27">
        <v>#VALUE!</v>
      </c>
      <c r="B28" s="70">
        <f t="array" aca="1" ref="B28" ca="1">_FV(A28,"Change (%)",TRUE)</f>
        <v>-4.9709999999999999E-4</v>
      </c>
      <c r="C28" s="71">
        <f t="array" aca="1" ref="C28" ca="1">_FV(A28,"Previous close",TRUE)</f>
        <v>402.35</v>
      </c>
      <c r="D28" s="71">
        <f t="array" aca="1" ref="D28" ca="1">_FV(A28,"Price")</f>
        <v>402.15</v>
      </c>
      <c r="E28" s="71">
        <f t="array" aca="1" ref="E28" ca="1">_FV(A28,"Low")</f>
        <v>400.6</v>
      </c>
      <c r="F28" s="71">
        <f t="array" aca="1" ref="F28" ca="1">_FV(A28,"High")</f>
        <v>408.4</v>
      </c>
      <c r="G28" s="71">
        <f t="array" aca="1" ref="G28" ca="1">_FV(A28,"52 week low",TRUE)</f>
        <v>349.25</v>
      </c>
      <c r="H28" s="72">
        <f t="array" aca="1" ref="H28" ca="1">_FV(A28,"52 week high",TRUE)</f>
        <v>417.25</v>
      </c>
      <c r="I28" s="73">
        <f t="shared" ca="1" si="0"/>
        <v>3.618933493109652</v>
      </c>
      <c r="J28" s="74" t="str">
        <f t="shared" ca="1" si="1"/>
        <v>WATCH</v>
      </c>
      <c r="K28" s="75">
        <f t="array" aca="1" ref="K28" ca="1">_FV(A28,"Market cap",TRUE)/10000000</f>
        <v>247834.1</v>
      </c>
      <c r="L28" s="76" t="str">
        <f t="shared" ca="1" si="2"/>
        <v>LC</v>
      </c>
      <c r="M28" s="78" t="str">
        <f t="array" aca="1" ref="M28" ca="1">_FV(A28,"Industry")</f>
        <v>Coal</v>
      </c>
    </row>
    <row r="29" spans="1:13">
      <c r="A29" s="69" t="e" vm="28">
        <v>#VALUE!</v>
      </c>
      <c r="B29" s="70">
        <f t="array" aca="1" ref="B29" ca="1">_FV(A29,"Change (%)",TRUE)</f>
        <v>1.6980000000000001E-3</v>
      </c>
      <c r="C29" s="71">
        <f t="array" aca="1" ref="C29" ca="1">_FV(A29,"Previous close",TRUE)</f>
        <v>1649.3</v>
      </c>
      <c r="D29" s="71">
        <f t="array" aca="1" ref="D29" ca="1">_FV(A29,"Price")</f>
        <v>1652.1</v>
      </c>
      <c r="E29" s="71">
        <f t="array" aca="1" ref="E29" ca="1">_FV(A29,"Low")</f>
        <v>1646</v>
      </c>
      <c r="F29" s="71">
        <f t="array" aca="1" ref="F29" ca="1">_FV(A29,"High")</f>
        <v>1697</v>
      </c>
      <c r="G29" s="71">
        <f t="array" aca="1" ref="G29" ca="1">_FV(A29,"52 week low",TRUE)</f>
        <v>1180.2</v>
      </c>
      <c r="H29" s="72">
        <f t="array" aca="1" ref="H29" ca="1">_FV(A29,"52 week high",TRUE)</f>
        <v>2545</v>
      </c>
      <c r="I29" s="73">
        <f t="shared" ca="1" si="0"/>
        <v>35.084479371316313</v>
      </c>
      <c r="J29" s="74" t="str">
        <f t="shared" ca="1" si="1"/>
        <v>SURE HMC BUY</v>
      </c>
      <c r="K29" s="75">
        <f t="array" aca="1" ref="K29" ca="1">_FV(A29,"Market cap",TRUE)/10000000</f>
        <v>43389.91</v>
      </c>
      <c r="L29" s="76" t="str">
        <f t="shared" ca="1" si="2"/>
        <v>HMC</v>
      </c>
      <c r="M29" s="78" t="str">
        <f t="array" aca="1" ref="M29" ca="1">_FV(A29,"Industry")</f>
        <v>Machinery, Equipment &amp; Components</v>
      </c>
    </row>
    <row r="30" spans="1:13">
      <c r="A30" s="69" t="e" vm="29">
        <v>#VALUE!</v>
      </c>
      <c r="B30" s="70">
        <f t="array" aca="1" ref="B30" ca="1">_FV(A30,"Change (%)",TRUE)</f>
        <v>-2.8189999999999999E-3</v>
      </c>
      <c r="C30" s="71">
        <f t="array" aca="1" ref="C30" ca="1">_FV(A30,"Previous close",TRUE)</f>
        <v>2093.3000000000002</v>
      </c>
      <c r="D30" s="71">
        <f t="array" aca="1" ref="D30" ca="1">_FV(A30,"Price")</f>
        <v>2087.4</v>
      </c>
      <c r="E30" s="71">
        <f t="array" aca="1" ref="E30" ca="1">_FV(A30,"Low")</f>
        <v>2082</v>
      </c>
      <c r="F30" s="71">
        <f t="array" aca="1" ref="F30" ca="1">_FV(A30,"High")</f>
        <v>2114.9</v>
      </c>
      <c r="G30" s="71">
        <f t="array" aca="1" ref="G30" ca="1">_FV(A30,"52 week low",TRUE)</f>
        <v>2064</v>
      </c>
      <c r="H30" s="72">
        <f t="array" aca="1" ref="H30" ca="1">_FV(A30,"52 week high",TRUE)</f>
        <v>2975</v>
      </c>
      <c r="I30" s="73">
        <f t="shared" ca="1" si="0"/>
        <v>29.835294117647052</v>
      </c>
      <c r="J30" s="74" t="str">
        <f t="shared" ca="1" si="1"/>
        <v>HMC BUY</v>
      </c>
      <c r="K30" s="75">
        <f t="array" aca="1" ref="K30" ca="1">_FV(A30,"Market cap",TRUE)/10000000</f>
        <v>56934.75</v>
      </c>
      <c r="L30" s="76" t="str">
        <f t="shared" ca="1" si="2"/>
        <v>HMC</v>
      </c>
      <c r="M30" s="78" t="str">
        <f t="array" aca="1" ref="M30" ca="1">_FV(A30,"Industry")</f>
        <v>Personal &amp; Household Products &amp; Services</v>
      </c>
    </row>
    <row r="31" spans="1:13">
      <c r="A31" s="69" t="e" vm="30">
        <v>#VALUE!</v>
      </c>
      <c r="B31" s="70">
        <f t="array" aca="1" ref="B31" ca="1">_FV(A31,"Change (%)",TRUE)</f>
        <v>2.3003999999999997E-2</v>
      </c>
      <c r="C31" s="71">
        <f t="array" aca="1" ref="C31" ca="1">_FV(A31,"Previous close",TRUE)</f>
        <v>508.6</v>
      </c>
      <c r="D31" s="71">
        <f t="array" aca="1" ref="D31" ca="1">_FV(A31,"Price")</f>
        <v>520.29999999999995</v>
      </c>
      <c r="E31" s="71">
        <f t="array" aca="1" ref="E31" ca="1">_FV(A31,"Low")</f>
        <v>507.85</v>
      </c>
      <c r="F31" s="71">
        <f t="array" aca="1" ref="F31" ca="1">_FV(A31,"High")</f>
        <v>523</v>
      </c>
      <c r="G31" s="71">
        <f t="array" aca="1" ref="G31" ca="1">_FV(A31,"52 week low",TRUE)</f>
        <v>481</v>
      </c>
      <c r="H31" s="72">
        <f t="array" aca="1" ref="H31" ca="1">_FV(A31,"52 week high",TRUE)</f>
        <v>652.04</v>
      </c>
      <c r="I31" s="73">
        <f t="shared" ca="1" si="0"/>
        <v>20.204281945892891</v>
      </c>
      <c r="J31" s="74" t="str">
        <f t="shared" ca="1" si="1"/>
        <v>FIRST MC BUY</v>
      </c>
      <c r="K31" s="75">
        <f t="array" aca="1" ref="K31" ca="1">_FV(A31,"Market cap",TRUE)/10000000</f>
        <v>38735.89</v>
      </c>
      <c r="L31" s="76" t="str">
        <f t="shared" ca="1" si="2"/>
        <v>MC</v>
      </c>
      <c r="M31" s="78" t="str">
        <f t="array" aca="1" ref="M31" ca="1">_FV(A31,"Industry")</f>
        <v>Freight &amp; Logistics Services</v>
      </c>
    </row>
    <row r="32" spans="1:13">
      <c r="A32" s="69" t="e" vm="31">
        <v>#VALUE!</v>
      </c>
      <c r="B32" s="70">
        <f t="array" aca="1" ref="B32" ca="1">_FV(A32,"Change (%)",TRUE)</f>
        <v>2.0579999999999999E-3</v>
      </c>
      <c r="C32" s="71">
        <f t="array" aca="1" ref="C32" ca="1">_FV(A32,"Previous close",TRUE)</f>
        <v>2672.3</v>
      </c>
      <c r="D32" s="71">
        <f t="array" aca="1" ref="D32" ca="1">_FV(A32,"Price")</f>
        <v>2677.8</v>
      </c>
      <c r="E32" s="71">
        <f t="array" aca="1" ref="E32" ca="1">_FV(A32,"Low")</f>
        <v>2651</v>
      </c>
      <c r="F32" s="71">
        <f t="array" aca="1" ref="F32" ca="1">_FV(A32,"High")</f>
        <v>2747.8</v>
      </c>
      <c r="G32" s="71">
        <f t="array" aca="1" ref="G32" ca="1">_FV(A32,"52 week low",TRUE)</f>
        <v>1351.15</v>
      </c>
      <c r="H32" s="72">
        <f t="array" aca="1" ref="H32" ca="1">_FV(A32,"52 week high",TRUE)</f>
        <v>3268.8</v>
      </c>
      <c r="I32" s="73">
        <f t="shared" ca="1" si="0"/>
        <v>18.080029368575623</v>
      </c>
      <c r="J32" s="74" t="str">
        <f t="shared" ca="1" si="1"/>
        <v>WATCH</v>
      </c>
      <c r="K32" s="75">
        <f t="array" aca="1" ref="K32" ca="1">_FV(A32,"Market cap",TRUE)/10000000</f>
        <v>14991.39</v>
      </c>
      <c r="L32" s="76" t="str">
        <f t="shared" ca="1" si="2"/>
        <v>MC</v>
      </c>
      <c r="M32" s="78" t="str">
        <f t="array" aca="1" ref="M32" ca="1">_FV(A32,"Instrument type",TRUE)</f>
        <v>Stock</v>
      </c>
    </row>
    <row r="33" spans="1:13">
      <c r="A33" s="69" t="e" vm="32">
        <v>#VALUE!</v>
      </c>
      <c r="B33" s="70">
        <f t="array" aca="1" ref="B33" ca="1">_FV(A33,"Change (%)",TRUE)</f>
        <v>1.4191E-2</v>
      </c>
      <c r="C33" s="71">
        <f t="array" aca="1" ref="C33" ca="1">_FV(A33,"Previous close",TRUE)</f>
        <v>1740.5</v>
      </c>
      <c r="D33" s="71">
        <f t="array" aca="1" ref="D33" ca="1">_FV(A33,"Price")</f>
        <v>1765.2</v>
      </c>
      <c r="E33" s="71">
        <f t="array" aca="1" ref="E33" ca="1">_FV(A33,"Low")</f>
        <v>1720.4</v>
      </c>
      <c r="F33" s="71">
        <f t="array" aca="1" ref="F33" ca="1">_FV(A33,"High")</f>
        <v>1769.9</v>
      </c>
      <c r="G33" s="71">
        <f t="array" aca="1" ref="G33" ca="1">_FV(A33,"52 week low",TRUE)</f>
        <v>1514</v>
      </c>
      <c r="H33" s="72">
        <f t="array" aca="1" ref="H33" ca="1">_FV(A33,"52 week high",TRUE)</f>
        <v>2632.6</v>
      </c>
      <c r="I33" s="73">
        <f t="shared" ca="1" si="0"/>
        <v>32.948416014586336</v>
      </c>
      <c r="J33" s="74" t="str">
        <f t="shared" ca="1" si="1"/>
        <v>MC BUY</v>
      </c>
      <c r="K33" s="75">
        <f t="array" aca="1" ref="K33" ca="1">_FV(A33,"Market cap",TRUE)/10000000</f>
        <v>23739.21</v>
      </c>
      <c r="L33" s="76" t="str">
        <f t="shared" ca="1" si="2"/>
        <v>MC</v>
      </c>
      <c r="M33" s="78" t="str">
        <f t="array" aca="1" ref="M33" ca="1">_FV(A33,"Industry")</f>
        <v>Chemicals</v>
      </c>
    </row>
    <row r="34" spans="1:13">
      <c r="A34" s="69" t="e" vm="33">
        <v>#VALUE!</v>
      </c>
      <c r="B34" s="70">
        <f t="array" aca="1" ref="B34" ca="1">_FV(A34,"Change (%)",TRUE)</f>
        <v>-1.0621E-2</v>
      </c>
      <c r="C34" s="71">
        <f t="array" aca="1" ref="C34" ca="1">_FV(A34,"Previous close",TRUE)</f>
        <v>6496.5</v>
      </c>
      <c r="D34" s="71">
        <f t="array" aca="1" ref="D34" ca="1">_FV(A34,"Price")</f>
        <v>6427.5</v>
      </c>
      <c r="E34" s="71">
        <f t="array" aca="1" ref="E34" ca="1">_FV(A34,"Low")</f>
        <v>6402</v>
      </c>
      <c r="F34" s="71">
        <f t="array" aca="1" ref="F34" ca="1">_FV(A34,"High")</f>
        <v>6547</v>
      </c>
      <c r="G34" s="71">
        <f t="array" aca="1" ref="G34" ca="1">_FV(A34,"52 week low",TRUE)</f>
        <v>4955</v>
      </c>
      <c r="H34" s="72">
        <f t="array" aca="1" ref="H34" ca="1">_FV(A34,"52 week high",TRUE)</f>
        <v>7071.5</v>
      </c>
      <c r="I34" s="73">
        <f t="shared" ref="I34:I64" ca="1" si="3">(H34-D34)*100/H34</f>
        <v>9.1069787173866938</v>
      </c>
      <c r="J34" s="74" t="str">
        <f t="shared" ref="J34:J64" ca="1" si="4">IF(AND(L34="HLC", I34&gt;12), "SURE HLC BUY",IF(AND(L34="HLC", I34&gt;7), "FIRST HLC BUY",IF(AND(L34="LC", I34&gt;20), "SURE LC BUY",IF(AND(L34="LC", I34&gt;10), "LC BUY",IF(AND(L34="HMC", I34&gt;30), "SURE HMC BUY",IF(AND(L34="HMC", I34&gt;20), "HMC BUY",IF(AND(L34="HMC", I34&gt;15), "FIRST HMC BUY",IF(AND(L34="MC", I34&gt;40), "SURE MC BUY",IF(AND(L34="MC", I34&gt;30), "MC BUY",IF(AND(L34="MC", I34&gt;20), "FIRST MC BUY",IF(AND(L34="HSC", I34&gt;60), "SURE HSC BUY",IF(AND(L34="HSC", I34&gt;50), "HSC BUY",IF(AND(L34="HSC", I34&gt;40), "FIRST HSC BUY",IF(AND(L34="SC", I34&gt;70), "SURE SC BUY",IF(AND(L34="SC", I34&gt;60), "SC BUY",IF(AND(L34="SC", I34&gt;50), "FIRST SC BUY",IF(AND(L34="VSC", I34&gt;80), "SURE VSC BUY",IF(AND(L34="VSC", I34&gt;70), "VSC BUY",IF(AND(L34="VSC", I34&gt;60), "FIRST VSC BUY","WATCH")))))))))))))))))))</f>
        <v>WATCH</v>
      </c>
      <c r="K34" s="75">
        <f t="array" aca="1" ref="K34" ca="1">_FV(A34,"Market cap",TRUE)/10000000</f>
        <v>172461.7</v>
      </c>
      <c r="L34" s="76" t="str">
        <f t="shared" ref="L34:L64" ca="1" si="5">IF(K34&gt;500000,"HLC",IF(K34 &gt;100000,"LC",IF(K34 &gt;40000,"HMC",IF(K34 &gt;10000,"MC",IF(K34 &gt;=5000,"HSC",IF(K34 &gt;1000,"SC","VSC"))))))</f>
        <v>LC</v>
      </c>
      <c r="M34" s="77" t="str">
        <f t="array" aca="1" ref="M34" ca="1">_FV(A34,"Industry")</f>
        <v>Pharmaceuticals</v>
      </c>
    </row>
    <row r="35" spans="1:13">
      <c r="A35" s="69" t="e" vm="34">
        <v>#VALUE!</v>
      </c>
      <c r="B35" s="70">
        <f t="array" aca="1" ref="B35" ca="1">_FV(A35,"Change (%)",TRUE)</f>
        <v>-2.3834000000000001E-2</v>
      </c>
      <c r="C35" s="71">
        <f t="array" aca="1" ref="C35" ca="1">_FV(A35,"Previous close",TRUE)</f>
        <v>12629</v>
      </c>
      <c r="D35" s="71">
        <f t="array" aca="1" ref="D35" ca="1">_FV(A35,"Price")</f>
        <v>12328</v>
      </c>
      <c r="E35" s="71">
        <f t="array" aca="1" ref="E35" ca="1">_FV(A35,"Low")</f>
        <v>12250</v>
      </c>
      <c r="F35" s="71">
        <f t="array" aca="1" ref="F35" ca="1">_FV(A35,"High")</f>
        <v>12711</v>
      </c>
      <c r="G35" s="71">
        <f t="array" aca="1" ref="G35" ca="1">_FV(A35,"52 week low",TRUE)</f>
        <v>12130</v>
      </c>
      <c r="H35" s="72">
        <f t="array" aca="1" ref="H35" ca="1">_FV(A35,"52 week high",TRUE)</f>
        <v>18700</v>
      </c>
      <c r="I35" s="73">
        <f t="shared" ca="1" si="3"/>
        <v>34.074866310160431</v>
      </c>
      <c r="J35" s="74" t="str">
        <f t="shared" ca="1" si="4"/>
        <v>SURE HMC BUY</v>
      </c>
      <c r="K35" s="75">
        <f t="array" aca="1" ref="K35" ca="1">_FV(A35,"Market cap",TRUE)/10000000</f>
        <v>76640.03</v>
      </c>
      <c r="L35" s="76" t="str">
        <f t="shared" ca="1" si="5"/>
        <v>HMC</v>
      </c>
      <c r="M35" s="77" t="str">
        <f t="array" aca="1" ref="M35" ca="1">_FV(A35,"Industry")</f>
        <v>Computers, Phones &amp; Household Electronics</v>
      </c>
    </row>
    <row r="36" spans="1:13">
      <c r="A36" s="69" t="e" vm="35">
        <v>#VALUE!</v>
      </c>
      <c r="B36" s="70">
        <f t="array" aca="1" ref="B36" ca="1">_FV(A36,"Change (%)",TRUE)</f>
        <v>-3.3679999999999999E-3</v>
      </c>
      <c r="C36" s="71">
        <f t="array" aca="1" ref="C36" ca="1">_FV(A36,"Previous close",TRUE)</f>
        <v>3800.2</v>
      </c>
      <c r="D36" s="71">
        <f t="array" aca="1" ref="D36" ca="1">_FV(A36,"Price")</f>
        <v>3787.4</v>
      </c>
      <c r="E36" s="71">
        <f t="array" aca="1" ref="E36" ca="1">_FV(A36,"Low")</f>
        <v>3781.2</v>
      </c>
      <c r="F36" s="71">
        <f t="array" aca="1" ref="F36" ca="1">_FV(A36,"High")</f>
        <v>3824</v>
      </c>
      <c r="G36" s="71">
        <f t="array" aca="1" ref="G36" ca="1">_FV(A36,"52 week low",TRUE)</f>
        <v>3340</v>
      </c>
      <c r="H36" s="72">
        <f t="array" aca="1" ref="H36" ca="1">_FV(A36,"52 week high",TRUE)</f>
        <v>4949.5</v>
      </c>
      <c r="I36" s="73">
        <f t="shared" ca="1" si="3"/>
        <v>23.479139307000704</v>
      </c>
      <c r="J36" s="74" t="str">
        <f t="shared" ca="1" si="4"/>
        <v>SURE LC BUY</v>
      </c>
      <c r="K36" s="75">
        <f t="array" aca="1" ref="K36" ca="1">_FV(A36,"Market cap",TRUE)/10000000</f>
        <v>247291.6</v>
      </c>
      <c r="L36" s="76" t="str">
        <f t="shared" ca="1" si="5"/>
        <v>LC</v>
      </c>
      <c r="M36" s="78" t="str">
        <f t="array" aca="1" ref="M36" ca="1">_FV(A36,"Industry")</f>
        <v>Food &amp; Drug Retailing</v>
      </c>
    </row>
    <row r="37" spans="1:13">
      <c r="A37" s="69" t="e" vm="36">
        <v>#VALUE!</v>
      </c>
      <c r="B37" s="70">
        <f t="array" aca="1" ref="B37" ca="1">_FV(A37,"Change (%)",TRUE)</f>
        <v>2.7650000000000001E-3</v>
      </c>
      <c r="C37" s="71">
        <f t="array" aca="1" ref="C37" ca="1">_FV(A37,"Previous close",TRUE)</f>
        <v>1265.8</v>
      </c>
      <c r="D37" s="71">
        <f t="array" aca="1" ref="D37" ca="1">_FV(A37,"Price")</f>
        <v>1269.3</v>
      </c>
      <c r="E37" s="71">
        <f t="array" aca="1" ref="E37" ca="1">_FV(A37,"Low")</f>
        <v>1261.0999999999999</v>
      </c>
      <c r="F37" s="71">
        <f t="array" aca="1" ref="F37" ca="1">_FV(A37,"High")</f>
        <v>1275</v>
      </c>
      <c r="G37" s="71">
        <f t="array" aca="1" ref="G37" ca="1">_FV(A37,"52 week low",TRUE)</f>
        <v>1020</v>
      </c>
      <c r="H37" s="72">
        <f t="array" aca="1" ref="H37" ca="1">_FV(A37,"52 week high",TRUE)</f>
        <v>1405.9</v>
      </c>
      <c r="I37" s="73">
        <f t="shared" ca="1" si="3"/>
        <v>9.7161960310121724</v>
      </c>
      <c r="J37" s="74" t="str">
        <f t="shared" ca="1" si="4"/>
        <v>WATCH</v>
      </c>
      <c r="K37" s="75">
        <f t="array" aca="1" ref="K37" ca="1">_FV(A37,"Market cap",TRUE)/10000000</f>
        <v>105381.9</v>
      </c>
      <c r="L37" s="76" t="str">
        <f t="shared" ca="1" si="5"/>
        <v>LC</v>
      </c>
      <c r="M37" s="78" t="str">
        <f t="array" aca="1" ref="M37" ca="1">_FV(A37,"Industry")</f>
        <v>Pharmaceuticals</v>
      </c>
    </row>
    <row r="38" spans="1:13">
      <c r="A38" s="69" t="e" vm="37">
        <v>#VALUE!</v>
      </c>
      <c r="B38" s="70">
        <f t="array" aca="1" ref="B38" ca="1">_FV(A38,"Change (%)",TRUE)</f>
        <v>-1.2508999999999999E-2</v>
      </c>
      <c r="C38" s="71">
        <f t="array" aca="1" ref="C38" ca="1">_FV(A38,"Previous close",TRUE)</f>
        <v>2582.1</v>
      </c>
      <c r="D38" s="71">
        <f t="array" aca="1" ref="D38" ca="1">_FV(A38,"Price")</f>
        <v>2549.8000000000002</v>
      </c>
      <c r="E38" s="71">
        <f t="array" aca="1" ref="E38" ca="1">_FV(A38,"Low")</f>
        <v>2541</v>
      </c>
      <c r="F38" s="71">
        <f t="array" aca="1" ref="F38" ca="1">_FV(A38,"High")</f>
        <v>2599.9</v>
      </c>
      <c r="G38" s="71">
        <f t="array" aca="1" ref="G38" ca="1">_FV(A38,"52 week low",TRUE)</f>
        <v>1675</v>
      </c>
      <c r="H38" s="72">
        <f t="array" aca="1" ref="H38" ca="1">_FV(A38,"52 week high",TRUE)</f>
        <v>3079.9</v>
      </c>
      <c r="I38" s="73">
        <f t="shared" ca="1" si="3"/>
        <v>17.211597779148672</v>
      </c>
      <c r="J38" s="74" t="str">
        <f t="shared" ca="1" si="4"/>
        <v>WATCH</v>
      </c>
      <c r="K38" s="75">
        <f t="array" aca="1" ref="K38" ca="1">_FV(A38,"Market cap",TRUE)/10000000</f>
        <v>36320.550000000003</v>
      </c>
      <c r="L38" s="76" t="str">
        <f t="shared" ca="1" si="5"/>
        <v>MC</v>
      </c>
      <c r="M38" s="77" t="str">
        <f t="array" aca="1" ref="M38" ca="1">_FV(A38,"Industry")</f>
        <v>Automobiles &amp; Auto Parts</v>
      </c>
    </row>
    <row r="39" spans="1:13">
      <c r="A39" s="69" t="e" vm="38">
        <v>#VALUE!</v>
      </c>
      <c r="B39" s="70">
        <f t="array" aca="1" ref="B39" ca="1">_FV(A39,"Change (%)",TRUE)</f>
        <v>1.1404000000000001E-2</v>
      </c>
      <c r="C39" s="71">
        <f t="array" aca="1" ref="C39" ca="1">_FV(A39,"Previous close",TRUE)</f>
        <v>2595.5</v>
      </c>
      <c r="D39" s="71">
        <f t="array" aca="1" ref="D39" ca="1">_FV(A39,"Price")</f>
        <v>2625.1</v>
      </c>
      <c r="E39" s="71">
        <f t="array" aca="1" ref="E39" ca="1">_FV(A39,"Low")</f>
        <v>2598.9</v>
      </c>
      <c r="F39" s="71">
        <f t="array" aca="1" ref="F39" ca="1">_FV(A39,"High")</f>
        <v>2644</v>
      </c>
      <c r="G39" s="71">
        <f t="array" aca="1" ref="G39" ca="1">_FV(A39,"52 week low",TRUE)</f>
        <v>2508.8000000000002</v>
      </c>
      <c r="H39" s="72">
        <f t="array" aca="1" ref="H39" ca="1">_FV(A39,"52 week high",TRUE)</f>
        <v>3625</v>
      </c>
      <c r="I39" s="73">
        <f t="shared" ca="1" si="3"/>
        <v>27.583448275862072</v>
      </c>
      <c r="J39" s="74" t="str">
        <f t="shared" ca="1" si="4"/>
        <v>HMC BUY</v>
      </c>
      <c r="K39" s="75">
        <f t="array" aca="1" ref="K39" ca="1">_FV(A39,"Market cap",TRUE)/10000000</f>
        <v>92431.08</v>
      </c>
      <c r="L39" s="76" t="str">
        <f t="shared" ca="1" si="5"/>
        <v>HMC</v>
      </c>
      <c r="M39" s="77" t="str">
        <f t="array" aca="1" ref="M39" ca="1">_FV(A39,"Industry")</f>
        <v>Electrical Utilities &amp; IPPs</v>
      </c>
    </row>
    <row r="40" spans="1:13">
      <c r="A40" s="69" t="e" vm="39">
        <v>#VALUE!</v>
      </c>
      <c r="B40" s="70">
        <f t="array" aca="1" ref="B40" ca="1">_FV(A40,"Change (%)",TRUE)</f>
        <v>-1.0883E-2</v>
      </c>
      <c r="C40" s="71">
        <f t="array" aca="1" ref="C40" ca="1">_FV(A40,"Previous close",TRUE)</f>
        <v>284.85000000000002</v>
      </c>
      <c r="D40" s="71">
        <f t="array" aca="1" ref="D40" ca="1">_FV(A40,"Price")</f>
        <v>281.75</v>
      </c>
      <c r="E40" s="71">
        <f t="array" aca="1" ref="E40" ca="1">_FV(A40,"Low")</f>
        <v>279.7</v>
      </c>
      <c r="F40" s="71">
        <f t="array" aca="1" ref="F40" ca="1">_FV(A40,"High")</f>
        <v>284.64999999999998</v>
      </c>
      <c r="G40" s="71">
        <f t="array" aca="1" ref="G40" ca="1">_FV(A40,"52 week low",TRUE)</f>
        <v>194.8</v>
      </c>
      <c r="H40" s="72">
        <f t="array" aca="1" ref="H40" ca="1">_FV(A40,"52 week high",TRUE)</f>
        <v>368.45</v>
      </c>
      <c r="I40" s="73">
        <f t="shared" ca="1" si="3"/>
        <v>23.531008277921018</v>
      </c>
      <c r="J40" s="74" t="str">
        <f t="shared" ca="1" si="4"/>
        <v>SURE LC BUY</v>
      </c>
      <c r="K40" s="75">
        <f t="array" aca="1" ref="K40" ca="1">_FV(A40,"Market cap",TRUE)/10000000</f>
        <v>256360.6</v>
      </c>
      <c r="L40" s="76" t="str">
        <f t="shared" ca="1" si="5"/>
        <v>LC</v>
      </c>
      <c r="M40" s="78" t="str">
        <f t="array" aca="1" ref="M40" ca="1">_FV(A40,"Industry")</f>
        <v>Software &amp; IT Services</v>
      </c>
    </row>
    <row r="41" spans="1:13">
      <c r="A41" s="69" t="e" vm="40">
        <v>#VALUE!</v>
      </c>
      <c r="B41" s="70">
        <f t="array" aca="1" ref="B41" ca="1">_FV(A41,"Change (%)",TRUE)</f>
        <v>-5.4469999999999996E-3</v>
      </c>
      <c r="C41" s="71">
        <f t="array" aca="1" ref="C41" ca="1">_FV(A41,"Previous close",TRUE)</f>
        <v>367.15</v>
      </c>
      <c r="D41" s="71">
        <f t="array" aca="1" ref="D41" ca="1">_FV(A41,"Price")</f>
        <v>365.15</v>
      </c>
      <c r="E41" s="71">
        <f t="array" aca="1" ref="E41" ca="1">_FV(A41,"Low")</f>
        <v>364.35</v>
      </c>
      <c r="F41" s="71">
        <f t="array" aca="1" ref="F41" ca="1">_FV(A41,"High")</f>
        <v>369.75</v>
      </c>
      <c r="G41" s="71">
        <f t="array" aca="1" ref="G41" ca="1">_FV(A41,"52 week low",TRUE)</f>
        <v>328</v>
      </c>
      <c r="H41" s="72">
        <f t="array" aca="1" ref="H41" ca="1">_FV(A41,"52 week high",TRUE)</f>
        <v>431.6</v>
      </c>
      <c r="I41" s="73">
        <f t="shared" ca="1" si="3"/>
        <v>15.396200185356822</v>
      </c>
      <c r="J41" s="74" t="str">
        <f t="shared" ca="1" si="4"/>
        <v>WATCH</v>
      </c>
      <c r="K41" s="75">
        <f t="array" aca="1" ref="K41" ca="1">_FV(A41,"Market cap",TRUE)/10000000</f>
        <v>31207.75</v>
      </c>
      <c r="L41" s="76" t="str">
        <f t="shared" ca="1" si="5"/>
        <v>MC</v>
      </c>
      <c r="M41" s="78" t="str">
        <f t="array" aca="1" ref="M41" ca="1">_FV(A41,"Industry")</f>
        <v>Automobiles &amp; Auto Parts</v>
      </c>
    </row>
    <row r="42" spans="1:13">
      <c r="A42" s="69" t="e" vm="41">
        <v>#VALUE!</v>
      </c>
      <c r="B42" s="70">
        <f t="array" aca="1" ref="B42" ca="1">_FV(A42,"Change (%)",TRUE)</f>
        <v>-1.0917E-2</v>
      </c>
      <c r="C42" s="71">
        <f t="array" aca="1" ref="C42" ca="1">_FV(A42,"Previous close",TRUE)</f>
        <v>190.53</v>
      </c>
      <c r="D42" s="71">
        <f t="array" aca="1" ref="D42" ca="1">_FV(A42,"Price")</f>
        <v>188.45</v>
      </c>
      <c r="E42" s="71">
        <f t="array" aca="1" ref="E42" ca="1">_FV(A42,"Low")</f>
        <v>187.68</v>
      </c>
      <c r="F42" s="71">
        <f t="array" aca="1" ref="F42" ca="1">_FV(A42,"High")</f>
        <v>192.09</v>
      </c>
      <c r="G42" s="71">
        <f t="array" aca="1" ref="G42" ca="1">_FV(A42,"52 week low",TRUE)</f>
        <v>168.25</v>
      </c>
      <c r="H42" s="72">
        <f t="array" aca="1" ref="H42" ca="1">_FV(A42,"52 week high",TRUE)</f>
        <v>319.5</v>
      </c>
      <c r="I42" s="73">
        <f t="shared" ca="1" si="3"/>
        <v>41.01721439749609</v>
      </c>
      <c r="J42" s="74" t="str">
        <f t="shared" ca="1" si="4"/>
        <v>WATCH</v>
      </c>
      <c r="K42" s="75">
        <f t="array" aca="1" ref="K42" ca="1">_FV(A42,"Market cap",TRUE)/10000000</f>
        <v>4436.3879999999999</v>
      </c>
      <c r="L42" s="76" t="str">
        <f t="shared" ca="1" si="5"/>
        <v>SC</v>
      </c>
      <c r="M42" s="77" t="str">
        <f t="array" aca="1" ref="M42" ca="1">_FV(A42,"Industry")</f>
        <v>Machinery, Equipment &amp; Components</v>
      </c>
    </row>
    <row r="43" spans="1:13">
      <c r="A43" s="69" t="e" vm="42">
        <v>#VALUE!</v>
      </c>
      <c r="B43" s="70">
        <f t="array" aca="1" ref="B43" ca="1">_FV(A43,"Change (%)",TRUE)</f>
        <v>-2.7369999999999998E-3</v>
      </c>
      <c r="C43" s="71">
        <f t="array" aca="1" ref="C43" ca="1">_FV(A43,"Previous close",TRUE)</f>
        <v>4421.3</v>
      </c>
      <c r="D43" s="71">
        <f t="array" aca="1" ref="D43" ca="1">_FV(A43,"Price")</f>
        <v>4409.2</v>
      </c>
      <c r="E43" s="71">
        <f t="array" aca="1" ref="E43" ca="1">_FV(A43,"Low")</f>
        <v>4401.1000000000004</v>
      </c>
      <c r="F43" s="71">
        <f t="array" aca="1" ref="F43" ca="1">_FV(A43,"High")</f>
        <v>4476</v>
      </c>
      <c r="G43" s="71">
        <f t="array" aca="1" ref="G43" ca="1">_FV(A43,"52 week low",TRUE)</f>
        <v>3046.05</v>
      </c>
      <c r="H43" s="72">
        <f t="array" aca="1" ref="H43" ca="1">_FV(A43,"52 week high",TRUE)</f>
        <v>5165</v>
      </c>
      <c r="I43" s="73">
        <f t="shared" ca="1" si="3"/>
        <v>14.633107454017427</v>
      </c>
      <c r="J43" s="74" t="str">
        <f t="shared" ca="1" si="4"/>
        <v>LC BUY</v>
      </c>
      <c r="K43" s="75">
        <f t="array" aca="1" ref="K43" ca="1">_FV(A43,"Market cap",TRUE)/10000000</f>
        <v>295685.5</v>
      </c>
      <c r="L43" s="76" t="str">
        <f t="shared" ca="1" si="5"/>
        <v>LC</v>
      </c>
      <c r="M43" s="78" t="str">
        <f t="array" aca="1" ref="M43" ca="1">_FV(A43,"Industry")</f>
        <v>Aerospace &amp; Defense</v>
      </c>
    </row>
    <row r="44" spans="1:13">
      <c r="A44" s="69" t="e" vm="43">
        <v>#VALUE!</v>
      </c>
      <c r="B44" s="70">
        <f t="array" aca="1" ref="B44" ca="1">_FV(A44,"Change (%)",TRUE)</f>
        <v>-1.3635E-2</v>
      </c>
      <c r="C44" s="71">
        <f t="array" aca="1" ref="C44" ca="1">_FV(A44,"Previous close",TRUE)</f>
        <v>484.05</v>
      </c>
      <c r="D44" s="71">
        <f t="array" aca="1" ref="D44" ca="1">_FV(A44,"Price")</f>
        <v>477.45</v>
      </c>
      <c r="E44" s="71">
        <f t="array" aca="1" ref="E44" ca="1">_FV(A44,"Low")</f>
        <v>475.65</v>
      </c>
      <c r="F44" s="71">
        <f t="array" aca="1" ref="F44" ca="1">_FV(A44,"High")</f>
        <v>487</v>
      </c>
      <c r="G44" s="71">
        <f t="array" aca="1" ref="G44" ca="1">_FV(A44,"52 week low",TRUE)</f>
        <v>474.2</v>
      </c>
      <c r="H44" s="72">
        <f t="array" aca="1" ref="H44" ca="1">_FV(A44,"52 week high",TRUE)</f>
        <v>773.8</v>
      </c>
      <c r="I44" s="73">
        <f t="shared" ca="1" si="3"/>
        <v>38.298009821659342</v>
      </c>
      <c r="J44" s="74" t="str">
        <f t="shared" ca="1" si="4"/>
        <v>WATCH</v>
      </c>
      <c r="K44" s="75">
        <f t="array" aca="1" ref="K44" ca="1">_FV(A44,"Market cap",TRUE)/10000000</f>
        <v>7171.6379999999999</v>
      </c>
      <c r="L44" s="76" t="str">
        <f t="shared" ca="1" si="5"/>
        <v>HSC</v>
      </c>
      <c r="M44" s="78" t="str">
        <f t="array" aca="1" ref="M44" ca="1">_FV(A44,"Industry")</f>
        <v>Software &amp; IT Services</v>
      </c>
    </row>
    <row r="45" spans="1:13">
      <c r="A45" s="69" t="e" vm="44">
        <v>#VALUE!</v>
      </c>
      <c r="B45" s="70">
        <f t="array" aca="1" ref="B45" ca="1">_FV(A45,"Change (%)",TRUE)</f>
        <v>1.8035000000000002E-2</v>
      </c>
      <c r="C45" s="71">
        <f t="array" aca="1" ref="C45" ca="1">_FV(A45,"Previous close",TRUE)</f>
        <v>881.6</v>
      </c>
      <c r="D45" s="71">
        <f t="array" aca="1" ref="D45" ca="1">_FV(A45,"Price")</f>
        <v>897.5</v>
      </c>
      <c r="E45" s="71">
        <f t="array" aca="1" ref="E45" ca="1">_FV(A45,"Low")</f>
        <v>876.25</v>
      </c>
      <c r="F45" s="71">
        <f t="array" aca="1" ref="F45" ca="1">_FV(A45,"High")</f>
        <v>914.8</v>
      </c>
      <c r="G45" s="71">
        <f t="array" aca="1" ref="G45" ca="1">_FV(A45,"52 week low",TRUE)</f>
        <v>405</v>
      </c>
      <c r="H45" s="72">
        <f t="array" aca="1" ref="H45" ca="1">_FV(A45,"52 week high",TRUE)</f>
        <v>1122</v>
      </c>
      <c r="I45" s="73">
        <f t="shared" ca="1" si="3"/>
        <v>20.008912655971479</v>
      </c>
      <c r="J45" s="74" t="str">
        <f t="shared" ca="1" si="4"/>
        <v>FIRST MC BUY</v>
      </c>
      <c r="K45" s="75">
        <f t="array" aca="1" ref="K45" ca="1">_FV(A45,"Market cap",TRUE)/10000000</f>
        <v>24437.51</v>
      </c>
      <c r="L45" s="76" t="str">
        <f t="shared" ca="1" si="5"/>
        <v>MC</v>
      </c>
      <c r="M45" s="77" t="str">
        <f t="array" aca="1" ref="M45" ca="1">_FV(A45,"Industry")</f>
        <v>Machinery, Equipment &amp; Components</v>
      </c>
    </row>
    <row r="46" spans="1:13">
      <c r="A46" s="69" t="e" vm="45">
        <v>#VALUE!</v>
      </c>
      <c r="B46" s="70">
        <f t="array" aca="1" ref="B46" ca="1">_FV(A46,"Change (%)",TRUE)</f>
        <v>-8.2399999999999991E-3</v>
      </c>
      <c r="C46" s="71">
        <f t="array" aca="1" ref="C46" ca="1">_FV(A46,"Previous close",TRUE)</f>
        <v>1674.7</v>
      </c>
      <c r="D46" s="71">
        <f t="array" aca="1" ref="D46" ca="1">_FV(A46,"Price")</f>
        <v>1660.9</v>
      </c>
      <c r="E46" s="71">
        <f t="array" aca="1" ref="E46" ca="1">_FV(A46,"Low")</f>
        <v>1650.5</v>
      </c>
      <c r="F46" s="71">
        <f t="array" aca="1" ref="F46" ca="1">_FV(A46,"High")</f>
        <v>1676.4</v>
      </c>
      <c r="G46" s="71">
        <f t="array" aca="1" ref="G46" ca="1">_FV(A46,"52 week low",TRUE)</f>
        <v>1302.75</v>
      </c>
      <c r="H46" s="72">
        <f t="array" aca="1" ref="H46" ca="1">_FV(A46,"52 week high",TRUE)</f>
        <v>2005.46</v>
      </c>
      <c r="I46" s="73">
        <f t="shared" ca="1" si="3"/>
        <v>17.181095608987459</v>
      </c>
      <c r="J46" s="74" t="str">
        <f t="shared" ca="1" si="4"/>
        <v>LC BUY</v>
      </c>
      <c r="K46" s="75">
        <f t="array" aca="1" ref="K46" ca="1">_FV(A46,"Market cap",TRUE)/10000000</f>
        <v>453091.8</v>
      </c>
      <c r="L46" s="76" t="str">
        <f t="shared" ca="1" si="5"/>
        <v>LC</v>
      </c>
      <c r="M46" s="78" t="str">
        <f t="array" aca="1" ref="M46" ca="1">_FV(A46,"Industry")</f>
        <v>Software &amp; IT Services</v>
      </c>
    </row>
    <row r="47" spans="1:13">
      <c r="A47" s="69" t="e" vm="46">
        <v>#VALUE!</v>
      </c>
      <c r="B47" s="70">
        <f t="array" aca="1" ref="B47" ca="1">_FV(A47,"Change (%)",TRUE)</f>
        <v>-5.1139999999999996E-3</v>
      </c>
      <c r="C47" s="71">
        <f t="array" aca="1" ref="C47" ca="1">_FV(A47,"Previous close",TRUE)</f>
        <v>997.2</v>
      </c>
      <c r="D47" s="71">
        <f t="array" aca="1" ref="D47" ca="1">_FV(A47,"Price")</f>
        <v>992.1</v>
      </c>
      <c r="E47" s="71">
        <f t="array" aca="1" ref="E47" ca="1">_FV(A47,"Low")</f>
        <v>987.7</v>
      </c>
      <c r="F47" s="71">
        <f t="array" aca="1" ref="F47" ca="1">_FV(A47,"High")</f>
        <v>997.2</v>
      </c>
      <c r="G47" s="71">
        <f t="array" aca="1" ref="G47" ca="1">_FV(A47,"52 week low",TRUE)</f>
        <v>810.13</v>
      </c>
      <c r="H47" s="72">
        <f t="array" aca="1" ref="H47" ca="1">_FV(A47,"52 week high",TRUE)</f>
        <v>1020.5</v>
      </c>
      <c r="I47" s="73">
        <f t="shared" ca="1" si="3"/>
        <v>2.7829495345418889</v>
      </c>
      <c r="J47" s="74" t="str">
        <f t="shared" ca="1" si="4"/>
        <v>WATCH</v>
      </c>
      <c r="K47" s="75">
        <f t="array" aca="1" ref="K47" ca="1">_FV(A47,"Market cap",TRUE)/10000000</f>
        <v>1534146</v>
      </c>
      <c r="L47" s="76" t="str">
        <f t="shared" ca="1" si="5"/>
        <v>HLC</v>
      </c>
      <c r="M47" s="77" t="str">
        <f t="array" aca="1" ref="M47" ca="1">_FV(A47,"Industry")</f>
        <v>Banking Services</v>
      </c>
    </row>
    <row r="48" spans="1:13">
      <c r="A48" s="69" t="e" vm="47">
        <v>#VALUE!</v>
      </c>
      <c r="B48" s="70">
        <f t="array" aca="1" ref="B48" ca="1">_FV(A48,"Change (%)",TRUE)</f>
        <v>-2.9659999999999999E-3</v>
      </c>
      <c r="C48" s="71">
        <f t="array" aca="1" ref="C48" ca="1">_FV(A48,"Previous close",TRUE)</f>
        <v>60.68</v>
      </c>
      <c r="D48" s="71">
        <f t="array" aca="1" ref="D48" ca="1">_FV(A48,"Price")</f>
        <v>60.5</v>
      </c>
      <c r="E48" s="71">
        <f t="array" aca="1" ref="E48" ca="1">_FV(A48,"Low")</f>
        <v>60.41</v>
      </c>
      <c r="F48" s="71">
        <f t="array" aca="1" ref="F48" ca="1">_FV(A48,"High")</f>
        <v>60.71</v>
      </c>
      <c r="G48" s="71">
        <f t="array" aca="1" ref="G48" ca="1">_FV(A48,"52 week low",TRUE)</f>
        <v>48.51</v>
      </c>
      <c r="H48" s="72">
        <f t="array" aca="1" ref="H48" ca="1">_FV(A48,"52 week high",TRUE)</f>
        <v>62.3</v>
      </c>
      <c r="I48" s="73">
        <f t="shared" ca="1" si="3"/>
        <v>2.8892455858747947</v>
      </c>
      <c r="J48" s="74" t="str">
        <f t="shared" ca="1" si="4"/>
        <v>WATCH</v>
      </c>
      <c r="K48" s="75">
        <f t="array" aca="1" ref="K48" ca="1">_FV(A48,"Market cap",TRUE)/10000000</f>
        <v>2877.607</v>
      </c>
      <c r="L48" s="76" t="str">
        <f t="shared" ca="1" si="5"/>
        <v>SC</v>
      </c>
      <c r="M48" s="77" t="e" vm="48">
        <f t="array" ref="M48">_FV(A48,"Industry")</f>
        <v>#VALUE!</v>
      </c>
    </row>
    <row r="49" spans="1:13">
      <c r="A49" s="69" t="e" vm="49">
        <v>#VALUE!</v>
      </c>
      <c r="B49" s="70">
        <f t="array" aca="1" ref="B49" ca="1">_FV(A49,"Change (%)",TRUE)</f>
        <v>-1.0792E-2</v>
      </c>
      <c r="C49" s="71">
        <f t="array" aca="1" ref="C49" ca="1">_FV(A49,"Previous close",TRUE)</f>
        <v>5698.5</v>
      </c>
      <c r="D49" s="71">
        <f t="array" aca="1" ref="D49" ca="1">_FV(A49,"Price")</f>
        <v>5637</v>
      </c>
      <c r="E49" s="71">
        <f t="array" aca="1" ref="E49" ca="1">_FV(A49,"Low")</f>
        <v>5611</v>
      </c>
      <c r="F49" s="71">
        <f t="array" aca="1" ref="F49" ca="1">_FV(A49,"High")</f>
        <v>5720</v>
      </c>
      <c r="G49" s="71">
        <f t="array" aca="1" ref="G49" ca="1">_FV(A49,"52 week low",TRUE)</f>
        <v>3344</v>
      </c>
      <c r="H49" s="72">
        <f t="array" aca="1" ref="H49" ca="1">_FV(A49,"52 week high",TRUE)</f>
        <v>6388.5</v>
      </c>
      <c r="I49" s="73">
        <f t="shared" ca="1" si="3"/>
        <v>11.763324724113641</v>
      </c>
      <c r="J49" s="74" t="str">
        <f t="shared" ca="1" si="4"/>
        <v>LC BUY</v>
      </c>
      <c r="K49" s="75">
        <f t="array" aca="1" ref="K49" ca="1">_FV(A49,"Market cap",TRUE)/10000000</f>
        <v>114016.5</v>
      </c>
      <c r="L49" s="76" t="str">
        <f t="shared" ca="1" si="5"/>
        <v>LC</v>
      </c>
      <c r="M49" s="78" t="str">
        <f t="array" aca="1" ref="M49" ca="1">_FV(A49,"Industry")</f>
        <v>Automobiles &amp; Auto Parts</v>
      </c>
    </row>
    <row r="50" spans="1:13">
      <c r="A50" s="69" t="e" vm="50">
        <v>#VALUE!</v>
      </c>
      <c r="B50" s="70">
        <f t="array" aca="1" ref="B50" ca="1">_FV(A50,"Change (%)",TRUE)</f>
        <v>9.7750000000000007E-3</v>
      </c>
      <c r="C50" s="71">
        <f t="array" aca="1" ref="C50" ca="1">_FV(A50,"Previous close",TRUE)</f>
        <v>864.45</v>
      </c>
      <c r="D50" s="71">
        <f t="array" aca="1" ref="D50" ca="1">_FV(A50,"Price")</f>
        <v>872.9</v>
      </c>
      <c r="E50" s="71">
        <f t="array" aca="1" ref="E50" ca="1">_FV(A50,"Low")</f>
        <v>861</v>
      </c>
      <c r="F50" s="71">
        <f t="array" aca="1" ref="F50" ca="1">_FV(A50,"High")</f>
        <v>874.75</v>
      </c>
      <c r="G50" s="71">
        <f t="array" aca="1" ref="G50" ca="1">_FV(A50,"52 week low",TRUE)</f>
        <v>546.45000000000005</v>
      </c>
      <c r="H50" s="72">
        <f t="array" aca="1" ref="H50" ca="1">_FV(A50,"52 week high",TRUE)</f>
        <v>882.3</v>
      </c>
      <c r="I50" s="73">
        <f t="shared" ca="1" si="3"/>
        <v>1.0653972571687609</v>
      </c>
      <c r="J50" s="74" t="str">
        <f t="shared" ca="1" si="4"/>
        <v>WATCH</v>
      </c>
      <c r="K50" s="75">
        <f t="array" aca="1" ref="K50" ca="1">_FV(A50,"Market cap",TRUE)/10000000</f>
        <v>195104.3</v>
      </c>
      <c r="L50" s="76" t="str">
        <f t="shared" ca="1" si="5"/>
        <v>LC</v>
      </c>
      <c r="M50" s="78" t="str">
        <f t="array" aca="1" ref="M50" ca="1">_FV(A50,"Industry")</f>
        <v>Metals &amp; Mining</v>
      </c>
    </row>
    <row r="51" spans="1:13">
      <c r="A51" s="69" t="e" vm="51">
        <v>#VALUE!</v>
      </c>
      <c r="B51" s="70">
        <f t="array" aca="1" ref="B51" ca="1">_FV(A51,"Change (%)",TRUE)</f>
        <v>1.4019999999999998E-3</v>
      </c>
      <c r="C51" s="71">
        <f t="array" aca="1" ref="C51" ca="1">_FV(A51,"Previous close",TRUE)</f>
        <v>2282.1999999999998</v>
      </c>
      <c r="D51" s="71">
        <f t="array" aca="1" ref="D51" ca="1">_FV(A51,"Price")</f>
        <v>2285.4</v>
      </c>
      <c r="E51" s="71">
        <f t="array" aca="1" ref="E51" ca="1">_FV(A51,"Low")</f>
        <v>2275</v>
      </c>
      <c r="F51" s="71">
        <f t="array" aca="1" ref="F51" ca="1">_FV(A51,"High")</f>
        <v>2290</v>
      </c>
      <c r="G51" s="71">
        <f t="array" aca="1" ref="G51" ca="1">_FV(A51,"52 week low",TRUE)</f>
        <v>2101.13</v>
      </c>
      <c r="H51" s="72">
        <f t="array" aca="1" ref="H51" ca="1">_FV(A51,"52 week high",TRUE)</f>
        <v>2705.1</v>
      </c>
      <c r="I51" s="73">
        <f t="shared" ca="1" si="3"/>
        <v>15.515138072529661</v>
      </c>
      <c r="J51" s="74" t="str">
        <f t="shared" ca="1" si="4"/>
        <v>SURE HLC BUY</v>
      </c>
      <c r="K51" s="75">
        <f t="array" aca="1" ref="K51" ca="1">_FV(A51,"Market cap",TRUE)/10000000</f>
        <v>536223.69999999995</v>
      </c>
      <c r="L51" s="76" t="str">
        <f t="shared" ca="1" si="5"/>
        <v>HLC</v>
      </c>
      <c r="M51" s="77" t="str">
        <f t="array" aca="1" ref="M51" ca="1">_FV(A51,"Industry")</f>
        <v>Personal &amp; Household Products &amp; Services</v>
      </c>
    </row>
    <row r="52" spans="1:13">
      <c r="A52" s="69" t="e" vm="52">
        <v>#VALUE!</v>
      </c>
      <c r="B52" s="70">
        <f t="array" aca="1" ref="B52" ca="1">_FV(A52,"Change (%)",TRUE)</f>
        <v>-6.9129999999999999E-3</v>
      </c>
      <c r="C52" s="71">
        <f t="array" aca="1" ref="C52" ca="1">_FV(A52,"Previous close",TRUE)</f>
        <v>1359.8</v>
      </c>
      <c r="D52" s="71">
        <f t="array" aca="1" ref="D52" ca="1">_FV(A52,"Price")</f>
        <v>1350.4</v>
      </c>
      <c r="E52" s="71">
        <f t="array" aca="1" ref="E52" ca="1">_FV(A52,"Low")</f>
        <v>1348.5</v>
      </c>
      <c r="F52" s="71">
        <f t="array" aca="1" ref="F52" ca="1">_FV(A52,"High")</f>
        <v>1362</v>
      </c>
      <c r="G52" s="71">
        <f t="array" aca="1" ref="G52" ca="1">_FV(A52,"52 week low",TRUE)</f>
        <v>1186</v>
      </c>
      <c r="H52" s="72">
        <f t="array" aca="1" ref="H52" ca="1">_FV(A52,"52 week high",TRUE)</f>
        <v>1500</v>
      </c>
      <c r="I52" s="73">
        <f t="shared" ca="1" si="3"/>
        <v>9.9733333333333274</v>
      </c>
      <c r="J52" s="74" t="str">
        <f t="shared" ca="1" si="4"/>
        <v>FIRST HLC BUY</v>
      </c>
      <c r="K52" s="75">
        <f t="array" aca="1" ref="K52" ca="1">_FV(A52,"Market cap",TRUE)/10000000</f>
        <v>971901.1</v>
      </c>
      <c r="L52" s="76" t="str">
        <f t="shared" ca="1" si="5"/>
        <v>HLC</v>
      </c>
      <c r="M52" s="77" t="str">
        <f t="array" aca="1" ref="M52" ca="1">_FV(A52,"Industry")</f>
        <v>Banking Services</v>
      </c>
    </row>
    <row r="53" spans="1:13">
      <c r="A53" s="69" t="e" vm="53">
        <v>#VALUE!</v>
      </c>
      <c r="B53" s="70">
        <f t="array" aca="1" ref="B53" ca="1">_FV(A53,"Change (%)",TRUE)</f>
        <v>-6.6559999999999996E-3</v>
      </c>
      <c r="C53" s="71">
        <f t="array" aca="1" ref="C53" ca="1">_FV(A53,"Previous close",TRUE)</f>
        <v>12.02</v>
      </c>
      <c r="D53" s="71">
        <f t="array" aca="1" ref="D53" ca="1">_FV(A53,"Price")</f>
        <v>11.94</v>
      </c>
      <c r="E53" s="71">
        <f t="array" aca="1" ref="E53" ca="1">_FV(A53,"Low")</f>
        <v>11.89</v>
      </c>
      <c r="F53" s="71">
        <f t="array" aca="1" ref="F53" ca="1">_FV(A53,"High")</f>
        <v>12.09</v>
      </c>
      <c r="G53" s="71">
        <f t="array" aca="1" ref="G53" ca="1">_FV(A53,"52 week low",TRUE)</f>
        <v>6.12</v>
      </c>
      <c r="H53" s="72">
        <f t="array" aca="1" ref="H53" ca="1">_FV(A53,"52 week high",TRUE)</f>
        <v>12.22</v>
      </c>
      <c r="I53" s="73">
        <f t="shared" ca="1" si="3"/>
        <v>2.2913256955810239</v>
      </c>
      <c r="J53" s="74" t="str">
        <f t="shared" ca="1" si="4"/>
        <v>WATCH</v>
      </c>
      <c r="K53" s="75">
        <f t="array" aca="1" ref="K53" ca="1">_FV(A53,"Market cap",TRUE)/10000000</f>
        <v>130228.3</v>
      </c>
      <c r="L53" s="76" t="str">
        <f t="shared" ca="1" si="5"/>
        <v>LC</v>
      </c>
      <c r="M53" s="77" t="str">
        <f t="array" aca="1" ref="M53" ca="1">_FV(A53,"Industry")</f>
        <v>Telecommunications Services</v>
      </c>
    </row>
    <row r="54" spans="1:13">
      <c r="A54" s="69" t="e" vm="54">
        <v>#VALUE!</v>
      </c>
      <c r="B54" s="70">
        <f t="array" aca="1" ref="B54" ca="1">_FV(A54,"Change (%)",TRUE)</f>
        <v>6.1450000000000003E-3</v>
      </c>
      <c r="C54" s="71">
        <f t="array" aca="1" ref="C54" ca="1">_FV(A54,"Previous close",TRUE)</f>
        <v>480.1</v>
      </c>
      <c r="D54" s="71">
        <f t="array" aca="1" ref="D54" ca="1">_FV(A54,"Price")</f>
        <v>483.05</v>
      </c>
      <c r="E54" s="71">
        <f t="array" aca="1" ref="E54" ca="1">_FV(A54,"Low")</f>
        <v>477.8</v>
      </c>
      <c r="F54" s="71">
        <f t="array" aca="1" ref="F54" ca="1">_FV(A54,"High")</f>
        <v>488.8</v>
      </c>
      <c r="G54" s="71">
        <f t="array" aca="1" ref="G54" ca="1">_FV(A54,"52 week low",TRUE)</f>
        <v>304.2</v>
      </c>
      <c r="H54" s="72">
        <f t="array" aca="1" ref="H54" ca="1">_FV(A54,"52 week high",TRUE)</f>
        <v>659.85</v>
      </c>
      <c r="I54" s="73">
        <f t="shared" ca="1" si="3"/>
        <v>26.793968326134728</v>
      </c>
      <c r="J54" s="74" t="str">
        <f t="shared" ca="1" si="4"/>
        <v>WATCH</v>
      </c>
      <c r="K54" s="75">
        <f t="array" aca="1" ref="K54" ca="1">_FV(A54,"Market cap",TRUE)/10000000</f>
        <v>2076.61</v>
      </c>
      <c r="L54" s="76" t="str">
        <f t="shared" ca="1" si="5"/>
        <v>SC</v>
      </c>
      <c r="M54" s="78" t="str">
        <f t="array" aca="1" ref="M54" ca="1">_FV(A54,"Industry")</f>
        <v>Aerospace &amp; Defense</v>
      </c>
    </row>
    <row r="55" spans="1:13">
      <c r="A55" s="69" t="e" vm="55">
        <v>#VALUE!</v>
      </c>
      <c r="B55" s="70">
        <f t="array" aca="1" ref="B55" ca="1">_FV(A55,"Change (%)",TRUE)</f>
        <v>-6.7559999999999994E-4</v>
      </c>
      <c r="C55" s="71">
        <f t="array" aca="1" ref="C55" ca="1">_FV(A55,"Previous close",TRUE)</f>
        <v>740.1</v>
      </c>
      <c r="D55" s="71">
        <f t="array" aca="1" ref="D55" ca="1">_FV(A55,"Price")</f>
        <v>739.6</v>
      </c>
      <c r="E55" s="71">
        <f t="array" aca="1" ref="E55" ca="1">_FV(A55,"Low")</f>
        <v>736.45</v>
      </c>
      <c r="F55" s="71">
        <f t="array" aca="1" ref="F55" ca="1">_FV(A55,"High")</f>
        <v>744.5</v>
      </c>
      <c r="G55" s="71">
        <f t="array" aca="1" ref="G55" ca="1">_FV(A55,"52 week low",TRUE)</f>
        <v>672.6</v>
      </c>
      <c r="H55" s="72">
        <f t="array" aca="1" ref="H55" ca="1">_FV(A55,"52 week high",TRUE)</f>
        <v>894.9</v>
      </c>
      <c r="I55" s="73">
        <f t="shared" ca="1" si="3"/>
        <v>17.353894289864787</v>
      </c>
      <c r="J55" s="74" t="str">
        <f t="shared" ca="1" si="4"/>
        <v>LC BUY</v>
      </c>
      <c r="K55" s="75">
        <f t="array" aca="1" ref="K55" ca="1">_FV(A55,"Market cap",TRUE)/10000000</f>
        <v>105348.2</v>
      </c>
      <c r="L55" s="76" t="str">
        <f t="shared" ca="1" si="5"/>
        <v>LC</v>
      </c>
      <c r="M55" s="78" t="str">
        <f t="array" aca="1" ref="M55" ca="1">_FV(A55,"Industry")</f>
        <v>Hotels &amp; Entertainment Services</v>
      </c>
    </row>
    <row r="56" spans="1:13">
      <c r="A56" s="69" t="e" vm="56">
        <v>#VALUE!</v>
      </c>
      <c r="B56" s="70">
        <f t="array" aca="1" ref="B56" ca="1">_FV(A56,"Change (%)",TRUE)</f>
        <v>-1.4760000000000001E-3</v>
      </c>
      <c r="C56" s="71">
        <f t="array" aca="1" ref="C56" ca="1">_FV(A56,"Previous close",TRUE)</f>
        <v>5081.5</v>
      </c>
      <c r="D56" s="71">
        <f t="array" aca="1" ref="D56" ca="1">_FV(A56,"Price")</f>
        <v>5074</v>
      </c>
      <c r="E56" s="71">
        <f t="array" aca="1" ref="E56" ca="1">_FV(A56,"Low")</f>
        <v>5031</v>
      </c>
      <c r="F56" s="71">
        <f t="array" aca="1" ref="F56" ca="1">_FV(A56,"High")</f>
        <v>5098</v>
      </c>
      <c r="G56" s="71">
        <f t="array" aca="1" ref="G56" ca="1">_FV(A56,"52 week low",TRUE)</f>
        <v>3945</v>
      </c>
      <c r="H56" s="72">
        <f t="array" aca="1" ref="H56" ca="1">_FV(A56,"52 week high",TRUE)</f>
        <v>6232.5</v>
      </c>
      <c r="I56" s="73">
        <f t="shared" ca="1" si="3"/>
        <v>18.588046530284796</v>
      </c>
      <c r="J56" s="74" t="str">
        <f t="shared" ca="1" si="4"/>
        <v>LC BUY</v>
      </c>
      <c r="K56" s="75">
        <f t="array" aca="1" ref="K56" ca="1">_FV(A56,"Market cap",TRUE)/10000000</f>
        <v>196156.1</v>
      </c>
      <c r="L56" s="76" t="str">
        <f t="shared" ca="1" si="5"/>
        <v>LC</v>
      </c>
      <c r="M56" s="78" t="str">
        <f t="array" aca="1" ref="M56" ca="1">_FV(A56,"Industry")</f>
        <v>Passenger Transportation Services</v>
      </c>
    </row>
    <row r="57" spans="1:13">
      <c r="A57" s="69" t="e" vm="57">
        <v>#VALUE!</v>
      </c>
      <c r="B57" s="70">
        <f t="array" aca="1" ref="B57" ca="1">_FV(A57,"Change (%)",TRUE)</f>
        <v>-4.3890000000000005E-3</v>
      </c>
      <c r="C57" s="71">
        <f t="array" aca="1" ref="C57" ca="1">_FV(A57,"Previous close",TRUE)</f>
        <v>1663.4</v>
      </c>
      <c r="D57" s="71">
        <f t="array" aca="1" ref="D57" ca="1">_FV(A57,"Price")</f>
        <v>1656.1</v>
      </c>
      <c r="E57" s="71">
        <f t="array" aca="1" ref="E57" ca="1">_FV(A57,"Low")</f>
        <v>1651.7</v>
      </c>
      <c r="F57" s="71">
        <f t="array" aca="1" ref="F57" ca="1">_FV(A57,"High")</f>
        <v>1668.8</v>
      </c>
      <c r="G57" s="71">
        <f t="array" aca="1" ref="G57" ca="1">_FV(A57,"52 week low",TRUE)</f>
        <v>1307</v>
      </c>
      <c r="H57" s="72">
        <f t="array" aca="1" ref="H57" ca="1">_FV(A57,"52 week high",TRUE)</f>
        <v>1982.8</v>
      </c>
      <c r="I57" s="73">
        <f t="shared" ca="1" si="3"/>
        <v>16.476699616703655</v>
      </c>
      <c r="J57" s="74" t="str">
        <f t="shared" ca="1" si="4"/>
        <v>SURE HLC BUY</v>
      </c>
      <c r="K57" s="75">
        <f t="array" aca="1" ref="K57" ca="1">_FV(A57,"Market cap",TRUE)/10000000</f>
        <v>669987.9</v>
      </c>
      <c r="L57" s="76" t="str">
        <f t="shared" ca="1" si="5"/>
        <v>HLC</v>
      </c>
      <c r="M57" s="78" t="str">
        <f t="array" aca="1" ref="M57" ca="1">_FV(A57,"Industry")</f>
        <v>Software &amp; IT Services</v>
      </c>
    </row>
    <row r="58" spans="1:13">
      <c r="A58" s="69" t="e" vm="58">
        <v>#VALUE!</v>
      </c>
      <c r="B58" s="70">
        <f t="array" aca="1" ref="B58" ca="1">_FV(A58,"Change (%)",TRUE)</f>
        <v>-5.3979999999999992E-3</v>
      </c>
      <c r="C58" s="71">
        <f t="array" aca="1" ref="C58" ca="1">_FV(A58,"Previous close",TRUE)</f>
        <v>161.16999999999999</v>
      </c>
      <c r="D58" s="71">
        <f t="array" aca="1" ref="D58" ca="1">_FV(A58,"Price")</f>
        <v>160.30000000000001</v>
      </c>
      <c r="E58" s="71">
        <f t="array" aca="1" ref="E58" ca="1">_FV(A58,"Low")</f>
        <v>159.61000000000001</v>
      </c>
      <c r="F58" s="71">
        <f t="array" aca="1" ref="F58" ca="1">_FV(A58,"High")</f>
        <v>161.94</v>
      </c>
      <c r="G58" s="71">
        <f t="array" aca="1" ref="G58" ca="1">_FV(A58,"52 week low",TRUE)</f>
        <v>110.72</v>
      </c>
      <c r="H58" s="72">
        <f t="array" aca="1" ref="H58" ca="1">_FV(A58,"52 week high",TRUE)</f>
        <v>174.5</v>
      </c>
      <c r="I58" s="73">
        <f t="shared" ca="1" si="3"/>
        <v>8.1375358166189038</v>
      </c>
      <c r="J58" s="74" t="str">
        <f t="shared" ca="1" si="4"/>
        <v>WATCH</v>
      </c>
      <c r="K58" s="75">
        <f t="array" aca="1" ref="K58" ca="1">_FV(A58,"Market cap",TRUE)/10000000</f>
        <v>227592</v>
      </c>
      <c r="L58" s="76" t="str">
        <f t="shared" ca="1" si="5"/>
        <v>LC</v>
      </c>
      <c r="M58" s="78" t="str">
        <f t="array" aca="1" ref="M58" ca="1">_FV(A58,"Industry")</f>
        <v>Oil &amp; Gas</v>
      </c>
    </row>
    <row r="59" spans="1:13">
      <c r="A59" s="69" t="e" vm="59">
        <v>#VALUE!</v>
      </c>
      <c r="B59" s="70">
        <f t="array" aca="1" ref="B59" ca="1">_FV(A59,"Change (%)",TRUE)</f>
        <v>-8.1560000000000001E-3</v>
      </c>
      <c r="C59" s="71">
        <f t="array" aca="1" ref="C59" ca="1">_FV(A59,"Previous close",TRUE)</f>
        <v>175.33</v>
      </c>
      <c r="D59" s="71">
        <f t="array" aca="1" ref="D59" ca="1">_FV(A59,"Price")</f>
        <v>173.9</v>
      </c>
      <c r="E59" s="71">
        <f t="array" aca="1" ref="E59" ca="1">_FV(A59,"Low")</f>
        <v>172.35</v>
      </c>
      <c r="F59" s="71">
        <f t="array" aca="1" ref="F59" ca="1">_FV(A59,"High")</f>
        <v>177.4</v>
      </c>
      <c r="G59" s="71">
        <f t="array" aca="1" ref="G59" ca="1">_FV(A59,"52 week low",TRUE)</f>
        <v>119.79</v>
      </c>
      <c r="H59" s="72">
        <f t="array" aca="1" ref="H59" ca="1">_FV(A59,"52 week high",TRUE)</f>
        <v>245.84</v>
      </c>
      <c r="I59" s="73">
        <f t="shared" ca="1" si="3"/>
        <v>29.262935242434104</v>
      </c>
      <c r="J59" s="74" t="str">
        <f t="shared" ca="1" si="4"/>
        <v>WATCH</v>
      </c>
      <c r="K59" s="75">
        <f t="array" aca="1" ref="K59" ca="1">_FV(A59,"Market cap",TRUE)/10000000</f>
        <v>2019.162</v>
      </c>
      <c r="L59" s="76" t="str">
        <f t="shared" ca="1" si="5"/>
        <v>SC</v>
      </c>
      <c r="M59" s="78" t="str">
        <f t="array" aca="1" ref="M59" ca="1">_FV(A59,"Industry")</f>
        <v>Chemicals</v>
      </c>
    </row>
    <row r="60" spans="1:13">
      <c r="A60" s="69" t="e" vm="60">
        <v>#VALUE!</v>
      </c>
      <c r="B60" s="70">
        <f t="array" aca="1" ref="B60" ca="1">_FV(A60,"Change (%)",TRUE)</f>
        <v>4.6924E-2</v>
      </c>
      <c r="C60" s="71">
        <f t="array" aca="1" ref="C60" ca="1">_FV(A60,"Previous close",TRUE)</f>
        <v>170.7</v>
      </c>
      <c r="D60" s="71">
        <f t="array" aca="1" ref="D60" ca="1">_FV(A60,"Price")</f>
        <v>178.71</v>
      </c>
      <c r="E60" s="71">
        <f t="array" aca="1" ref="E60" ca="1">_FV(A60,"Low")</f>
        <v>169</v>
      </c>
      <c r="F60" s="71">
        <f t="array" aca="1" ref="F60" ca="1">_FV(A60,"High")</f>
        <v>186.44</v>
      </c>
      <c r="G60" s="71">
        <f t="array" aca="1" ref="G60" ca="1">_FV(A60,"52 week low",TRUE)</f>
        <v>134.24</v>
      </c>
      <c r="H60" s="72">
        <f t="array" aca="1" ref="H60" ca="1">_FV(A60,"52 week high",TRUE)</f>
        <v>229.5</v>
      </c>
      <c r="I60" s="73">
        <f t="shared" ca="1" si="3"/>
        <v>22.130718954248362</v>
      </c>
      <c r="J60" s="74" t="str">
        <f t="shared" ca="1" si="4"/>
        <v>FIRST MC BUY</v>
      </c>
      <c r="K60" s="75">
        <f t="array" aca="1" ref="K60" ca="1">_FV(A60,"Market cap",TRUE)/10000000</f>
        <v>16054.6</v>
      </c>
      <c r="L60" s="76" t="str">
        <f t="shared" ca="1" si="5"/>
        <v>MC</v>
      </c>
      <c r="M60" s="78" t="str">
        <f t="array" aca="1" ref="M60" ca="1">_FV(A60,"Industry")</f>
        <v>Construction &amp; Engineering</v>
      </c>
    </row>
    <row r="61" spans="1:13">
      <c r="A61" s="69" t="e" vm="61">
        <v>#VALUE!</v>
      </c>
      <c r="B61" s="70">
        <f t="array" aca="1" ref="B61" ca="1">_FV(A61,"Change (%)",TRUE)</f>
        <v>3.8033999999999998E-2</v>
      </c>
      <c r="C61" s="71">
        <f t="array" aca="1" ref="C61" ca="1">_FV(A61,"Previous close",TRUE)</f>
        <v>679.65</v>
      </c>
      <c r="D61" s="71">
        <f t="array" aca="1" ref="D61" ca="1">_FV(A61,"Price")</f>
        <v>705.5</v>
      </c>
      <c r="E61" s="71">
        <f t="array" aca="1" ref="E61" ca="1">_FV(A61,"Low")</f>
        <v>678.8</v>
      </c>
      <c r="F61" s="71">
        <f t="array" aca="1" ref="F61" ca="1">_FV(A61,"High")</f>
        <v>712.55</v>
      </c>
      <c r="G61" s="71">
        <f t="array" aca="1" ref="G61" ca="1">_FV(A61,"52 week low",TRUE)</f>
        <v>656</v>
      </c>
      <c r="H61" s="72">
        <f t="array" aca="1" ref="H61" ca="1">_FV(A61,"52 week high",TRUE)</f>
        <v>831.75</v>
      </c>
      <c r="I61" s="73">
        <f t="shared" ca="1" si="3"/>
        <v>15.178839795611662</v>
      </c>
      <c r="J61" s="74" t="str">
        <f t="shared" ca="1" si="4"/>
        <v>FIRST HMC BUY</v>
      </c>
      <c r="K61" s="75">
        <f t="array" aca="1" ref="K61" ca="1">_FV(A61,"Market cap",TRUE)/10000000</f>
        <v>54372</v>
      </c>
      <c r="L61" s="76" t="str">
        <f t="shared" ca="1" si="5"/>
        <v>HMC</v>
      </c>
      <c r="M61" s="78" t="str">
        <f t="array" aca="1" ref="M61" ca="1">_FV(A61,"Industry")</f>
        <v>Passenger Transportation Services</v>
      </c>
    </row>
    <row r="62" spans="1:13">
      <c r="A62" s="69" t="e" vm="62">
        <v>#VALUE!</v>
      </c>
      <c r="B62" s="70">
        <f t="array" aca="1" ref="B62" ca="1">_FV(A62,"Change (%)",TRUE)</f>
        <v>2.0926999999999998E-2</v>
      </c>
      <c r="C62" s="71">
        <f t="array" aca="1" ref="C62" ca="1">_FV(A62,"Previous close",TRUE)</f>
        <v>138.1</v>
      </c>
      <c r="D62" s="71">
        <f t="array" aca="1" ref="D62" ca="1">_FV(A62,"Price")</f>
        <v>140.99</v>
      </c>
      <c r="E62" s="71">
        <f t="array" aca="1" ref="E62" ca="1">_FV(A62,"Low")</f>
        <v>137.21</v>
      </c>
      <c r="F62" s="71">
        <f t="array" aca="1" ref="F62" ca="1">_FV(A62,"High")</f>
        <v>143.30000000000001</v>
      </c>
      <c r="G62" s="71">
        <f t="array" aca="1" ref="G62" ca="1">_FV(A62,"52 week low",TRUE)</f>
        <v>129.11000000000001</v>
      </c>
      <c r="H62" s="72">
        <f t="array" aca="1" ref="H62" ca="1">_FV(A62,"52 week high",TRUE)</f>
        <v>234.29</v>
      </c>
      <c r="I62" s="73">
        <f t="shared" ca="1" si="3"/>
        <v>39.822442272397453</v>
      </c>
      <c r="J62" s="74" t="str">
        <f t="shared" ca="1" si="4"/>
        <v>MC BUY</v>
      </c>
      <c r="K62" s="75">
        <f t="array" aca="1" ref="K62" ca="1">_FV(A62,"Market cap",TRUE)/10000000</f>
        <v>39607.35</v>
      </c>
      <c r="L62" s="76" t="str">
        <f t="shared" ca="1" si="5"/>
        <v>MC</v>
      </c>
      <c r="M62" s="78" t="str">
        <f t="array" aca="1" ref="M62" ca="1">_FV(A62,"Industry")</f>
        <v>Banking Services</v>
      </c>
    </row>
    <row r="63" spans="1:13">
      <c r="A63" s="69" t="e" vm="63">
        <v>#VALUE!</v>
      </c>
      <c r="B63" s="70">
        <f t="array" aca="1" ref="B63" ca="1">_FV(A63,"Change (%)",TRUE)</f>
        <v>0.100008</v>
      </c>
      <c r="C63" s="71">
        <f t="array" aca="1" ref="C63" ca="1">_FV(A63,"Previous close",TRUE)</f>
        <v>121.49</v>
      </c>
      <c r="D63" s="71">
        <f t="array" aca="1" ref="D63" ca="1">_FV(A63,"Price")</f>
        <v>133.63999999999999</v>
      </c>
      <c r="E63" s="71">
        <f t="array" aca="1" ref="E63" ca="1">_FV(A63,"Low")</f>
        <v>121.86</v>
      </c>
      <c r="F63" s="71">
        <f t="array" aca="1" ref="F63" ca="1">_FV(A63,"High")</f>
        <v>134.59</v>
      </c>
      <c r="G63" s="71">
        <f t="array" aca="1" ref="G63" ca="1">_FV(A63,"52 week low",TRUE)</f>
        <v>108.04</v>
      </c>
      <c r="H63" s="72">
        <f t="array" aca="1" ref="H63" ca="1">_FV(A63,"52 week high",TRUE)</f>
        <v>158</v>
      </c>
      <c r="I63" s="73">
        <f t="shared" ca="1" si="3"/>
        <v>15.417721518987351</v>
      </c>
      <c r="J63" s="74" t="str">
        <f t="shared" ca="1" si="4"/>
        <v>LC BUY</v>
      </c>
      <c r="K63" s="75">
        <f t="array" aca="1" ref="K63" ca="1">_FV(A63,"Market cap",TRUE)/10000000</f>
        <v>158769.29999999999</v>
      </c>
      <c r="L63" s="76" t="str">
        <f t="shared" ca="1" si="5"/>
        <v>LC</v>
      </c>
      <c r="M63" s="77" t="str">
        <f t="array" aca="1" ref="M63" ca="1">_FV(A63,"Industry")</f>
        <v>Banking Services</v>
      </c>
    </row>
    <row r="64" spans="1:13">
      <c r="A64" s="69" t="e" vm="64">
        <v>#VALUE!</v>
      </c>
      <c r="B64" s="70">
        <f t="array" aca="1" ref="B64" ca="1">_FV(A64,"Change (%)",TRUE)</f>
        <v>-9.1269999999999997E-3</v>
      </c>
      <c r="C64" s="71">
        <f t="array" aca="1" ref="C64" ca="1">_FV(A64,"Previous close",TRUE)</f>
        <v>42.73</v>
      </c>
      <c r="D64" s="71">
        <f t="array" aca="1" ref="D64" ca="1">_FV(A64,"Price")</f>
        <v>42.34</v>
      </c>
      <c r="E64" s="71">
        <f t="array" aca="1" ref="E64" ca="1">_FV(A64,"Low")</f>
        <v>42.3</v>
      </c>
      <c r="F64" s="71">
        <f t="array" aca="1" ref="F64" ca="1">_FV(A64,"High")</f>
        <v>42.9</v>
      </c>
      <c r="G64" s="71">
        <f t="array" aca="1" ref="G64" ca="1">_FV(A64,"52 week low",TRUE)</f>
        <v>33.630000000000003</v>
      </c>
      <c r="H64" s="72">
        <f t="array" aca="1" ref="H64" ca="1">_FV(A64,"52 week high",TRUE)</f>
        <v>48.33</v>
      </c>
      <c r="I64" s="73">
        <f t="shared" ca="1" si="3"/>
        <v>12.39395820401406</v>
      </c>
      <c r="J64" s="74" t="str">
        <f t="shared" ca="1" si="4"/>
        <v>WATCH</v>
      </c>
      <c r="K64" s="75">
        <f t="array" aca="1" ref="K64" ca="1">_FV(A64,"Market cap",TRUE)/10000000</f>
        <v>3079.5072</v>
      </c>
      <c r="L64" s="76" t="str">
        <f t="shared" ca="1" si="5"/>
        <v>SC</v>
      </c>
      <c r="M64" s="78" t="e" cm="1" vm="48">
        <f t="array" ref="M64">_FV(A64,"Industry")</f>
        <v>#VALUE!</v>
      </c>
    </row>
    <row r="65" spans="1:16">
      <c r="A65" s="69" t="e" vm="65">
        <v>#VALUE!</v>
      </c>
      <c r="B65" s="70">
        <f t="array" aca="1" ref="B65" ca="1">_FV(A65,"Change (%)",TRUE)</f>
        <v>-6.0260000000000001E-3</v>
      </c>
      <c r="C65" s="71">
        <f t="array" aca="1" ref="C65" ca="1">_FV(A65,"Previous close",TRUE)</f>
        <v>406.6</v>
      </c>
      <c r="D65" s="71">
        <f t="array" aca="1" ref="D65" ca="1">_FV(A65,"Price")</f>
        <v>404.15</v>
      </c>
      <c r="E65" s="71">
        <f t="array" aca="1" ref="E65" ca="1">_FV(A65,"Low")</f>
        <v>403.85</v>
      </c>
      <c r="F65" s="71">
        <f t="array" aca="1" ref="F65" ca="1">_FV(A65,"High")</f>
        <v>407.15</v>
      </c>
      <c r="G65" s="71">
        <f t="array" aca="1" ref="G65" ca="1">_FV(A65,"52 week low",TRUE)</f>
        <v>390.15</v>
      </c>
      <c r="H65" s="72">
        <f t="array" aca="1" ref="H65" ca="1">_FV(A65,"52 week high",TRUE)</f>
        <v>471.5</v>
      </c>
      <c r="I65" s="73">
        <f t="shared" ref="I65:I96" ca="1" si="6">(H65-D65)*100/H65</f>
        <v>14.284199363732771</v>
      </c>
      <c r="J65" s="74" t="str">
        <f t="shared" ref="J65:J96" ca="1" si="7">IF(AND(L65="HLC", I65&gt;12), "SURE HLC BUY",IF(AND(L65="HLC", I65&gt;7), "FIRST HLC BUY",IF(AND(L65="LC", I65&gt;20), "SURE LC BUY",IF(AND(L65="LC", I65&gt;10), "LC BUY",IF(AND(L65="HMC", I65&gt;30), "SURE HMC BUY",IF(AND(L65="HMC", I65&gt;20), "HMC BUY",IF(AND(L65="HMC", I65&gt;15), "FIRST HMC BUY",IF(AND(L65="MC", I65&gt;40), "SURE MC BUY",IF(AND(L65="MC", I65&gt;30), "MC BUY",IF(AND(L65="MC", I65&gt;20), "FIRST MC BUY",IF(AND(L65="HSC", I65&gt;60), "SURE HSC BUY",IF(AND(L65="HSC", I65&gt;50), "HSC BUY",IF(AND(L65="HSC", I65&gt;40), "FIRST HSC BUY",IF(AND(L65="SC", I65&gt;70), "SURE SC BUY",IF(AND(L65="SC", I65&gt;60), "SC BUY",IF(AND(L65="SC", I65&gt;50), "FIRST SC BUY",IF(AND(L65="VSC", I65&gt;80), "SURE VSC BUY",IF(AND(L65="VSC", I65&gt;70), "VSC BUY",IF(AND(L65="VSC", I65&gt;60), "FIRST VSC BUY","WATCH")))))))))))))))))))</f>
        <v>SURE HLC BUY</v>
      </c>
      <c r="K65" s="75">
        <f t="array" aca="1" ref="K65" ca="1">_FV(A65,"Market cap",TRUE)/10000000</f>
        <v>509427.5</v>
      </c>
      <c r="L65" s="76" t="str">
        <f t="shared" ref="L65:L96" ca="1" si="8">IF(K65&gt;500000,"HLC",IF(K65 &gt;100000,"LC",IF(K65 &gt;40000,"HMC",IF(K65 &gt;10000,"MC",IF(K65 &gt;=5000,"HSC",IF(K65 &gt;1000,"SC","VSC"))))))</f>
        <v>HLC</v>
      </c>
      <c r="M65" s="77" t="str">
        <f t="array" aca="1" ref="M65" ca="1">_FV(A65,"Industry")</f>
        <v>Food &amp; Tobacco</v>
      </c>
    </row>
    <row r="66" spans="1:16">
      <c r="A66" s="69" t="e" vm="66">
        <v>#VALUE!</v>
      </c>
      <c r="B66" s="70">
        <f t="array" aca="1" ref="B66" ca="1">_FV(A66,"Change (%)",TRUE)</f>
        <v>1.6073999999999998E-2</v>
      </c>
      <c r="C66" s="71">
        <f t="array" aca="1" ref="C66" ca="1">_FV(A66,"Previous close",TRUE)</f>
        <v>195.35</v>
      </c>
      <c r="D66" s="71">
        <f t="array" aca="1" ref="D66" ca="1">_FV(A66,"Price")</f>
        <v>198.49</v>
      </c>
      <c r="E66" s="71">
        <f t="array" aca="1" ref="E66" ca="1">_FV(A66,"Low")</f>
        <v>193.6</v>
      </c>
      <c r="F66" s="71">
        <f t="array" aca="1" ref="F66" ca="1">_FV(A66,"High")</f>
        <v>199.29</v>
      </c>
      <c r="G66" s="71">
        <f t="array" aca="1" ref="G66" ca="1">_FV(A66,"52 week low",TRUE)</f>
        <v>155.1</v>
      </c>
      <c r="H66" s="72">
        <f t="array" aca="1" ref="H66" ca="1">_FV(A66,"52 week high",TRUE)</f>
        <v>261.62</v>
      </c>
      <c r="I66" s="73">
        <f t="shared" ca="1" si="6"/>
        <v>24.130418163748949</v>
      </c>
      <c r="J66" s="74" t="str">
        <f t="shared" ca="1" si="7"/>
        <v>HMC BUY</v>
      </c>
      <c r="K66" s="75">
        <f t="array" aca="1" ref="K66" ca="1">_FV(A66,"Market cap",TRUE)/10000000</f>
        <v>40688.54</v>
      </c>
      <c r="L66" s="76" t="str">
        <f t="shared" ca="1" si="8"/>
        <v>HMC</v>
      </c>
      <c r="M66" s="78" t="str">
        <f t="array" aca="1" ref="M66" ca="1">_FV(A66,"Industry")</f>
        <v>Hotels &amp; Entertainment Services</v>
      </c>
    </row>
    <row r="67" spans="1:16">
      <c r="A67" s="69" t="e" vm="67">
        <v>#VALUE!</v>
      </c>
      <c r="B67" s="70">
        <f t="array" aca="1" ref="B67" ca="1">_FV(A67,"Change (%)",TRUE)</f>
        <v>-6.5239999999999994E-3</v>
      </c>
      <c r="C67" s="71">
        <f t="array" aca="1" ref="C67" ca="1">_FV(A67,"Previous close",TRUE)</f>
        <v>298.89999999999998</v>
      </c>
      <c r="D67" s="71">
        <f t="array" aca="1" ref="D67" ca="1">_FV(A67,"Price")</f>
        <v>296.95</v>
      </c>
      <c r="E67" s="71">
        <f t="array" aca="1" ref="E67" ca="1">_FV(A67,"Low")</f>
        <v>296.14999999999998</v>
      </c>
      <c r="F67" s="71">
        <f t="array" aca="1" ref="F67" ca="1">_FV(A67,"High")</f>
        <v>299.8</v>
      </c>
      <c r="G67" s="71">
        <f t="array" aca="1" ref="G67" ca="1">_FV(A67,"52 week low",TRUE)</f>
        <v>198.65</v>
      </c>
      <c r="H67" s="72">
        <f t="array" aca="1" ref="H67" ca="1">_FV(A67,"52 week high",TRUE)</f>
        <v>338.6</v>
      </c>
      <c r="I67" s="73">
        <f t="shared" ca="1" si="6"/>
        <v>12.300649734199656</v>
      </c>
      <c r="J67" s="74" t="str">
        <f t="shared" ca="1" si="7"/>
        <v>LC BUY</v>
      </c>
      <c r="K67" s="75">
        <f t="array" aca="1" ref="K67" ca="1">_FV(A67,"Market cap",TRUE)/10000000</f>
        <v>189895.4</v>
      </c>
      <c r="L67" s="75" t="str">
        <f t="shared" ca="1" si="8"/>
        <v>LC</v>
      </c>
      <c r="M67" s="75" t="str">
        <f t="array" aca="1" ref="M67" ca="1">_FV(A67,"Industry")</f>
        <v>Banking Services</v>
      </c>
    </row>
    <row r="68" spans="1:16">
      <c r="A68" s="69" t="e" vm="68">
        <v>#VALUE!</v>
      </c>
      <c r="B68" s="70">
        <f t="array" aca="1" ref="B68" ca="1">_FV(A68,"Change (%)",TRUE)</f>
        <v>1.3740000000000001E-4</v>
      </c>
      <c r="C68" s="71">
        <f t="array" aca="1" ref="C68" ca="1">_FV(A68,"Previous close",TRUE)</f>
        <v>364</v>
      </c>
      <c r="D68" s="71">
        <f t="array" aca="1" ref="D68" ca="1">_FV(A68,"Price")</f>
        <v>364.05</v>
      </c>
      <c r="E68" s="71">
        <f t="array" aca="1" ref="E68" ca="1">_FV(A68,"Low")</f>
        <v>361.8</v>
      </c>
      <c r="F68" s="71">
        <f t="array" aca="1" ref="F68" ca="1">_FV(A68,"High")</f>
        <v>367</v>
      </c>
      <c r="G68" s="71">
        <f t="array" aca="1" ref="G68" ca="1">_FV(A68,"52 week low",TRUE)</f>
        <v>275.75</v>
      </c>
      <c r="H68" s="72">
        <f t="array" aca="1" ref="H68" ca="1">_FV(A68,"52 week high",TRUE)</f>
        <v>444.8</v>
      </c>
      <c r="I68" s="73">
        <f t="shared" ca="1" si="6"/>
        <v>18.154226618705035</v>
      </c>
      <c r="J68" s="74" t="str">
        <f t="shared" ca="1" si="7"/>
        <v>WATCH</v>
      </c>
      <c r="K68" s="75">
        <f t="array" aca="1" ref="K68" ca="1">_FV(A68,"Market cap",TRUE)/10000000</f>
        <v>6166.2449999999999</v>
      </c>
      <c r="L68" s="75" t="str">
        <f t="shared" ca="1" si="8"/>
        <v>HSC</v>
      </c>
      <c r="M68" s="75" t="str">
        <f t="array" aca="1" ref="M68" ca="1">_FV(A68,"Industry")</f>
        <v>Paper &amp; Forest Products</v>
      </c>
      <c r="O68">
        <v>1</v>
      </c>
      <c r="P68">
        <v>10000</v>
      </c>
    </row>
    <row r="69" spans="1:16">
      <c r="A69" s="69" t="e" vm="69">
        <v>#VALUE!</v>
      </c>
      <c r="B69" s="70">
        <f t="array" aca="1" ref="B69" ca="1">_FV(A69,"Change (%)",TRUE)</f>
        <v>-6.8300000000000001E-3</v>
      </c>
      <c r="C69" s="71">
        <f t="array" aca="1" ref="C69" ca="1">_FV(A69,"Previous close",TRUE)</f>
        <v>563.65</v>
      </c>
      <c r="D69" s="71">
        <f t="array" aca="1" ref="D69" ca="1">_FV(A69,"Price")</f>
        <v>559.79999999999995</v>
      </c>
      <c r="E69" s="71">
        <f t="array" aca="1" ref="E69" ca="1">_FV(A69,"Low")</f>
        <v>555</v>
      </c>
      <c r="F69" s="71">
        <f t="array" aca="1" ref="F69" ca="1">_FV(A69,"High")</f>
        <v>565.95000000000005</v>
      </c>
      <c r="G69" s="71">
        <f t="array" aca="1" ref="G69" ca="1">_FV(A69,"52 week low",TRUE)</f>
        <v>548.4</v>
      </c>
      <c r="H69" s="72">
        <f t="array" aca="1" ref="H69" ca="1">_FV(A69,"52 week high",TRUE)</f>
        <v>796.75</v>
      </c>
      <c r="I69" s="73">
        <f t="shared" ca="1" si="6"/>
        <v>29.739566990900538</v>
      </c>
      <c r="J69" s="74" t="str">
        <f t="shared" ca="1" si="7"/>
        <v>FIRST MC BUY</v>
      </c>
      <c r="K69" s="75">
        <f t="array" aca="1" ref="K69" ca="1">_FV(A69,"Market cap",TRUE)/10000000</f>
        <v>36806.69</v>
      </c>
      <c r="L69" s="75" t="str">
        <f t="shared" ca="1" si="8"/>
        <v>MC</v>
      </c>
      <c r="M69" s="75" t="str">
        <f t="array" aca="1" ref="M69" ca="1">_FV(A69,"Industry")</f>
        <v>Hotels &amp; Entertainment Services</v>
      </c>
    </row>
    <row r="70" spans="1:16">
      <c r="A70" s="69" t="e" vm="70">
        <v>#VALUE!</v>
      </c>
      <c r="B70" s="70">
        <f t="array" aca="1" ref="B70" ca="1">_FV(A70,"Change (%)",TRUE)</f>
        <v>2.3109999999999998E-4</v>
      </c>
      <c r="C70" s="71">
        <f t="array" aca="1" ref="C70" ca="1">_FV(A70,"Previous close",TRUE)</f>
        <v>2163.6999999999998</v>
      </c>
      <c r="D70" s="71">
        <f t="array" aca="1" ref="D70" ca="1">_FV(A70,"Price")</f>
        <v>2164.1999999999998</v>
      </c>
      <c r="E70" s="71">
        <f t="array" aca="1" ref="E70" ca="1">_FV(A70,"Low")</f>
        <v>2152.9</v>
      </c>
      <c r="F70" s="71">
        <f t="array" aca="1" ref="F70" ca="1">_FV(A70,"High")</f>
        <v>2173.6</v>
      </c>
      <c r="G70" s="71">
        <f t="array" aca="1" ref="G70" ca="1">_FV(A70,"52 week low",TRUE)</f>
        <v>1723.75</v>
      </c>
      <c r="H70" s="72">
        <f t="array" aca="1" ref="H70" ca="1">_FV(A70,"52 week high",TRUE)</f>
        <v>2301.9</v>
      </c>
      <c r="I70" s="73">
        <f t="shared" ca="1" si="6"/>
        <v>5.9820148572918139</v>
      </c>
      <c r="J70" s="74" t="str">
        <f t="shared" ca="1" si="7"/>
        <v>WATCH</v>
      </c>
      <c r="K70" s="75">
        <f t="array" aca="1" ref="K70" ca="1">_FV(A70,"Market cap",TRUE)/10000000</f>
        <v>430381.3</v>
      </c>
      <c r="L70" s="75" t="str">
        <f t="shared" ca="1" si="8"/>
        <v>LC</v>
      </c>
      <c r="M70" s="75" t="str">
        <f t="array" aca="1" ref="M70" ca="1">_FV(A70,"Industry")</f>
        <v>Banking Services</v>
      </c>
    </row>
    <row r="71" spans="1:16">
      <c r="A71" s="69" t="e" vm="71">
        <v>#VALUE!</v>
      </c>
      <c r="B71" s="70">
        <f t="array" aca="1" ref="B71" ca="1">_FV(A71,"Change (%)",TRUE)</f>
        <v>-6.6540000000000002E-3</v>
      </c>
      <c r="C71" s="71">
        <f t="array" aca="1" ref="C71" ca="1">_FV(A71,"Previous close",TRUE)</f>
        <v>1217.3</v>
      </c>
      <c r="D71" s="71">
        <f t="array" aca="1" ref="D71" ca="1">_FV(A71,"Price")</f>
        <v>1209.2</v>
      </c>
      <c r="E71" s="71">
        <f t="array" aca="1" ref="E71" ca="1">_FV(A71,"Low")</f>
        <v>1205</v>
      </c>
      <c r="F71" s="71">
        <f t="array" aca="1" ref="F71" ca="1">_FV(A71,"High")</f>
        <v>1236.2</v>
      </c>
      <c r="G71" s="71">
        <f t="array" aca="1" ref="G71" ca="1">_FV(A71,"52 week low",TRUE)</f>
        <v>1020.6</v>
      </c>
      <c r="H71" s="72">
        <f t="array" aca="1" ref="H71" ca="1">_FV(A71,"52 week high",TRUE)</f>
        <v>1500</v>
      </c>
      <c r="I71" s="73">
        <f t="shared" ca="1" si="6"/>
        <v>19.386666666666663</v>
      </c>
      <c r="J71" s="74" t="str">
        <f t="shared" ca="1" si="7"/>
        <v>WATCH</v>
      </c>
      <c r="K71" s="75">
        <f t="array" aca="1" ref="K71" ca="1">_FV(A71,"Market cap",TRUE)/10000000</f>
        <v>33117.949999999997</v>
      </c>
      <c r="L71" s="75" t="str">
        <f t="shared" ca="1" si="8"/>
        <v>MC</v>
      </c>
      <c r="M71" s="75" t="str">
        <f t="array" aca="1" ref="M71" ca="1">_FV(A71,"Industry")</f>
        <v>Software &amp; IT Services</v>
      </c>
    </row>
    <row r="72" spans="1:16">
      <c r="A72" s="69" t="e" vm="72">
        <v>#VALUE!</v>
      </c>
      <c r="B72" s="70">
        <f t="array" aca="1" ref="B72" ca="1">_FV(A72,"Change (%)",TRUE)</f>
        <v>-2.3440000000000002E-3</v>
      </c>
      <c r="C72" s="71">
        <f t="array" aca="1" ref="C72" ca="1">_FV(A72,"Previous close",TRUE)</f>
        <v>1407.8</v>
      </c>
      <c r="D72" s="71">
        <f t="array" aca="1" ref="D72" ca="1">_FV(A72,"Price")</f>
        <v>1404.5</v>
      </c>
      <c r="E72" s="71">
        <f t="array" aca="1" ref="E72" ca="1">_FV(A72,"Low")</f>
        <v>1387.6</v>
      </c>
      <c r="F72" s="71">
        <f t="array" aca="1" ref="F72" ca="1">_FV(A72,"High")</f>
        <v>1433.9</v>
      </c>
      <c r="G72" s="71">
        <f t="array" aca="1" ref="G72" ca="1">_FV(A72,"52 week low",TRUE)</f>
        <v>1146.78</v>
      </c>
      <c r="H72" s="72">
        <f t="array" aca="1" ref="H72" ca="1">_FV(A72,"52 week high",TRUE)</f>
        <v>1770</v>
      </c>
      <c r="I72" s="73">
        <f t="shared" ca="1" si="6"/>
        <v>20.649717514124294</v>
      </c>
      <c r="J72" s="74" t="str">
        <f t="shared" ca="1" si="7"/>
        <v>FIRST MC BUY</v>
      </c>
      <c r="K72" s="75">
        <f t="array" aca="1" ref="K72" ca="1">_FV(A72,"Market cap",TRUE)/10000000</f>
        <v>23544.42</v>
      </c>
      <c r="L72" s="76" t="str">
        <f t="shared" ca="1" si="8"/>
        <v>MC</v>
      </c>
      <c r="M72" s="77" t="str">
        <f t="array" aca="1" ref="M72" ca="1">_FV(A72,"Industry")</f>
        <v>Healthcare Providers &amp; Services</v>
      </c>
    </row>
    <row r="73" spans="1:16">
      <c r="A73" s="69" t="e" vm="73">
        <v>#VALUE!</v>
      </c>
      <c r="B73" s="70">
        <f t="array" aca="1" ref="B73" ca="1">_FV(A73,"Change (%)",TRUE)</f>
        <v>-6.038E-3</v>
      </c>
      <c r="C73" s="71">
        <f t="array" aca="1" ref="C73" ca="1">_FV(A73,"Previous close",TRUE)</f>
        <v>463.75</v>
      </c>
      <c r="D73" s="71">
        <f t="array" aca="1" ref="D73" ca="1">_FV(A73,"Price")</f>
        <v>460.95</v>
      </c>
      <c r="E73" s="71">
        <f t="array" aca="1" ref="E73" ca="1">_FV(A73,"Low")</f>
        <v>459.4</v>
      </c>
      <c r="F73" s="71">
        <f t="array" aca="1" ref="F73" ca="1">_FV(A73,"High")</f>
        <v>469.8</v>
      </c>
      <c r="G73" s="71">
        <f t="array" aca="1" ref="G73" ca="1">_FV(A73,"52 week low",TRUE)</f>
        <v>341.2</v>
      </c>
      <c r="H73" s="72">
        <f t="array" aca="1" ref="H73" ca="1">_FV(A73,"52 week high",TRUE)</f>
        <v>517.5</v>
      </c>
      <c r="I73" s="73">
        <f t="shared" ca="1" si="6"/>
        <v>10.92753623188406</v>
      </c>
      <c r="J73" s="74" t="str">
        <f t="shared" ca="1" si="7"/>
        <v>WATCH</v>
      </c>
      <c r="K73" s="75">
        <f t="array" aca="1" ref="K73" ca="1">_FV(A73,"Market cap",TRUE)/10000000</f>
        <v>9596.1460000000006</v>
      </c>
      <c r="L73" s="76" t="str">
        <f t="shared" ca="1" si="8"/>
        <v>HSC</v>
      </c>
      <c r="M73" s="78" t="str">
        <f t="array" aca="1" ref="M73" ca="1">_FV(A73,"Instrument type",TRUE)</f>
        <v>Stock</v>
      </c>
    </row>
    <row r="74" spans="1:16">
      <c r="A74" s="69" t="e" vm="74">
        <v>#VALUE!</v>
      </c>
      <c r="B74" s="70">
        <f t="array" aca="1" ref="B74" ca="1">_FV(A74,"Change (%)",TRUE)</f>
        <v>-4.8599999999999997E-3</v>
      </c>
      <c r="C74" s="71">
        <f t="array" aca="1" ref="C74" ca="1">_FV(A74,"Previous close",TRUE)</f>
        <v>853.9</v>
      </c>
      <c r="D74" s="71">
        <f t="array" aca="1" ref="D74" ca="1">_FV(A74,"Price")</f>
        <v>849.75</v>
      </c>
      <c r="E74" s="71">
        <f t="array" aca="1" ref="E74" ca="1">_FV(A74,"Low")</f>
        <v>844.8</v>
      </c>
      <c r="F74" s="71">
        <f t="array" aca="1" ref="F74" ca="1">_FV(A74,"High")</f>
        <v>851.4</v>
      </c>
      <c r="G74" s="71">
        <f t="array" aca="1" ref="G74" ca="1">_FV(A74,"52 week low",TRUE)</f>
        <v>715.3</v>
      </c>
      <c r="H74" s="72">
        <f t="array" aca="1" ref="H74" ca="1">_FV(A74,"52 week high",TRUE)</f>
        <v>980</v>
      </c>
      <c r="I74" s="73">
        <f t="shared" ca="1" si="6"/>
        <v>13.290816326530612</v>
      </c>
      <c r="J74" s="74" t="str">
        <f t="shared" ca="1" si="7"/>
        <v>SURE HLC BUY</v>
      </c>
      <c r="K74" s="75">
        <f t="array" aca="1" ref="K74" ca="1">_FV(A74,"Market cap",TRUE)/10000000</f>
        <v>540091.6</v>
      </c>
      <c r="L74" s="76" t="str">
        <f t="shared" ca="1" si="8"/>
        <v>HLC</v>
      </c>
      <c r="M74" s="77" t="str">
        <f t="array" aca="1" ref="M74" ca="1">_FV(A74,"Industry")</f>
        <v>Insurance</v>
      </c>
    </row>
    <row r="75" spans="1:16">
      <c r="A75" s="69" t="e" vm="75">
        <v>#VALUE!</v>
      </c>
      <c r="B75" s="70">
        <f t="array" aca="1" ref="B75" ca="1">_FV(A75,"Change (%)",TRUE)</f>
        <v>-6.1110000000000001E-3</v>
      </c>
      <c r="C75" s="71">
        <f t="array" aca="1" ref="C75" ca="1">_FV(A75,"Previous close",TRUE)</f>
        <v>1080.0999999999999</v>
      </c>
      <c r="D75" s="71">
        <f t="array" aca="1" ref="D75" ca="1">_FV(A75,"Price")</f>
        <v>1073.5</v>
      </c>
      <c r="E75" s="71">
        <f t="array" aca="1" ref="E75" ca="1">_FV(A75,"Low")</f>
        <v>1069.7</v>
      </c>
      <c r="F75" s="71">
        <f t="array" aca="1" ref="F75" ca="1">_FV(A75,"High")</f>
        <v>1085</v>
      </c>
      <c r="G75" s="71">
        <f t="array" aca="1" ref="G75" ca="1">_FV(A75,"52 week low",TRUE)</f>
        <v>1035.1500000000001</v>
      </c>
      <c r="H75" s="72">
        <f t="array" aca="1" ref="H75" ca="1">_FV(A75,"52 week high",TRUE)</f>
        <v>1531</v>
      </c>
      <c r="I75" s="73">
        <f t="shared" ca="1" si="6"/>
        <v>29.882429784454605</v>
      </c>
      <c r="J75" s="74" t="str">
        <f t="shared" ca="1" si="7"/>
        <v>SURE LC BUY</v>
      </c>
      <c r="K75" s="75">
        <f t="array" aca="1" ref="K75" ca="1">_FV(A75,"Market cap",TRUE)/10000000</f>
        <v>107874.7</v>
      </c>
      <c r="L75" s="76" t="str">
        <f t="shared" ca="1" si="8"/>
        <v>LC</v>
      </c>
      <c r="M75" s="78" t="str">
        <f t="array" aca="1" ref="M75" ca="1">_FV(A75,"Industry")</f>
        <v>Real Estate Operations</v>
      </c>
    </row>
    <row r="76" spans="1:16">
      <c r="A76" s="69" t="e" vm="76">
        <v>#VALUE!</v>
      </c>
      <c r="B76" s="70">
        <f t="array" aca="1" ref="B76" ca="1">_FV(A76,"Change (%)",TRUE)</f>
        <v>-1.554E-3</v>
      </c>
      <c r="C76" s="71">
        <f t="array" aca="1" ref="C76" ca="1">_FV(A76,"Previous close",TRUE)</f>
        <v>4053.6</v>
      </c>
      <c r="D76" s="71">
        <f t="array" aca="1" ref="D76" ca="1">_FV(A76,"Price")</f>
        <v>4047.3</v>
      </c>
      <c r="E76" s="71">
        <f t="array" aca="1" ref="E76" ca="1">_FV(A76,"Low")</f>
        <v>4030.2</v>
      </c>
      <c r="F76" s="71">
        <f t="array" aca="1" ref="F76" ca="1">_FV(A76,"High")</f>
        <v>4061.5</v>
      </c>
      <c r="G76" s="71">
        <f t="array" aca="1" ref="G76" ca="1">_FV(A76,"52 week low",TRUE)</f>
        <v>2965.3</v>
      </c>
      <c r="H76" s="72">
        <f t="array" aca="1" ref="H76" ca="1">_FV(A76,"52 week high",TRUE)</f>
        <v>4140</v>
      </c>
      <c r="I76" s="73">
        <f t="shared" ca="1" si="6"/>
        <v>2.2391304347826044</v>
      </c>
      <c r="J76" s="74" t="str">
        <f t="shared" ca="1" si="7"/>
        <v>WATCH</v>
      </c>
      <c r="K76" s="75">
        <f t="array" aca="1" ref="K76" ca="1">_FV(A76,"Market cap",TRUE)/10000000</f>
        <v>556738.9</v>
      </c>
      <c r="L76" s="76" t="str">
        <f t="shared" ca="1" si="8"/>
        <v>HLC</v>
      </c>
      <c r="M76" s="77" t="str">
        <f t="array" aca="1" ref="M76" ca="1">_FV(A76,"Industry")</f>
        <v>Construction &amp; Engineering</v>
      </c>
    </row>
    <row r="77" spans="1:16">
      <c r="A77" s="69" t="e" vm="77">
        <v>#VALUE!</v>
      </c>
      <c r="B77" s="70">
        <f t="array" aca="1" ref="B77" ca="1">_FV(A77,"Change (%)",TRUE)</f>
        <v>-2.0687999999999998E-2</v>
      </c>
      <c r="C77" s="71">
        <f t="array" aca="1" ref="C77" ca="1">_FV(A77,"Previous close",TRUE)</f>
        <v>6163</v>
      </c>
      <c r="D77" s="71">
        <f t="array" aca="1" ref="D77" ca="1">_FV(A77,"Price")</f>
        <v>6035.5</v>
      </c>
      <c r="E77" s="71">
        <f t="array" aca="1" ref="E77" ca="1">_FV(A77,"Low")</f>
        <v>6020</v>
      </c>
      <c r="F77" s="71">
        <f t="array" aca="1" ref="F77" ca="1">_FV(A77,"High")</f>
        <v>6174.5</v>
      </c>
      <c r="G77" s="71">
        <f t="array" aca="1" ref="G77" ca="1">_FV(A77,"52 week low",TRUE)</f>
        <v>3802</v>
      </c>
      <c r="H77" s="72">
        <f t="array" aca="1" ref="H77" ca="1">_FV(A77,"52 week high",TRUE)</f>
        <v>6380</v>
      </c>
      <c r="I77" s="73">
        <f t="shared" ca="1" si="6"/>
        <v>5.3996865203761759</v>
      </c>
      <c r="J77" s="74" t="str">
        <f t="shared" ca="1" si="7"/>
        <v>WATCH</v>
      </c>
      <c r="K77" s="75">
        <f t="array" aca="1" ref="K77" ca="1">_FV(A77,"Market cap",TRUE)/10000000</f>
        <v>182713.5</v>
      </c>
      <c r="L77" s="76" t="str">
        <f t="shared" ca="1" si="8"/>
        <v>LC</v>
      </c>
      <c r="M77" s="77" t="str">
        <f t="array" aca="1" ref="M77" ca="1">_FV(A77,"Industry")</f>
        <v>Software &amp; IT Services</v>
      </c>
    </row>
    <row r="78" spans="1:16">
      <c r="A78" s="69" t="e" vm="78">
        <v>#VALUE!</v>
      </c>
      <c r="B78" s="70">
        <f t="array" aca="1" ref="B78" ca="1">_FV(A78,"Change (%)",TRUE)</f>
        <v>-1.9487000000000001E-2</v>
      </c>
      <c r="C78" s="71">
        <f t="array" aca="1" ref="C78" ca="1">_FV(A78,"Previous close",TRUE)</f>
        <v>4608.1000000000004</v>
      </c>
      <c r="D78" s="71">
        <f t="array" aca="1" ref="D78" ca="1">_FV(A78,"Price")</f>
        <v>4518.3</v>
      </c>
      <c r="E78" s="71">
        <f t="array" aca="1" ref="E78" ca="1">_FV(A78,"Low")</f>
        <v>4509</v>
      </c>
      <c r="F78" s="71">
        <f t="array" aca="1" ref="F78" ca="1">_FV(A78,"High")</f>
        <v>4643</v>
      </c>
      <c r="G78" s="71">
        <f t="array" aca="1" ref="G78" ca="1">_FV(A78,"52 week low",TRUE)</f>
        <v>3951.3</v>
      </c>
      <c r="H78" s="72">
        <f t="array" aca="1" ref="H78" ca="1">_FV(A78,"52 week high",TRUE)</f>
        <v>5645</v>
      </c>
      <c r="I78" s="73">
        <f t="shared" ca="1" si="6"/>
        <v>19.959255978742249</v>
      </c>
      <c r="J78" s="74" t="str">
        <f t="shared" ca="1" si="7"/>
        <v>FIRST HMC BUY</v>
      </c>
      <c r="K78" s="75">
        <f t="array" aca="1" ref="K78" ca="1">_FV(A78,"Market cap",TRUE)/10000000</f>
        <v>48840.94</v>
      </c>
      <c r="L78" s="76" t="str">
        <f t="shared" ca="1" si="8"/>
        <v>HMC</v>
      </c>
      <c r="M78" s="78" t="str">
        <f t="array" aca="1" ref="M78" ca="1">_FV(A78,"Industry")</f>
        <v>Construction &amp; Engineering</v>
      </c>
    </row>
    <row r="79" spans="1:16">
      <c r="A79" s="69" t="e" vm="79">
        <v>#VALUE!</v>
      </c>
      <c r="B79" s="70">
        <f t="array" aca="1" ref="B79" ca="1">_FV(A79,"Change (%)",TRUE)</f>
        <v>-6.4059999999999994E-3</v>
      </c>
      <c r="C79" s="71">
        <f t="array" aca="1" ref="C79" ca="1">_FV(A79,"Previous close",TRUE)</f>
        <v>16703</v>
      </c>
      <c r="D79" s="71">
        <f t="array" aca="1" ref="D79" ca="1">_FV(A79,"Price")</f>
        <v>16596</v>
      </c>
      <c r="E79" s="71">
        <f t="array" aca="1" ref="E79" ca="1">_FV(A79,"Low")</f>
        <v>16516</v>
      </c>
      <c r="F79" s="71">
        <f t="array" aca="1" ref="F79" ca="1">_FV(A79,"High")</f>
        <v>16703</v>
      </c>
      <c r="G79" s="71">
        <f t="array" aca="1" ref="G79" ca="1">_FV(A79,"52 week low",TRUE)</f>
        <v>10725</v>
      </c>
      <c r="H79" s="72">
        <f t="array" aca="1" ref="H79" ca="1">_FV(A79,"52 week high",TRUE)</f>
        <v>16720</v>
      </c>
      <c r="I79" s="73">
        <f t="shared" ca="1" si="6"/>
        <v>0.74162679425837319</v>
      </c>
      <c r="J79" s="74" t="str">
        <f t="shared" ca="1" si="7"/>
        <v>WATCH</v>
      </c>
      <c r="K79" s="75">
        <f t="array" aca="1" ref="K79" ca="1">_FV(A79,"Market cap",TRUE)/10000000</f>
        <v>521782.5</v>
      </c>
      <c r="L79" s="76" t="str">
        <f t="shared" ca="1" si="8"/>
        <v>HLC</v>
      </c>
      <c r="M79" s="78" t="str">
        <f t="array" aca="1" ref="M79" ca="1">_FV(A79,"Industry")</f>
        <v>Automobiles &amp; Auto Parts</v>
      </c>
    </row>
    <row r="80" spans="1:16">
      <c r="A80" s="69" t="e" vm="80">
        <v>#VALUE!</v>
      </c>
      <c r="B80" s="70">
        <f t="array" aca="1" ref="B80" ca="1">_FV(A80,"Change (%)",TRUE)</f>
        <v>-1.0300999999999999E-2</v>
      </c>
      <c r="C80" s="71">
        <f t="array" aca="1" ref="C80" ca="1">_FV(A80,"Previous close",TRUE)</f>
        <v>587.35</v>
      </c>
      <c r="D80" s="71">
        <f t="array" aca="1" ref="D80" ca="1">_FV(A80,"Price")</f>
        <v>581.29999999999995</v>
      </c>
      <c r="E80" s="71">
        <f t="array" aca="1" ref="E80" ca="1">_FV(A80,"Low")</f>
        <v>578.04999999999995</v>
      </c>
      <c r="F80" s="71">
        <f t="array" aca="1" ref="F80" ca="1">_FV(A80,"High")</f>
        <v>589.75</v>
      </c>
      <c r="G80" s="71">
        <f t="array" aca="1" ref="G80" ca="1">_FV(A80,"52 week low",TRUE)</f>
        <v>445.05</v>
      </c>
      <c r="H80" s="72">
        <f t="array" aca="1" ref="H80" ca="1">_FV(A80,"52 week high",TRUE)</f>
        <v>619.95000000000005</v>
      </c>
      <c r="I80" s="73">
        <f t="shared" ca="1" si="6"/>
        <v>6.234373739817741</v>
      </c>
      <c r="J80" s="74" t="str">
        <f t="shared" ca="1" si="7"/>
        <v>WATCH</v>
      </c>
      <c r="K80" s="75">
        <f t="array" aca="1" ref="K80" ca="1">_FV(A80,"Market cap",TRUE)/10000000</f>
        <v>13823.92</v>
      </c>
      <c r="L80" s="76" t="str">
        <f t="shared" ca="1" si="8"/>
        <v>MC</v>
      </c>
      <c r="M80" s="78" t="str">
        <f t="array" aca="1" ref="M80" ca="1">_FV(A80,"Industry")</f>
        <v>Automobiles &amp; Auto Parts</v>
      </c>
    </row>
    <row r="81" spans="1:15">
      <c r="A81" s="69" t="e" vm="81">
        <v>#VALUE!</v>
      </c>
      <c r="B81" s="70">
        <f t="array" aca="1" ref="B81" ca="1">_FV(A81,"Change (%)",TRUE)</f>
        <v>-3.7399999999999998E-3</v>
      </c>
      <c r="C81" s="71">
        <f t="array" aca="1" ref="C81" ca="1">_FV(A81,"Previous close",TRUE)</f>
        <v>3636.7</v>
      </c>
      <c r="D81" s="71">
        <f t="array" aca="1" ref="D81" ca="1">_FV(A81,"Price")</f>
        <v>3623.1</v>
      </c>
      <c r="E81" s="71">
        <f t="array" aca="1" ref="E81" ca="1">_FV(A81,"Low")</f>
        <v>3614.6</v>
      </c>
      <c r="F81" s="71">
        <f t="array" aca="1" ref="F81" ca="1">_FV(A81,"High")</f>
        <v>3647</v>
      </c>
      <c r="G81" s="71">
        <f t="array" aca="1" ref="G81" ca="1">_FV(A81,"52 week low",TRUE)</f>
        <v>2425</v>
      </c>
      <c r="H81" s="72">
        <f t="array" aca="1" ref="H81" ca="1">_FV(A81,"52 week high",TRUE)</f>
        <v>3795</v>
      </c>
      <c r="I81" s="73">
        <f t="shared" ca="1" si="6"/>
        <v>4.5296442687747058</v>
      </c>
      <c r="J81" s="74" t="str">
        <f t="shared" ca="1" si="7"/>
        <v>WATCH</v>
      </c>
      <c r="K81" s="75">
        <f t="array" aca="1" ref="K81" ca="1">_FV(A81,"Market cap",TRUE)/10000000</f>
        <v>436420.9</v>
      </c>
      <c r="L81" s="76" t="str">
        <f t="shared" ca="1" si="8"/>
        <v>LC</v>
      </c>
      <c r="M81" s="77" t="str">
        <f t="array" aca="1" ref="M81" ca="1">_FV(A81,"Industry")</f>
        <v>Automobiles &amp; Auto Parts</v>
      </c>
    </row>
    <row r="82" spans="1:15">
      <c r="A82" s="69" t="e" vm="82">
        <v>#VALUE!</v>
      </c>
      <c r="B82" s="70">
        <f t="array" aca="1" ref="B82" ca="1">_FV(A82,"Change (%)",TRUE)</f>
        <v>-2.0080000000000002E-3</v>
      </c>
      <c r="C82" s="71">
        <f t="array" aca="1" ref="C82" ca="1">_FV(A82,"Previous close",TRUE)</f>
        <v>119.53</v>
      </c>
      <c r="D82" s="71">
        <f t="array" aca="1" ref="D82" ca="1">_FV(A82,"Price")</f>
        <v>119.29</v>
      </c>
      <c r="E82" s="71">
        <f t="array" aca="1" ref="E82" ca="1">_FV(A82,"Low")</f>
        <v>118.4</v>
      </c>
      <c r="F82" s="71">
        <f t="array" aca="1" ref="F82" ca="1">_FV(A82,"High")</f>
        <v>121.14</v>
      </c>
      <c r="G82" s="71">
        <f t="array" aca="1" ref="G82" ca="1">_FV(A82,"52 week low",TRUE)</f>
        <v>71.5</v>
      </c>
      <c r="H82" s="72">
        <f t="array" aca="1" ref="H82" ca="1">_FV(A82,"52 week high",TRUE)</f>
        <v>122.8</v>
      </c>
      <c r="I82" s="73">
        <f t="shared" ca="1" si="6"/>
        <v>2.858306188925074</v>
      </c>
      <c r="J82" s="74" t="str">
        <f t="shared" ca="1" si="7"/>
        <v>WATCH</v>
      </c>
      <c r="K82" s="75">
        <f t="array" aca="1" ref="K82" ca="1">_FV(A82,"Market cap",TRUE)/10000000</f>
        <v>126157.3</v>
      </c>
      <c r="L82" s="76" t="str">
        <f t="shared" ca="1" si="8"/>
        <v>LC</v>
      </c>
      <c r="M82" s="78" t="str">
        <f t="array" aca="1" ref="M82" ca="1">_FV(A82,"Industry")</f>
        <v>Automobiles &amp; Auto Parts</v>
      </c>
    </row>
    <row r="83" spans="1:15">
      <c r="A83" s="69" t="e" vm="83">
        <v>#VALUE!</v>
      </c>
      <c r="B83" s="70">
        <f t="array" aca="1" ref="B83" ca="1">_FV(A83,"Change (%)",TRUE)</f>
        <v>-2.3094999999999997E-2</v>
      </c>
      <c r="C83" s="71">
        <f t="array" aca="1" ref="C83" ca="1">_FV(A83,"Previous close",TRUE)</f>
        <v>2450.6999999999998</v>
      </c>
      <c r="D83" s="71">
        <f t="array" aca="1" ref="D83" ca="1">_FV(A83,"Price")</f>
        <v>2394.1</v>
      </c>
      <c r="E83" s="71">
        <f t="array" aca="1" ref="E83" ca="1">_FV(A83,"Low")</f>
        <v>2383.8000000000002</v>
      </c>
      <c r="F83" s="71">
        <f t="array" aca="1" ref="F83" ca="1">_FV(A83,"High")</f>
        <v>2530.9</v>
      </c>
      <c r="G83" s="71">
        <f t="array" aca="1" ref="G83" ca="1">_FV(A83,"52 week low",TRUE)</f>
        <v>1155.5999999999999</v>
      </c>
      <c r="H83" s="72">
        <f t="array" aca="1" ref="H83" ca="1">_FV(A83,"52 week high",TRUE)</f>
        <v>2719</v>
      </c>
      <c r="I83" s="73">
        <f t="shared" ca="1" si="6"/>
        <v>11.949246046340569</v>
      </c>
      <c r="J83" s="74" t="str">
        <f t="shared" ca="1" si="7"/>
        <v>WATCH</v>
      </c>
      <c r="K83" s="75">
        <f t="array" aca="1" ref="K83" ca="1">_FV(A83,"Market cap",TRUE)/10000000</f>
        <v>7538.2529999999997</v>
      </c>
      <c r="L83" s="76" t="str">
        <f t="shared" ca="1" si="8"/>
        <v>HSC</v>
      </c>
      <c r="M83" s="78" t="str">
        <f t="array" aca="1" ref="M83" ca="1">_FV(A83,"Industry")</f>
        <v>Machinery, Equipment &amp; Components</v>
      </c>
    </row>
    <row r="84" spans="1:15">
      <c r="A84" s="69" t="e" vm="84">
        <v>#VALUE!</v>
      </c>
      <c r="B84" s="70">
        <f t="array" aca="1" ref="B84" ca="1">_FV(A84,"Change (%)",TRUE)</f>
        <v>-2.0239999999999998E-3</v>
      </c>
      <c r="C84" s="71">
        <f t="array" aca="1" ref="C84" ca="1">_FV(A84,"Previous close",TRUE)</f>
        <v>3804.7</v>
      </c>
      <c r="D84" s="71">
        <f t="array" aca="1" ref="D84" ca="1">_FV(A84,"Price")</f>
        <v>3797</v>
      </c>
      <c r="E84" s="71">
        <f t="array" aca="1" ref="E84" ca="1">_FV(A84,"Low")</f>
        <v>3785</v>
      </c>
      <c r="F84" s="71">
        <f t="array" aca="1" ref="F84" ca="1">_FV(A84,"High")</f>
        <v>3845</v>
      </c>
      <c r="G84" s="71">
        <f t="array" aca="1" ref="G84" ca="1">_FV(A84,"52 week low",TRUE)</f>
        <v>1965</v>
      </c>
      <c r="H84" s="72">
        <f t="array" aca="1" ref="H84" ca="1">_FV(A84,"52 week high",TRUE)</f>
        <v>3890</v>
      </c>
      <c r="I84" s="73">
        <f t="shared" ca="1" si="6"/>
        <v>2.3907455012853469</v>
      </c>
      <c r="J84" s="74" t="str">
        <f t="shared" ca="1" si="7"/>
        <v>WATCH</v>
      </c>
      <c r="K84" s="75">
        <f t="array" aca="1" ref="K84" ca="1">_FV(A84,"Market cap",TRUE)/10000000</f>
        <v>152746.70000000001</v>
      </c>
      <c r="L84" s="76" t="str">
        <f t="shared" ca="1" si="8"/>
        <v>LC</v>
      </c>
      <c r="M84" s="77" t="str">
        <f t="array" aca="1" ref="M84" ca="1">_FV(A84,"Industry")</f>
        <v>Banking Services</v>
      </c>
    </row>
    <row r="85" spans="1:15">
      <c r="A85" s="69" t="e" vm="85">
        <v>#VALUE!</v>
      </c>
      <c r="B85" s="70">
        <f t="array" aca="1" ref="B85" ca="1">_FV(A85,"Change (%)",TRUE)</f>
        <v>-1.6938999999999999E-2</v>
      </c>
      <c r="C85" s="71">
        <f t="array" aca="1" ref="C85" ca="1">_FV(A85,"Previous close",TRUE)</f>
        <v>5874</v>
      </c>
      <c r="D85" s="71">
        <f t="array" aca="1" ref="D85" ca="1">_FV(A85,"Price")</f>
        <v>5774.5</v>
      </c>
      <c r="E85" s="71">
        <f t="array" aca="1" ref="E85" ca="1">_FV(A85,"Low")</f>
        <v>5750</v>
      </c>
      <c r="F85" s="71">
        <f t="array" aca="1" ref="F85" ca="1">_FV(A85,"High")</f>
        <v>5916</v>
      </c>
      <c r="G85" s="71">
        <f t="array" aca="1" ref="G85" ca="1">_FV(A85,"52 week low",TRUE)</f>
        <v>3180</v>
      </c>
      <c r="H85" s="72">
        <f t="array" aca="1" ref="H85" ca="1">_FV(A85,"52 week high",TRUE)</f>
        <v>6223</v>
      </c>
      <c r="I85" s="73">
        <f t="shared" ca="1" si="6"/>
        <v>7.2071348224329101</v>
      </c>
      <c r="J85" s="74" t="str">
        <f t="shared" ca="1" si="7"/>
        <v>WATCH</v>
      </c>
      <c r="K85" s="75">
        <f t="array" aca="1" ref="K85" ca="1">_FV(A85,"Market cap",TRUE)/10000000</f>
        <v>30099.53</v>
      </c>
      <c r="L85" s="76" t="str">
        <f t="shared" ca="1" si="8"/>
        <v>MC</v>
      </c>
      <c r="M85" s="77" t="str">
        <f t="array" aca="1" ref="M85" ca="1">_FV(A85,"Industry")</f>
        <v>Chemicals</v>
      </c>
    </row>
    <row r="86" spans="1:15">
      <c r="A86" s="69" t="e" vm="86">
        <v>#VALUE!</v>
      </c>
      <c r="B86" s="70">
        <f t="array" aca="1" ref="B86" ca="1">_FV(A86,"Change (%)",TRUE)</f>
        <v>-7.7320000000000002E-3</v>
      </c>
      <c r="C86" s="71">
        <f t="array" aca="1" ref="C86" ca="1">_FV(A86,"Previous close",TRUE)</f>
        <v>239.25</v>
      </c>
      <c r="D86" s="71">
        <f t="array" aca="1" ref="D86" ca="1">_FV(A86,"Price")</f>
        <v>237.4</v>
      </c>
      <c r="E86" s="71">
        <f t="array" aca="1" ref="E86" ca="1">_FV(A86,"Low")</f>
        <v>236.05</v>
      </c>
      <c r="F86" s="71">
        <f t="array" aca="1" ref="F86" ca="1">_FV(A86,"High")</f>
        <v>244.2</v>
      </c>
      <c r="G86" s="71">
        <f t="array" aca="1" ref="G86" ca="1">_FV(A86,"52 week low",TRUE)</f>
        <v>219.06</v>
      </c>
      <c r="H86" s="72">
        <f t="array" aca="1" ref="H86" ca="1">_FV(A86,"52 week high",TRUE)</f>
        <v>363.25</v>
      </c>
      <c r="I86" s="73">
        <f t="shared" ca="1" si="6"/>
        <v>34.645560908465242</v>
      </c>
      <c r="J86" s="74" t="str">
        <f t="shared" ca="1" si="7"/>
        <v>WATCH</v>
      </c>
      <c r="K86" s="75">
        <f t="array" aca="1" ref="K86" ca="1">_FV(A86,"Market cap",TRUE)/10000000</f>
        <v>8794.84</v>
      </c>
      <c r="L86" s="76" t="str">
        <f t="shared" ca="1" si="8"/>
        <v>HSC</v>
      </c>
      <c r="M86" s="78" t="str">
        <f t="array" aca="1" ref="M86" ca="1">_FV(A86,"Industry")</f>
        <v>Software &amp; IT Services</v>
      </c>
    </row>
    <row r="87" spans="1:15">
      <c r="A87" s="69" t="e" vm="87">
        <v>#VALUE!</v>
      </c>
      <c r="B87" s="70">
        <f t="array" aca="1" ref="B87" ca="1">_FV(A87,"Change (%)",TRUE)</f>
        <v>1.0241E-2</v>
      </c>
      <c r="C87" s="71">
        <f t="array" aca="1" ref="C87" ca="1">_FV(A87,"Previous close",TRUE)</f>
        <v>1259.7</v>
      </c>
      <c r="D87" s="71">
        <f t="array" aca="1" ref="D87" ca="1">_FV(A87,"Price")</f>
        <v>1272.5999999999999</v>
      </c>
      <c r="E87" s="71">
        <f t="array" aca="1" ref="E87" ca="1">_FV(A87,"Low")</f>
        <v>1251.4000000000001</v>
      </c>
      <c r="F87" s="71">
        <f t="array" aca="1" ref="F87" ca="1">_FV(A87,"High")</f>
        <v>1277</v>
      </c>
      <c r="G87" s="71">
        <f t="array" aca="1" ref="G87" ca="1">_FV(A87,"52 week low",TRUE)</f>
        <v>1055</v>
      </c>
      <c r="H87" s="72">
        <f t="array" aca="1" ref="H87" ca="1">_FV(A87,"52 week high",TRUE)</f>
        <v>1311.6</v>
      </c>
      <c r="I87" s="73">
        <f t="shared" ca="1" si="6"/>
        <v>2.9734675205855448</v>
      </c>
      <c r="J87" s="74" t="str">
        <f t="shared" ca="1" si="7"/>
        <v>WATCH</v>
      </c>
      <c r="K87" s="75">
        <f t="array" aca="1" ref="K87" ca="1">_FV(A87,"Market cap",TRUE)/10000000</f>
        <v>242909.8</v>
      </c>
      <c r="L87" s="76" t="str">
        <f t="shared" ca="1" si="8"/>
        <v>LC</v>
      </c>
      <c r="M87" s="77" t="str">
        <f t="array" aca="1" ref="M87" ca="1">_FV(A87,"Industry")</f>
        <v>Food &amp; Tobacco</v>
      </c>
    </row>
    <row r="88" spans="1:15">
      <c r="A88" s="69" t="e" vm="88">
        <v>#VALUE!</v>
      </c>
      <c r="B88" s="70">
        <f t="array" aca="1" ref="B88" ca="1">_FV(A88,"Change (%)",TRUE)</f>
        <v>7.0689999999999998E-3</v>
      </c>
      <c r="C88" s="71">
        <f t="array" aca="1" ref="C88" ca="1">_FV(A88,"Previous close",TRUE)</f>
        <v>77.81</v>
      </c>
      <c r="D88" s="71">
        <f t="array" aca="1" ref="D88" ca="1">_FV(A88,"Price")</f>
        <v>78.36</v>
      </c>
      <c r="E88" s="71">
        <f t="array" aca="1" ref="E88" ca="1">_FV(A88,"Low")</f>
        <v>77.28</v>
      </c>
      <c r="F88" s="71">
        <f t="array" aca="1" ref="F88" ca="1">_FV(A88,"High")</f>
        <v>79.17</v>
      </c>
      <c r="G88" s="71">
        <f t="array" aca="1" ref="G88" ca="1">_FV(A88,"52 week low",TRUE)</f>
        <v>71</v>
      </c>
      <c r="H88" s="72">
        <f t="array" aca="1" ref="H88" ca="1">_FV(A88,"52 week high",TRUE)</f>
        <v>92.34</v>
      </c>
      <c r="I88" s="73">
        <f t="shared" ca="1" si="6"/>
        <v>15.13970110461339</v>
      </c>
      <c r="J88" s="74" t="str">
        <f t="shared" ca="1" si="7"/>
        <v>FIRST HMC BUY</v>
      </c>
      <c r="K88" s="75">
        <f t="array" aca="1" ref="K88" ca="1">_FV(A88,"Market cap",TRUE)/10000000</f>
        <v>78160.42</v>
      </c>
      <c r="L88" s="76" t="str">
        <f t="shared" ca="1" si="8"/>
        <v>HMC</v>
      </c>
      <c r="M88" s="77" t="str">
        <f t="array" aca="1" ref="M88" ca="1">_FV(A88,"Industry")</f>
        <v>Electrical Utilities &amp; IPPs</v>
      </c>
    </row>
    <row r="89" spans="1:15">
      <c r="A89" s="69" t="e" vm="89">
        <v>#VALUE!</v>
      </c>
      <c r="B89" s="70">
        <f t="array" aca="1" ref="B89" ca="1">_FV(A89,"Change (%)",TRUE)</f>
        <v>2.2128000000000002E-2</v>
      </c>
      <c r="C89" s="71">
        <f t="array" aca="1" ref="C89" ca="1">_FV(A89,"Previous close",TRUE)</f>
        <v>150.49</v>
      </c>
      <c r="D89" s="71">
        <f t="array" aca="1" ref="D89" ca="1">_FV(A89,"Price")</f>
        <v>153.82</v>
      </c>
      <c r="E89" s="71">
        <f t="array" aca="1" ref="E89" ca="1">_FV(A89,"Low")</f>
        <v>150.13999999999999</v>
      </c>
      <c r="F89" s="71">
        <f t="array" aca="1" ref="F89" ca="1">_FV(A89,"High")</f>
        <v>157.58000000000001</v>
      </c>
      <c r="G89" s="71">
        <f t="array" aca="1" ref="G89" ca="1">_FV(A89,"52 week low",TRUE)</f>
        <v>135.6</v>
      </c>
      <c r="H89" s="72">
        <f t="array" aca="1" ref="H89" ca="1">_FV(A89,"52 week high",TRUE)</f>
        <v>214.74</v>
      </c>
      <c r="I89" s="73">
        <f t="shared" ca="1" si="6"/>
        <v>28.369190649157126</v>
      </c>
      <c r="J89" s="74" t="str">
        <f t="shared" ca="1" si="7"/>
        <v>FIRST MC BUY</v>
      </c>
      <c r="K89" s="75">
        <f t="array" aca="1" ref="K89" ca="1">_FV(A89,"Market cap",TRUE)/10000000</f>
        <v>24800.75</v>
      </c>
      <c r="L89" s="76" t="str">
        <f t="shared" ca="1" si="8"/>
        <v>MC</v>
      </c>
      <c r="M89" s="78" t="str">
        <f t="array" aca="1" ref="M89" ca="1">_FV(A89,"Industry")</f>
        <v>Insurance</v>
      </c>
    </row>
    <row r="90" spans="1:15">
      <c r="A90" s="69" t="e" vm="90">
        <v>#VALUE!</v>
      </c>
      <c r="B90" s="70">
        <f t="array" aca="1" ref="B90" ca="1">_FV(A90,"Change (%)",TRUE)</f>
        <v>3.251E-3</v>
      </c>
      <c r="C90" s="71">
        <f t="array" aca="1" ref="C90" ca="1">_FV(A90,"Previous close",TRUE)</f>
        <v>233.77</v>
      </c>
      <c r="D90" s="71">
        <f t="array" aca="1" ref="D90" ca="1">_FV(A90,"Price")</f>
        <v>234.53</v>
      </c>
      <c r="E90" s="71">
        <f t="array" aca="1" ref="E90" ca="1">_FV(A90,"Low")</f>
        <v>233.05</v>
      </c>
      <c r="F90" s="71">
        <f t="array" aca="1" ref="F90" ca="1">_FV(A90,"High")</f>
        <v>235.28</v>
      </c>
      <c r="G90" s="71">
        <f t="array" aca="1" ref="G90" ca="1">_FV(A90,"52 week low",TRUE)</f>
        <v>205</v>
      </c>
      <c r="H90" s="72">
        <f t="array" aca="1" ref="H90" ca="1">_FV(A90,"52 week high",TRUE)</f>
        <v>273.5</v>
      </c>
      <c r="I90" s="73">
        <f t="shared" ca="1" si="6"/>
        <v>14.248628884826326</v>
      </c>
      <c r="J90" s="74" t="str">
        <f t="shared" ca="1" si="7"/>
        <v>LC BUY</v>
      </c>
      <c r="K90" s="75">
        <f t="array" aca="1" ref="K90" ca="1">_FV(A90,"Market cap",TRUE)/10000000</f>
        <v>295045.3</v>
      </c>
      <c r="L90" s="76" t="str">
        <f t="shared" ca="1" si="8"/>
        <v>LC</v>
      </c>
      <c r="M90" s="78" t="str">
        <f t="array" aca="1" ref="M90" ca="1">_FV(A90,"Industry")</f>
        <v>Oil &amp; Gas</v>
      </c>
    </row>
    <row r="91" spans="1:15">
      <c r="A91" s="69" t="e" vm="91">
        <v>#VALUE!</v>
      </c>
      <c r="B91" s="70">
        <f t="array" aca="1" ref="B91" ca="1">_FV(A91,"Change (%)",TRUE)</f>
        <v>4.1063999999999996E-2</v>
      </c>
      <c r="C91" s="71">
        <f t="array" aca="1" ref="C91" ca="1">_FV(A91,"Previous close",TRUE)</f>
        <v>670.9</v>
      </c>
      <c r="D91" s="71">
        <f t="array" aca="1" ref="D91" ca="1">_FV(A91,"Price")</f>
        <v>698.45</v>
      </c>
      <c r="E91" s="71">
        <f t="array" aca="1" ref="E91" ca="1">_FV(A91,"Low")</f>
        <v>668.7</v>
      </c>
      <c r="F91" s="71">
        <f t="array" aca="1" ref="F91" ca="1">_FV(A91,"High")</f>
        <v>716.5</v>
      </c>
      <c r="G91" s="71">
        <f t="array" aca="1" ref="G91" ca="1">_FV(A91,"52 week low",TRUE)</f>
        <v>404.7</v>
      </c>
      <c r="H91" s="72">
        <f t="array" aca="1" ref="H91" ca="1">_FV(A91,"52 week high",TRUE)</f>
        <v>972.5</v>
      </c>
      <c r="I91" s="73">
        <f t="shared" ca="1" si="6"/>
        <v>28.179948586118247</v>
      </c>
      <c r="J91" s="74" t="str">
        <f t="shared" ca="1" si="7"/>
        <v>WATCH</v>
      </c>
      <c r="K91" s="75">
        <f t="array" aca="1" ref="K91" ca="1">_FV(A91,"Market cap",TRUE)/10000000</f>
        <v>5406.6040000000003</v>
      </c>
      <c r="L91" s="76" t="str">
        <f t="shared" ca="1" si="8"/>
        <v>HSC</v>
      </c>
      <c r="M91" s="77" t="str">
        <f t="array" aca="1" ref="M91" ca="1">_FV(A91,"Industry")</f>
        <v>Aerospace &amp; Defense</v>
      </c>
    </row>
    <row r="92" spans="1:15">
      <c r="A92" s="69" t="e" vm="92">
        <v>#VALUE!</v>
      </c>
      <c r="B92" s="70">
        <f t="array" aca="1" ref="B92" ca="1">_FV(A92,"Change (%)",TRUE)</f>
        <v>-7.0959999999999999E-3</v>
      </c>
      <c r="C92" s="71">
        <f t="array" aca="1" ref="C92" ca="1">_FV(A92,"Previous close",TRUE)</f>
        <v>1324.7</v>
      </c>
      <c r="D92" s="71">
        <f t="array" aca="1" ref="D92" ca="1">_FV(A92,"Price")</f>
        <v>1315.3</v>
      </c>
      <c r="E92" s="71">
        <f t="array" aca="1" ref="E92" ca="1">_FV(A92,"Low")</f>
        <v>1310.4000000000001</v>
      </c>
      <c r="F92" s="71">
        <f t="array" aca="1" ref="F92" ca="1">_FV(A92,"High")</f>
        <v>1335.5</v>
      </c>
      <c r="G92" s="71">
        <f t="array" aca="1" ref="G92" ca="1">_FV(A92,"52 week low",TRUE)</f>
        <v>651.5</v>
      </c>
      <c r="H92" s="72">
        <f t="array" aca="1" ref="H92" ca="1">_FV(A92,"52 week high",TRUE)</f>
        <v>1381.8</v>
      </c>
      <c r="I92" s="73">
        <f t="shared" ca="1" si="6"/>
        <v>4.8125633232016209</v>
      </c>
      <c r="J92" s="74" t="str">
        <f t="shared" ca="1" si="7"/>
        <v>WATCH</v>
      </c>
      <c r="K92" s="75">
        <f t="array" aca="1" ref="K92" ca="1">_FV(A92,"Market cap",TRUE)/10000000</f>
        <v>84118.6</v>
      </c>
      <c r="L92" s="76" t="str">
        <f t="shared" ca="1" si="8"/>
        <v>HMC</v>
      </c>
      <c r="M92" s="77" t="str">
        <f t="array" aca="1" ref="M92" ca="1">_FV(A92,"Industry")</f>
        <v>Professional &amp; Commercial Services</v>
      </c>
    </row>
    <row r="93" spans="1:15">
      <c r="A93" s="69" t="e" vm="93">
        <v>#VALUE!</v>
      </c>
      <c r="B93" s="70">
        <f t="array" aca="1" ref="B93" ca="1">_FV(A93,"Change (%)",TRUE)</f>
        <v>8.2950000000000003E-3</v>
      </c>
      <c r="C93" s="71">
        <f t="array" aca="1" ref="C93" ca="1">_FV(A93,"Previous close",TRUE)</f>
        <v>1446.6</v>
      </c>
      <c r="D93" s="71">
        <f t="array" aca="1" ref="D93" ca="1">_FV(A93,"Price")</f>
        <v>1458.6</v>
      </c>
      <c r="E93" s="71">
        <f t="array" aca="1" ref="E93" ca="1">_FV(A93,"Low")</f>
        <v>1445</v>
      </c>
      <c r="F93" s="71">
        <f t="array" aca="1" ref="F93" ca="1">_FV(A93,"High")</f>
        <v>1464</v>
      </c>
      <c r="G93" s="71">
        <f t="array" aca="1" ref="G93" ca="1">_FV(A93,"52 week low",TRUE)</f>
        <v>1306.8699999999999</v>
      </c>
      <c r="H93" s="72">
        <f t="array" aca="1" ref="H93" ca="1">_FV(A93,"52 week high",TRUE)</f>
        <v>1574.95</v>
      </c>
      <c r="I93" s="73">
        <f t="shared" ca="1" si="6"/>
        <v>7.3875361122575409</v>
      </c>
      <c r="J93" s="74" t="str">
        <f t="shared" ca="1" si="7"/>
        <v>WATCH</v>
      </c>
      <c r="K93" s="75">
        <f t="array" aca="1" ref="K93" ca="1">_FV(A93,"Market cap",TRUE)/10000000</f>
        <v>147222.5</v>
      </c>
      <c r="L93" s="76" t="str">
        <f t="shared" ca="1" si="8"/>
        <v>LC</v>
      </c>
      <c r="M93" s="78" t="str">
        <f t="array" aca="1" ref="M93" ca="1">_FV(A93,"Industry")</f>
        <v>Chemicals</v>
      </c>
    </row>
    <row r="94" spans="1:15">
      <c r="A94" s="69" t="e" vm="94">
        <v>#VALUE!</v>
      </c>
      <c r="B94" s="70">
        <f t="array" aca="1" ref="B94" ca="1">_FV(A94,"Change (%)",TRUE)</f>
        <v>5.2510000000000005E-3</v>
      </c>
      <c r="C94" s="71">
        <f t="array" aca="1" ref="C94" ca="1">_FV(A94,"Previous close",TRUE)</f>
        <v>3218.2</v>
      </c>
      <c r="D94" s="71">
        <f t="array" aca="1" ref="D94" ca="1">_FV(A94,"Price")</f>
        <v>3235.1</v>
      </c>
      <c r="E94" s="71">
        <f t="array" aca="1" ref="E94" ca="1">_FV(A94,"Low")</f>
        <v>3203.6</v>
      </c>
      <c r="F94" s="71">
        <f t="array" aca="1" ref="F94" ca="1">_FV(A94,"High")</f>
        <v>3267.5</v>
      </c>
      <c r="G94" s="71">
        <f t="array" aca="1" ref="G94" ca="1">_FV(A94,"52 week low",TRUE)</f>
        <v>2951.1</v>
      </c>
      <c r="H94" s="72">
        <f t="array" aca="1" ref="H94" ca="1">_FV(A94,"52 week high",TRUE)</f>
        <v>4330</v>
      </c>
      <c r="I94" s="73">
        <f t="shared" ca="1" si="6"/>
        <v>25.286374133949195</v>
      </c>
      <c r="J94" s="74" t="str">
        <f t="shared" ca="1" si="7"/>
        <v>HMC BUY</v>
      </c>
      <c r="K94" s="75">
        <f t="array" aca="1" ref="K94" ca="1">_FV(A94,"Market cap",TRUE)/10000000</f>
        <v>48821.13</v>
      </c>
      <c r="L94" s="76" t="str">
        <f t="shared" ca="1" si="8"/>
        <v>HMC</v>
      </c>
      <c r="M94" s="78" t="str">
        <f t="array" aca="1" ref="M94" ca="1">_FV(A94,"Industry")</f>
        <v>Chemicals</v>
      </c>
    </row>
    <row r="95" spans="1:15">
      <c r="A95" s="69" t="e" vm="95">
        <v>#VALUE!</v>
      </c>
      <c r="B95" s="70">
        <f t="array" aca="1" ref="B95" ca="1">_FV(A95,"Change (%)",TRUE)</f>
        <v>8.4099999999999991E-3</v>
      </c>
      <c r="C95" s="71">
        <f t="array" aca="1" ref="C95" ca="1">_FV(A95,"Previous close",TRUE)</f>
        <v>249.7</v>
      </c>
      <c r="D95" s="71">
        <f t="array" aca="1" ref="D95" ca="1">_FV(A95,"Price")</f>
        <v>251.8</v>
      </c>
      <c r="E95" s="71">
        <f t="array" aca="1" ref="E95" ca="1">_FV(A95,"Low")</f>
        <v>248.8</v>
      </c>
      <c r="F95" s="71">
        <f t="array" aca="1" ref="F95" ca="1">_FV(A95,"High")</f>
        <v>253</v>
      </c>
      <c r="G95" s="71">
        <f t="array" aca="1" ref="G95" ca="1">_FV(A95,"52 week low",TRUE)</f>
        <v>229.05</v>
      </c>
      <c r="H95" s="72">
        <f t="array" aca="1" ref="H95" ca="1">_FV(A95,"52 week high",TRUE)</f>
        <v>435</v>
      </c>
      <c r="I95" s="73">
        <f t="shared" ca="1" si="6"/>
        <v>42.114942528735632</v>
      </c>
      <c r="J95" s="74" t="str">
        <f t="shared" ca="1" si="7"/>
        <v>WATCH</v>
      </c>
      <c r="K95" s="75">
        <f t="array" aca="1" ref="K95" ca="1">_FV(A95,"Market cap",TRUE)/10000000</f>
        <v>2760.71</v>
      </c>
      <c r="L95" s="76" t="str">
        <f t="shared" ca="1" si="8"/>
        <v>SC</v>
      </c>
      <c r="M95" s="77" t="str">
        <f t="array" aca="1" ref="M95" ca="1">_FV(A95,"Industry")</f>
        <v>Homebuilding &amp; Construction Supplies</v>
      </c>
      <c r="O95">
        <v>1</v>
      </c>
    </row>
    <row r="96" spans="1:15">
      <c r="A96" s="69" t="e" vm="96">
        <v>#VALUE!</v>
      </c>
      <c r="B96" s="70">
        <f t="array" aca="1" ref="B96" ca="1">_FV(A96,"Change (%)",TRUE)</f>
        <v>-1.8731999999999999E-2</v>
      </c>
      <c r="C96" s="71">
        <f t="array" aca="1" ref="C96" ca="1">_FV(A96,"Previous close",TRUE)</f>
        <v>429.75</v>
      </c>
      <c r="D96" s="71">
        <f t="array" aca="1" ref="D96" ca="1">_FV(A96,"Price")</f>
        <v>421.7</v>
      </c>
      <c r="E96" s="71">
        <f t="array" aca="1" ref="E96" ca="1">_FV(A96,"Low")</f>
        <v>420.2</v>
      </c>
      <c r="F96" s="71">
        <f t="array" aca="1" ref="F96" ca="1">_FV(A96,"High")</f>
        <v>435.7</v>
      </c>
      <c r="G96" s="71">
        <f t="array" aca="1" ref="G96" ca="1">_FV(A96,"52 week low",TRUE)</f>
        <v>408.14</v>
      </c>
      <c r="H96" s="72">
        <f t="array" aca="1" ref="H96" ca="1">_FV(A96,"52 week high",TRUE)</f>
        <v>783.9</v>
      </c>
      <c r="I96" s="73">
        <f t="shared" ca="1" si="6"/>
        <v>46.204873070544714</v>
      </c>
      <c r="J96" s="74" t="str">
        <f t="shared" ca="1" si="7"/>
        <v>WATCH</v>
      </c>
      <c r="K96" s="75">
        <f t="array" aca="1" ref="K96" ca="1">_FV(A96,"Market cap",TRUE)/10000000</f>
        <v>2860.0479999999998</v>
      </c>
      <c r="L96" s="76" t="str">
        <f t="shared" ca="1" si="8"/>
        <v>SC</v>
      </c>
      <c r="M96" s="78" t="str">
        <f t="array" aca="1" ref="M96" ca="1">_FV(A96,"Industry")</f>
        <v>Textiles &amp; Apparel</v>
      </c>
    </row>
    <row r="97" spans="1:15">
      <c r="A97" s="69" t="e" vm="97">
        <v>#VALUE!</v>
      </c>
      <c r="B97" s="70">
        <f t="array" aca="1" ref="B97" ca="1">_FV(A97,"Change (%)",TRUE)</f>
        <v>6.6239999999999997E-3</v>
      </c>
      <c r="C97" s="71">
        <f t="array" aca="1" ref="C97" ca="1">_FV(A97,"Previous close",TRUE)</f>
        <v>354.75</v>
      </c>
      <c r="D97" s="71">
        <f t="array" aca="1" ref="D97" ca="1">_FV(A97,"Price")</f>
        <v>357.1</v>
      </c>
      <c r="E97" s="71">
        <f t="array" aca="1" ref="E97" ca="1">_FV(A97,"Low")</f>
        <v>353.55</v>
      </c>
      <c r="F97" s="71">
        <f t="array" aca="1" ref="F97" ca="1">_FV(A97,"High")</f>
        <v>360.45</v>
      </c>
      <c r="G97" s="71">
        <f t="array" aca="1" ref="G97" ca="1">_FV(A97,"52 week low",TRUE)</f>
        <v>330.95</v>
      </c>
      <c r="H97" s="72">
        <f t="array" aca="1" ref="H97" ca="1">_FV(A97,"52 week high",TRUE)</f>
        <v>544.70000000000005</v>
      </c>
      <c r="I97" s="73">
        <f t="shared" ref="I97:I109" ca="1" si="9">(H97-D97)*100/H97</f>
        <v>34.440976684413442</v>
      </c>
      <c r="J97" s="74" t="str">
        <f t="shared" ref="J97:J109" ca="1" si="10">IF(AND(L97="HLC", I97&gt;12), "SURE HLC BUY",IF(AND(L97="HLC", I97&gt;7), "FIRST HLC BUY",IF(AND(L97="LC", I97&gt;20), "SURE LC BUY",IF(AND(L97="LC", I97&gt;10), "LC BUY",IF(AND(L97="HMC", I97&gt;30), "SURE HMC BUY",IF(AND(L97="HMC", I97&gt;20), "HMC BUY",IF(AND(L97="HMC", I97&gt;15), "FIRST HMC BUY",IF(AND(L97="MC", I97&gt;40), "SURE MC BUY",IF(AND(L97="MC", I97&gt;30), "MC BUY",IF(AND(L97="MC", I97&gt;20), "FIRST MC BUY",IF(AND(L97="HSC", I97&gt;60), "SURE HSC BUY",IF(AND(L97="HSC", I97&gt;50), "HSC BUY",IF(AND(L97="HSC", I97&gt;40), "FIRST HSC BUY",IF(AND(L97="SC", I97&gt;70), "SURE SC BUY",IF(AND(L97="SC", I97&gt;60), "SC BUY",IF(AND(L97="SC", I97&gt;50), "FIRST SC BUY",IF(AND(L97="VSC", I97&gt;80), "SURE VSC BUY",IF(AND(L97="VSC", I97&gt;70), "VSC BUY",IF(AND(L97="VSC", I97&gt;60), "FIRST VSC BUY","WATCH")))))))))))))))))))</f>
        <v>SURE HMC BUY</v>
      </c>
      <c r="K97" s="75">
        <f t="array" aca="1" ref="K97" ca="1">_FV(A97,"Market cap",TRUE)/10000000</f>
        <v>93413.62</v>
      </c>
      <c r="L97" s="76" t="str">
        <f t="shared" ref="L97:L109" ca="1" si="11">IF(K97&gt;500000,"HLC",IF(K97 &gt;100000,"LC",IF(K97 &gt;40000,"HMC",IF(K97 &gt;10000,"MC",IF(K97 &gt;=5000,"HSC",IF(K97 &gt;1000,"SC","VSC"))))))</f>
        <v>HMC</v>
      </c>
      <c r="M97" s="77" t="str">
        <f t="array" aca="1" ref="M97" ca="1">_FV(A97,"Industry")</f>
        <v>Banking Services</v>
      </c>
      <c r="O97">
        <v>1</v>
      </c>
    </row>
    <row r="98" spans="1:15">
      <c r="A98" s="69" t="e" vm="98">
        <v>#VALUE!</v>
      </c>
      <c r="B98" s="70">
        <f t="array" aca="1" ref="B98" ca="1">_FV(A98,"Change (%)",TRUE)</f>
        <v>6.4179999999999999E-4</v>
      </c>
      <c r="C98" s="71">
        <f t="array" aca="1" ref="C98" ca="1">_FV(A98,"Previous close",TRUE)</f>
        <v>1558.2</v>
      </c>
      <c r="D98" s="71">
        <f t="array" aca="1" ref="D98" ca="1">_FV(A98,"Price")</f>
        <v>1559.2</v>
      </c>
      <c r="E98" s="71">
        <f t="array" aca="1" ref="E98" ca="1">_FV(A98,"Low")</f>
        <v>1554.3</v>
      </c>
      <c r="F98" s="71">
        <f t="array" aca="1" ref="F98" ca="1">_FV(A98,"High")</f>
        <v>1561</v>
      </c>
      <c r="G98" s="71">
        <f t="array" aca="1" ref="G98" ca="1">_FV(A98,"52 week low",TRUE)</f>
        <v>1114.8499999999999</v>
      </c>
      <c r="H98" s="72">
        <f t="array" aca="1" ref="H98" ca="1">_FV(A98,"52 week high",TRUE)</f>
        <v>1581.3</v>
      </c>
      <c r="I98" s="73">
        <f t="shared" ca="1" si="9"/>
        <v>1.3975842661101567</v>
      </c>
      <c r="J98" s="74" t="str">
        <f t="shared" ca="1" si="10"/>
        <v>WATCH</v>
      </c>
      <c r="K98" s="75">
        <f t="array" aca="1" ref="K98" ca="1">_FV(A98,"Market cap",TRUE)/10000000</f>
        <v>2109983</v>
      </c>
      <c r="L98" s="76" t="str">
        <f t="shared" ca="1" si="11"/>
        <v>HLC</v>
      </c>
      <c r="M98" s="77" t="str">
        <f t="array" aca="1" ref="M98" ca="1">_FV(A98,"Industry")</f>
        <v>Oil &amp; Gas</v>
      </c>
    </row>
    <row r="99" spans="1:15">
      <c r="A99" s="69" t="e" vm="99">
        <v>#VALUE!</v>
      </c>
      <c r="B99" s="70">
        <f t="array" aca="1" ref="B99" ca="1">_FV(A99,"Change (%)",TRUE)</f>
        <v>0.12221600000000001</v>
      </c>
      <c r="C99" s="71">
        <f t="array" aca="1" ref="C99" ca="1">_FV(A99,"Previous close",TRUE)</f>
        <v>345.7</v>
      </c>
      <c r="D99" s="71">
        <f t="array" aca="1" ref="D99" ca="1">_FV(A99,"Price")</f>
        <v>387.95</v>
      </c>
      <c r="E99" s="71">
        <f t="array" aca="1" ref="E99" ca="1">_FV(A99,"Low")</f>
        <v>345.85</v>
      </c>
      <c r="F99" s="71">
        <f t="array" aca="1" ref="F99" ca="1">_FV(A99,"High")</f>
        <v>392.8</v>
      </c>
      <c r="G99" s="71">
        <f t="array" aca="1" ref="G99" ca="1">_FV(A99,"52 week low",TRUE)</f>
        <v>301.2</v>
      </c>
      <c r="H99" s="72">
        <f t="array" aca="1" ref="H99" ca="1">_FV(A99,"52 week high",TRUE)</f>
        <v>501.8</v>
      </c>
      <c r="I99" s="73">
        <f t="shared" ca="1" si="9"/>
        <v>22.688322040653649</v>
      </c>
      <c r="J99" s="74" t="str">
        <f t="shared" ca="1" si="10"/>
        <v>HMC BUY</v>
      </c>
      <c r="K99" s="75">
        <f t="array" aca="1" ref="K99" ca="1">_FV(A99,"Market cap",TRUE)/10000000</f>
        <v>72079.14</v>
      </c>
      <c r="L99" s="76" t="str">
        <f t="shared" ca="1" si="11"/>
        <v>HMC</v>
      </c>
      <c r="M99" s="78" t="str">
        <f t="array" aca="1" ref="M99" ca="1">_FV(A99,"Industry")</f>
        <v>Construction &amp; Engineering</v>
      </c>
    </row>
    <row r="100" spans="1:15">
      <c r="A100" s="69" t="e" vm="100">
        <v>#VALUE!</v>
      </c>
      <c r="B100" s="70">
        <f t="array" aca="1" ref="B100" ca="1">_FV(A100,"Change (%)",TRUE)</f>
        <v>-1.3698999999999999E-2</v>
      </c>
      <c r="C100" s="71">
        <f t="array" aca="1" ref="C100" ca="1">_FV(A100,"Previous close",TRUE)</f>
        <v>2.19</v>
      </c>
      <c r="D100" s="71">
        <f t="array" aca="1" ref="D100" ca="1">_FV(A100,"Price")</f>
        <v>2.16</v>
      </c>
      <c r="E100" s="71">
        <f t="array" aca="1" ref="E100" ca="1">_FV(A100,"Low")</f>
        <v>2.13</v>
      </c>
      <c r="F100" s="71">
        <f t="array" aca="1" ref="F100" ca="1">_FV(A100,"High")</f>
        <v>2.19</v>
      </c>
      <c r="G100" s="71">
        <f t="array" aca="1" ref="G100" ca="1">_FV(A100,"52 week low",TRUE)</f>
        <v>2.11</v>
      </c>
      <c r="H100" s="72">
        <f t="array" aca="1" ref="H100" ca="1">_FV(A100,"52 week high",TRUE)</f>
        <v>4.04</v>
      </c>
      <c r="I100" s="73">
        <f t="shared" ca="1" si="9"/>
        <v>46.534653465346537</v>
      </c>
      <c r="J100" s="74" t="str">
        <f t="shared" ca="1" si="10"/>
        <v>WATCH</v>
      </c>
      <c r="K100" s="75">
        <f t="array" aca="1" ref="K100" ca="1">_FV(A100,"Market cap",TRUE)/10000000</f>
        <v>343.3304</v>
      </c>
      <c r="L100" s="76" t="str">
        <f t="shared" ca="1" si="11"/>
        <v>VSC</v>
      </c>
      <c r="M100" s="78" t="str">
        <f t="array" aca="1" ref="M100" ca="1">_FV(A100,"Industry")</f>
        <v>Food &amp; Drug Retailing</v>
      </c>
    </row>
    <row r="101" spans="1:15">
      <c r="A101" s="69" t="e" vm="101">
        <v>#VALUE!</v>
      </c>
      <c r="B101" s="70">
        <f t="array" aca="1" ref="B101" ca="1">_FV(A101,"Change (%)",TRUE)</f>
        <v>-3.4580000000000001E-3</v>
      </c>
      <c r="C101" s="71">
        <f t="array" aca="1" ref="C101" ca="1">_FV(A101,"Previous close",TRUE)</f>
        <v>867.6</v>
      </c>
      <c r="D101" s="71">
        <f t="array" aca="1" ref="D101" ca="1">_FV(A101,"Price")</f>
        <v>864.6</v>
      </c>
      <c r="E101" s="71">
        <f t="array" aca="1" ref="E101" ca="1">_FV(A101,"Low")</f>
        <v>862.8</v>
      </c>
      <c r="F101" s="71">
        <f t="array" aca="1" ref="F101" ca="1">_FV(A101,"High")</f>
        <v>875</v>
      </c>
      <c r="G101" s="71">
        <f t="array" aca="1" ref="G101" ca="1">_FV(A101,"52 week low",TRUE)</f>
        <v>663.05</v>
      </c>
      <c r="H101" s="72">
        <f t="array" aca="1" ref="H101" ca="1">_FV(A101,"52 week high",TRUE)</f>
        <v>1027.25</v>
      </c>
      <c r="I101" s="73">
        <f t="shared" ca="1" si="9"/>
        <v>15.83353614018009</v>
      </c>
      <c r="J101" s="74" t="str">
        <f t="shared" ca="1" si="10"/>
        <v>FIRST HMC BUY</v>
      </c>
      <c r="K101" s="75">
        <f t="array" aca="1" ref="K101" ca="1">_FV(A101,"Market cap",TRUE)/10000000</f>
        <v>82273.38</v>
      </c>
      <c r="L101" s="76" t="str">
        <f t="shared" ca="1" si="11"/>
        <v>HMC</v>
      </c>
      <c r="M101" s="77" t="str">
        <f t="array" aca="1" ref="M101" ca="1">_FV(A101,"Industry")</f>
        <v>Banking Services</v>
      </c>
    </row>
    <row r="102" spans="1:15">
      <c r="A102" s="69" t="e" vm="102">
        <v>#VALUE!</v>
      </c>
      <c r="B102" s="70">
        <f t="array" aca="1" ref="B102" ca="1">_FV(A102,"Change (%)",TRUE)</f>
        <v>-8.6789999999999992E-3</v>
      </c>
      <c r="C102" s="71">
        <f t="array" aca="1" ref="C102" ca="1">_FV(A102,"Previous close",TRUE)</f>
        <v>427.47</v>
      </c>
      <c r="D102" s="71">
        <f t="array" aca="1" ref="D102" ca="1">_FV(A102,"Price")</f>
        <v>423.76</v>
      </c>
      <c r="E102" s="71">
        <f t="array" aca="1" ref="E102" ca="1">_FV(A102,"Low")</f>
        <v>422.73</v>
      </c>
      <c r="F102" s="71">
        <f t="array" aca="1" ref="F102" ca="1">_FV(A102,"High")</f>
        <v>427.47</v>
      </c>
      <c r="G102" s="71">
        <f t="array" aca="1" ref="G102" ca="1">_FV(A102,"52 week low",TRUE)</f>
        <v>335</v>
      </c>
      <c r="H102" s="72">
        <f t="array" aca="1" ref="H102" ca="1">_FV(A102,"52 week high",TRUE)</f>
        <v>510</v>
      </c>
      <c r="I102" s="73">
        <f t="shared" ca="1" si="9"/>
        <v>16.909803921568628</v>
      </c>
      <c r="J102" s="74" t="str">
        <f t="shared" ca="1" si="10"/>
        <v>WATCH</v>
      </c>
      <c r="K102" s="75">
        <f t="array" aca="1" ref="K102" ca="1">_FV(A102,"Market cap",TRUE)/10000000</f>
        <v>74.335899999999995</v>
      </c>
      <c r="L102" s="76" t="str">
        <f t="shared" ca="1" si="11"/>
        <v>VSC</v>
      </c>
      <c r="M102" s="78" t="e" vm="48">
        <f t="array" ref="M102">_FV(A102,"Industry")</f>
        <v>#VALUE!</v>
      </c>
    </row>
    <row r="103" spans="1:15">
      <c r="A103" s="69" t="e" vm="103">
        <v>#VALUE!</v>
      </c>
      <c r="B103" s="70">
        <f t="array" aca="1" ref="B103" ca="1">_FV(A103,"Change (%)",TRUE)</f>
        <v>-3.1099999999999999E-3</v>
      </c>
      <c r="C103" s="71">
        <f t="array" aca="1" ref="C103" ca="1">_FV(A103,"Previous close",TRUE)</f>
        <v>2025.4</v>
      </c>
      <c r="D103" s="71">
        <f t="array" aca="1" ref="D103" ca="1">_FV(A103,"Price")</f>
        <v>2019.1</v>
      </c>
      <c r="E103" s="71">
        <f t="array" aca="1" ref="E103" ca="1">_FV(A103,"Low")</f>
        <v>2004.1</v>
      </c>
      <c r="F103" s="71">
        <f t="array" aca="1" ref="F103" ca="1">_FV(A103,"High")</f>
        <v>2034.9</v>
      </c>
      <c r="G103" s="71">
        <f t="array" aca="1" ref="G103" ca="1">_FV(A103,"52 week low",TRUE)</f>
        <v>1372.55</v>
      </c>
      <c r="H103" s="72">
        <f t="array" aca="1" ref="H103" ca="1">_FV(A103,"52 week high",TRUE)</f>
        <v>2086.6</v>
      </c>
      <c r="I103" s="73">
        <f t="shared" ca="1" si="9"/>
        <v>3.234927633470718</v>
      </c>
      <c r="J103" s="74" t="str">
        <f t="shared" ca="1" si="10"/>
        <v>WATCH</v>
      </c>
      <c r="K103" s="75">
        <f t="array" aca="1" ref="K103" ca="1">_FV(A103,"Market cap",TRUE)/10000000</f>
        <v>203113.2</v>
      </c>
      <c r="L103" s="76" t="str">
        <f t="shared" ca="1" si="11"/>
        <v>LC</v>
      </c>
      <c r="M103" s="78" t="str">
        <f t="array" aca="1" ref="M103" ca="1">_FV(A103,"Industry")</f>
        <v>Insurance</v>
      </c>
    </row>
    <row r="104" spans="1:15">
      <c r="A104" s="69" t="e" vm="104">
        <v>#VALUE!</v>
      </c>
      <c r="B104" s="70">
        <f t="array" aca="1" ref="B104" ca="1">_FV(A104,"Change (%)",TRUE)</f>
        <v>-2.735E-3</v>
      </c>
      <c r="C104" s="71">
        <f t="array" aca="1" ref="C104" ca="1">_FV(A104,"Previous close",TRUE)</f>
        <v>968.95</v>
      </c>
      <c r="D104" s="71">
        <f t="array" aca="1" ref="D104" ca="1">_FV(A104,"Price")</f>
        <v>966.3</v>
      </c>
      <c r="E104" s="71">
        <f t="array" aca="1" ref="E104" ca="1">_FV(A104,"Low")</f>
        <v>964.75</v>
      </c>
      <c r="F104" s="71">
        <f t="array" aca="1" ref="F104" ca="1">_FV(A104,"High")</f>
        <v>971</v>
      </c>
      <c r="G104" s="71">
        <f t="array" aca="1" ref="G104" ca="1">_FV(A104,"52 week low",TRUE)</f>
        <v>680</v>
      </c>
      <c r="H104" s="72">
        <f t="array" aca="1" ref="H104" ca="1">_FV(A104,"52 week high",TRUE)</f>
        <v>999</v>
      </c>
      <c r="I104" s="73">
        <f t="shared" ca="1" si="9"/>
        <v>3.2732732732732779</v>
      </c>
      <c r="J104" s="74" t="str">
        <f t="shared" ca="1" si="10"/>
        <v>WATCH</v>
      </c>
      <c r="K104" s="75">
        <f t="array" aca="1" ref="K104" ca="1">_FV(A104,"Market cap",TRUE)/10000000</f>
        <v>891954.6</v>
      </c>
      <c r="L104" s="76" t="str">
        <f t="shared" ca="1" si="11"/>
        <v>HLC</v>
      </c>
      <c r="M104" s="78" t="str">
        <f t="array" aca="1" ref="M104" ca="1">_FV(A104,"Industry")</f>
        <v>Banking Services</v>
      </c>
    </row>
    <row r="105" spans="1:15">
      <c r="A105" s="69" t="e" vm="105">
        <v>#VALUE!</v>
      </c>
      <c r="B105" s="70">
        <f t="array" aca="1" ref="B105" ca="1">_FV(A105,"Change (%)",TRUE)</f>
        <v>-1.183E-3</v>
      </c>
      <c r="C105" s="71">
        <f t="array" aca="1" ref="C105" ca="1">_FV(A105,"Previous close",TRUE)</f>
        <v>735.69</v>
      </c>
      <c r="D105" s="71">
        <f t="array" aca="1" ref="D105" ca="1">_FV(A105,"Price")</f>
        <v>734.82</v>
      </c>
      <c r="E105" s="71">
        <f t="array" aca="1" ref="E105" ca="1">_FV(A105,"Low")</f>
        <v>733</v>
      </c>
      <c r="F105" s="71">
        <f t="array" aca="1" ref="F105" ca="1">_FV(A105,"High")</f>
        <v>757.76</v>
      </c>
      <c r="G105" s="71">
        <f t="array" aca="1" ref="G105" ca="1">_FV(A105,"52 week low",TRUE)</f>
        <v>585.51</v>
      </c>
      <c r="H105" s="72">
        <f t="array" aca="1" ref="H105" ca="1">_FV(A105,"52 week high",TRUE)</f>
        <v>766.9</v>
      </c>
      <c r="I105" s="73">
        <f t="shared" ca="1" si="9"/>
        <v>4.1830747163906548</v>
      </c>
      <c r="J105" s="74" t="str">
        <f t="shared" ca="1" si="10"/>
        <v>WATCH</v>
      </c>
      <c r="K105" s="75">
        <f t="array" aca="1" ref="K105" ca="1">_FV(A105,"Market cap",TRUE)/10000000</f>
        <v>2701.3152</v>
      </c>
      <c r="L105" s="76" t="str">
        <f t="shared" ca="1" si="11"/>
        <v>SC</v>
      </c>
      <c r="M105" s="78" t="e" vm="48">
        <f t="array" ref="M105">_FV(A105,"Industry")</f>
        <v>#VALUE!</v>
      </c>
    </row>
    <row r="106" spans="1:15">
      <c r="A106" s="69" t="e" vm="106">
        <v>#VALUE!</v>
      </c>
      <c r="B106" s="70">
        <f t="array" aca="1" ref="B106" ca="1">_FV(A106,"Change (%)",TRUE)</f>
        <v>-9.0329999999999994E-3</v>
      </c>
      <c r="C106" s="71">
        <f t="array" aca="1" ref="C106" ca="1">_FV(A106,"Previous close",TRUE)</f>
        <v>741.75</v>
      </c>
      <c r="D106" s="71">
        <f t="array" aca="1" ref="D106" ca="1">_FV(A106,"Price")</f>
        <v>735.05</v>
      </c>
      <c r="E106" s="71">
        <f t="array" aca="1" ref="E106" ca="1">_FV(A106,"Low")</f>
        <v>730.05</v>
      </c>
      <c r="F106" s="71">
        <f t="array" aca="1" ref="F106" ca="1">_FV(A106,"High")</f>
        <v>749</v>
      </c>
      <c r="G106" s="71">
        <f t="array" aca="1" ref="G106" ca="1">_FV(A106,"52 week low",TRUE)</f>
        <v>548.45000000000005</v>
      </c>
      <c r="H106" s="72">
        <f t="array" aca="1" ref="H106" ca="1">_FV(A106,"52 week high",TRUE)</f>
        <v>1387</v>
      </c>
      <c r="I106" s="73">
        <f t="shared" ca="1" si="9"/>
        <v>47.004325883201162</v>
      </c>
      <c r="J106" s="74" t="str">
        <f t="shared" ca="1" si="10"/>
        <v>FIRST HSC BUY</v>
      </c>
      <c r="K106" s="75">
        <f t="array" aca="1" ref="K106" ca="1">_FV(A106,"Market cap",TRUE)/10000000</f>
        <v>9153.0439999999999</v>
      </c>
      <c r="L106" s="76" t="str">
        <f t="shared" ca="1" si="11"/>
        <v>HSC</v>
      </c>
      <c r="M106" s="77" t="str">
        <f t="array" aca="1" ref="M106" ca="1">_FV(A106,"Industry")</f>
        <v>Machinery, Equipment &amp; Components</v>
      </c>
    </row>
    <row r="107" spans="1:15">
      <c r="A107" s="69" t="e" vm="107">
        <v>#VALUE!</v>
      </c>
      <c r="B107" s="70">
        <f t="array" aca="1" ref="B107" ca="1">_FV(A107,"Change (%)",TRUE)</f>
        <v>-1.2296E-2</v>
      </c>
      <c r="C107" s="71">
        <f t="array" aca="1" ref="C107" ca="1">_FV(A107,"Previous close",TRUE)</f>
        <v>951.55</v>
      </c>
      <c r="D107" s="71">
        <f t="array" aca="1" ref="D107" ca="1">_FV(A107,"Price")</f>
        <v>939.85</v>
      </c>
      <c r="E107" s="71">
        <f t="array" aca="1" ref="E107" ca="1">_FV(A107,"Low")</f>
        <v>938.1</v>
      </c>
      <c r="F107" s="71">
        <f t="array" aca="1" ref="F107" ca="1">_FV(A107,"High")</f>
        <v>954.85</v>
      </c>
      <c r="G107" s="71">
        <f t="array" aca="1" ref="G107" ca="1">_FV(A107,"52 week low",TRUE)</f>
        <v>625</v>
      </c>
      <c r="H107" s="72">
        <f t="array" aca="1" ref="H107" ca="1">_FV(A107,"52 week high",TRUE)</f>
        <v>1248</v>
      </c>
      <c r="I107" s="73">
        <f t="shared" ca="1" si="9"/>
        <v>24.691506410256409</v>
      </c>
      <c r="J107" s="74" t="str">
        <f t="shared" ca="1" si="10"/>
        <v>WATCH</v>
      </c>
      <c r="K107" s="75">
        <f t="array" aca="1" ref="K107" ca="1">_FV(A107,"Market cap",TRUE)/10000000</f>
        <v>5462.63</v>
      </c>
      <c r="L107" s="76" t="str">
        <f t="shared" ca="1" si="11"/>
        <v>HSC</v>
      </c>
      <c r="M107" s="77" t="str">
        <f t="array" aca="1" ref="M107" ca="1">_FV(A107,"Industry")</f>
        <v>Automobiles &amp; Auto Parts</v>
      </c>
    </row>
    <row r="108" spans="1:15">
      <c r="A108" s="69" t="e" vm="108">
        <v>#VALUE!</v>
      </c>
      <c r="B108" s="70">
        <f t="array" aca="1" ref="B108" ca="1">_FV(A108,"Change (%)",TRUE)</f>
        <v>-6.7369999999999999E-3</v>
      </c>
      <c r="C108" s="71">
        <f t="array" aca="1" ref="C108" ca="1">_FV(A108,"Previous close",TRUE)</f>
        <v>823.75</v>
      </c>
      <c r="D108" s="71">
        <f t="array" aca="1" ref="D108" ca="1">_FV(A108,"Price")</f>
        <v>818.2</v>
      </c>
      <c r="E108" s="71">
        <f t="array" aca="1" ref="E108" ca="1">_FV(A108,"Low")</f>
        <v>816.05</v>
      </c>
      <c r="F108" s="71">
        <f t="array" aca="1" ref="F108" ca="1">_FV(A108,"High")</f>
        <v>829.35</v>
      </c>
      <c r="G108" s="71">
        <f t="array" aca="1" ref="G108" ca="1">_FV(A108,"52 week low",TRUE)</f>
        <v>628.25</v>
      </c>
      <c r="H108" s="72">
        <f t="array" aca="1" ref="H108" ca="1">_FV(A108,"52 week high",TRUE)</f>
        <v>1001</v>
      </c>
      <c r="I108" s="73">
        <f t="shared" ca="1" si="9"/>
        <v>18.261738261738259</v>
      </c>
      <c r="J108" s="74" t="str">
        <f t="shared" ca="1" si="10"/>
        <v>WATCH</v>
      </c>
      <c r="K108" s="75">
        <f t="array" aca="1" ref="K108" ca="1">_FV(A108,"Market cap",TRUE)/10000000</f>
        <v>22919.07</v>
      </c>
      <c r="L108" s="76" t="str">
        <f t="shared" ca="1" si="11"/>
        <v>MC</v>
      </c>
      <c r="M108" s="77" t="str">
        <f t="array" aca="1" ref="M108" ca="1">_FV(A108,"Industry")</f>
        <v>Metals &amp; Mining</v>
      </c>
    </row>
    <row r="109" spans="1:15">
      <c r="A109" s="69" t="e" vm="109">
        <v>#VALUE!</v>
      </c>
      <c r="B109" s="70">
        <f t="array" aca="1" ref="B109" ca="1">_FV(A109,"Change (%)",TRUE)</f>
        <v>9.3610000000000004E-4</v>
      </c>
      <c r="C109" s="71">
        <f t="array" aca="1" ref="C109" ca="1">_FV(A109,"Previous close",TRUE)</f>
        <v>3098</v>
      </c>
      <c r="D109" s="71">
        <f t="array" aca="1" ref="D109" ca="1">_FV(A109,"Price")</f>
        <v>3100.9</v>
      </c>
      <c r="E109" s="71">
        <f t="array" aca="1" ref="E109" ca="1">_FV(A109,"Low")</f>
        <v>3088.4</v>
      </c>
      <c r="F109" s="71">
        <f t="array" aca="1" ref="F109" ca="1">_FV(A109,"High")</f>
        <v>3123</v>
      </c>
      <c r="G109" s="71">
        <f t="array" aca="1" ref="G109" ca="1">_FV(A109,"52 week low",TRUE)</f>
        <v>2376.4499999999998</v>
      </c>
      <c r="H109" s="72">
        <f t="array" aca="1" ref="H109" ca="1">_FV(A109,"52 week high",TRUE)</f>
        <v>3596.32</v>
      </c>
      <c r="I109" s="73">
        <f t="shared" ca="1" si="9"/>
        <v>13.775748542955021</v>
      </c>
      <c r="J109" s="74" t="str">
        <f t="shared" ca="1" si="10"/>
        <v>LC BUY</v>
      </c>
      <c r="K109" s="75">
        <f t="array" aca="1" ref="K109" ca="1">_FV(A109,"Market cap",TRUE)/10000000</f>
        <v>110326.1</v>
      </c>
      <c r="L109" s="76" t="str">
        <f t="shared" ca="1" si="11"/>
        <v>LC</v>
      </c>
      <c r="M109" s="77" t="str">
        <f t="array" aca="1" ref="M109" ca="1">_FV(A109,"Industry")</f>
        <v>Machinery, Equipment &amp; Components</v>
      </c>
    </row>
    <row r="110" spans="1:15">
      <c r="A110" s="69" t="e" vm="110">
        <v>#VALUE!</v>
      </c>
      <c r="B110" s="70">
        <f t="array" aca="1" ref="B110" ca="1">_FV(A110,"Change (%)",TRUE)</f>
        <v>-3.8449999999999999E-3</v>
      </c>
      <c r="C110" s="71">
        <f t="array" aca="1" ref="C110" ca="1">_FV(A110,"Previous close",TRUE)</f>
        <v>12485</v>
      </c>
      <c r="D110" s="71">
        <f t="array" aca="1" ref="D110" ca="1">_FV(A110,"Price")</f>
        <v>12437</v>
      </c>
      <c r="E110" s="71">
        <f t="array" aca="1" ref="E110" ca="1">_FV(A110,"Low")</f>
        <v>12410</v>
      </c>
      <c r="F110" s="71">
        <f t="array" aca="1" ref="F110" ca="1">_FV(A110,"High")</f>
        <v>12736</v>
      </c>
      <c r="G110" s="71">
        <f t="array" aca="1" ref="G110" ca="1">_FV(A110,"52 week low",TRUE)</f>
        <v>8482.5</v>
      </c>
      <c r="H110" s="72">
        <f t="array" aca="1" ref="H110" ca="1">_FV(A110,"52 week high",TRUE)</f>
        <v>17820</v>
      </c>
      <c r="I110" s="73">
        <f t="shared" ref="I110:I134" ca="1" si="12">(H110-D110)*100/H110</f>
        <v>30.207631874298542</v>
      </c>
      <c r="J110" s="74" t="str">
        <f t="shared" ref="J110:J134" ca="1" si="13">IF(AND(L110="HLC", I110&gt;12), "SURE HLC BUY",IF(AND(L110="HLC", I110&gt;7), "FIRST HLC BUY",IF(AND(L110="LC", I110&gt;20), "SURE LC BUY",IF(AND(L110="LC", I110&gt;10), "LC BUY",IF(AND(L110="HMC", I110&gt;30), "SURE HMC BUY",IF(AND(L110="HMC", I110&gt;20), "HMC BUY",IF(AND(L110="HMC", I110&gt;15), "FIRST HMC BUY",IF(AND(L110="MC", I110&gt;40), "SURE MC BUY",IF(AND(L110="MC", I110&gt;30), "MC BUY",IF(AND(L110="MC", I110&gt;20), "FIRST MC BUY",IF(AND(L110="HSC", I110&gt;60), "SURE HSC BUY",IF(AND(L110="HSC", I110&gt;50), "HSC BUY",IF(AND(L110="HSC", I110&gt;40), "FIRST HSC BUY",IF(AND(L110="SC", I110&gt;70), "SURE SC BUY",IF(AND(L110="SC", I110&gt;60), "SC BUY",IF(AND(L110="SC", I110&gt;50), "FIRST SC BUY",IF(AND(L110="VSC", I110&gt;80), "SURE VSC BUY",IF(AND(L110="VSC", I110&gt;70), "VSC BUY",IF(AND(L110="VSC", I110&gt;60), "FIRST VSC BUY","WATCH")))))))))))))))))))</f>
        <v>SURE LC BUY</v>
      </c>
      <c r="K110" s="75">
        <f t="array" aca="1" ref="K110" ca="1">_FV(A110,"Market cap",TRUE)/10000000</f>
        <v>112976.8</v>
      </c>
      <c r="L110" s="76" t="str">
        <f t="shared" ref="L110:L134" ca="1" si="14">IF(K110&gt;500000,"HLC",IF(K110 &gt;100000,"LC",IF(K110 &gt;40000,"HMC",IF(K110 &gt;10000,"MC",IF(K110 &gt;=5000,"HSC",IF(K110 &gt;1000,"SC","VSC"))))))</f>
        <v>LC</v>
      </c>
      <c r="M110" s="77" t="str">
        <f t="array" aca="1" ref="M110" ca="1">_FV(A110,"Industry")</f>
        <v>Chemicals</v>
      </c>
    </row>
    <row r="111" spans="1:15">
      <c r="A111" s="69" t="e" vm="111">
        <v>#VALUE!</v>
      </c>
      <c r="B111" s="70">
        <f t="array" aca="1" ref="B111" ca="1">_FV(A111,"Change (%)",TRUE)</f>
        <v>-3.5092999999999999E-2</v>
      </c>
      <c r="C111" s="71">
        <f t="array" aca="1" ref="C111" ca="1">_FV(A111,"Previous close",TRUE)</f>
        <v>70.67</v>
      </c>
      <c r="D111" s="71">
        <f t="array" aca="1" ref="D111" ca="1">_FV(A111,"Price")</f>
        <v>68.19</v>
      </c>
      <c r="E111" s="71">
        <f t="array" aca="1" ref="E111" ca="1">_FV(A111,"Low")</f>
        <v>67.400000000000006</v>
      </c>
      <c r="F111" s="71">
        <f t="array" aca="1" ref="F111" ca="1">_FV(A111,"High")</f>
        <v>71</v>
      </c>
      <c r="G111" s="71">
        <f t="array" aca="1" ref="G111" ca="1">_FV(A111,"52 week low",TRUE)</f>
        <v>52</v>
      </c>
      <c r="H111" s="72">
        <f t="array" aca="1" ref="H111" ca="1">_FV(A111,"52 week high",TRUE)</f>
        <v>94.86</v>
      </c>
      <c r="I111" s="73">
        <f t="shared" ca="1" si="12"/>
        <v>28.115117014547756</v>
      </c>
      <c r="J111" s="74" t="str">
        <f t="shared" ca="1" si="13"/>
        <v>WATCH</v>
      </c>
      <c r="K111" s="75">
        <f t="array" aca="1" ref="K111" ca="1">_FV(A111,"Market cap",TRUE)/10000000</f>
        <v>452.0532</v>
      </c>
      <c r="L111" s="76" t="str">
        <f t="shared" ca="1" si="14"/>
        <v>VSC</v>
      </c>
      <c r="M111" s="77" t="str">
        <f t="array" aca="1" ref="M111" ca="1">_FV(A111,"Industry")</f>
        <v>Chemicals</v>
      </c>
    </row>
    <row r="112" spans="1:15">
      <c r="A112" s="69" t="e" vm="112">
        <v>#VALUE!</v>
      </c>
      <c r="B112" s="70">
        <f t="array" aca="1" ref="B112" ca="1">_FV(A112,"Change (%)",TRUE)</f>
        <v>1.0970000000000001E-3</v>
      </c>
      <c r="C112" s="71">
        <f t="array" aca="1" ref="C112" ca="1">_FV(A112,"Previous close",TRUE)</f>
        <v>3098.2</v>
      </c>
      <c r="D112" s="71">
        <f t="array" aca="1" ref="D112" ca="1">_FV(A112,"Price")</f>
        <v>3101.6</v>
      </c>
      <c r="E112" s="71">
        <f t="array" aca="1" ref="E112" ca="1">_FV(A112,"Low")</f>
        <v>3093.9</v>
      </c>
      <c r="F112" s="71">
        <f t="array" aca="1" ref="F112" ca="1">_FV(A112,"High")</f>
        <v>3143</v>
      </c>
      <c r="G112" s="71">
        <f t="array" aca="1" ref="G112" ca="1">_FV(A112,"52 week low",TRUE)</f>
        <v>2196.85</v>
      </c>
      <c r="H112" s="72">
        <f t="array" aca="1" ref="H112" ca="1">_FV(A112,"52 week high",TRUE)</f>
        <v>3325</v>
      </c>
      <c r="I112" s="73">
        <f t="shared" ca="1" si="12"/>
        <v>6.718796992481205</v>
      </c>
      <c r="J112" s="74" t="str">
        <f t="shared" ca="1" si="13"/>
        <v>WATCH</v>
      </c>
      <c r="K112" s="75">
        <f t="array" aca="1" ref="K112" ca="1">_FV(A112,"Market cap",TRUE)/10000000</f>
        <v>91838.34</v>
      </c>
      <c r="L112" s="76" t="str">
        <f t="shared" ca="1" si="14"/>
        <v>HMC</v>
      </c>
      <c r="M112" s="77" t="str">
        <f t="array" aca="1" ref="M112" ca="1">_FV(A112,"Industry")</f>
        <v>Chemicals</v>
      </c>
    </row>
    <row r="113" spans="1:13">
      <c r="A113" s="69" t="e" vm="113">
        <v>#VALUE!</v>
      </c>
      <c r="B113" s="70">
        <f t="array" aca="1" ref="B113" ca="1">_FV(A113,"Change (%)",TRUE)</f>
        <v>-1.4215999999999999E-2</v>
      </c>
      <c r="C113" s="71">
        <f t="array" aca="1" ref="C113" ca="1">_FV(A113,"Previous close",TRUE)</f>
        <v>3320.3</v>
      </c>
      <c r="D113" s="71">
        <f t="array" aca="1" ref="D113" ca="1">_FV(A113,"Price")</f>
        <v>3273.1</v>
      </c>
      <c r="E113" s="71">
        <f t="array" aca="1" ref="E113" ca="1">_FV(A113,"Low")</f>
        <v>3265</v>
      </c>
      <c r="F113" s="71">
        <f t="array" aca="1" ref="F113" ca="1">_FV(A113,"High")</f>
        <v>3331.6</v>
      </c>
      <c r="G113" s="71">
        <f t="array" aca="1" ref="G113" ca="1">_FV(A113,"52 week low",TRUE)</f>
        <v>3095</v>
      </c>
      <c r="H113" s="72">
        <f t="array" aca="1" ref="H113" ca="1">_FV(A113,"52 week high",TRUE)</f>
        <v>4861.45</v>
      </c>
      <c r="I113" s="73">
        <f t="shared" ca="1" si="12"/>
        <v>32.672350841827026</v>
      </c>
      <c r="J113" s="74" t="str">
        <f t="shared" ca="1" si="13"/>
        <v>SURE HMC BUY</v>
      </c>
      <c r="K113" s="75">
        <f t="array" aca="1" ref="K113" ca="1">_FV(A113,"Market cap",TRUE)/10000000</f>
        <v>42176.73</v>
      </c>
      <c r="L113" s="76" t="str">
        <f t="shared" ca="1" si="14"/>
        <v>HMC</v>
      </c>
      <c r="M113" s="77" t="str">
        <f t="array" aca="1" ref="M113" ca="1">_FV(A113,"Industry")</f>
        <v>Chemicals</v>
      </c>
    </row>
    <row r="114" spans="1:13">
      <c r="A114" s="69" t="e" vm="114">
        <v>#VALUE!</v>
      </c>
      <c r="B114" s="70">
        <f t="array" aca="1" ref="B114" ca="1">_FV(A114,"Change (%)",TRUE)</f>
        <v>-2.3668000000000002E-2</v>
      </c>
      <c r="C114" s="71">
        <f t="array" aca="1" ref="C114" ca="1">_FV(A114,"Previous close",TRUE)</f>
        <v>756.3</v>
      </c>
      <c r="D114" s="71">
        <f t="array" aca="1" ref="D114" ca="1">_FV(A114,"Price")</f>
        <v>738.4</v>
      </c>
      <c r="E114" s="71">
        <f t="array" aca="1" ref="E114" ca="1">_FV(A114,"Low")</f>
        <v>735.4</v>
      </c>
      <c r="F114" s="71">
        <f t="array" aca="1" ref="F114" ca="1">_FV(A114,"High")</f>
        <v>760.85</v>
      </c>
      <c r="G114" s="71">
        <f t="array" aca="1" ref="G114" ca="1">_FV(A114,"52 week low",TRUE)</f>
        <v>556.15</v>
      </c>
      <c r="H114" s="72">
        <f t="array" aca="1" ref="H114" ca="1">_FV(A114,"52 week high",TRUE)</f>
        <v>842</v>
      </c>
      <c r="I114" s="73">
        <f t="shared" ca="1" si="12"/>
        <v>12.304038004750597</v>
      </c>
      <c r="J114" s="74" t="str">
        <f t="shared" ca="1" si="13"/>
        <v>WATCH</v>
      </c>
      <c r="K114" s="75">
        <f t="array" aca="1" ref="K114" ca="1">_FV(A114,"Market cap",TRUE)/10000000</f>
        <v>6086.9139999999998</v>
      </c>
      <c r="L114" s="76" t="str">
        <f t="shared" ca="1" si="14"/>
        <v>HSC</v>
      </c>
      <c r="M114" s="77" t="str">
        <f t="array" aca="1" ref="M114" ca="1">_FV(A114,"Industry")</f>
        <v>Pharmaceuticals</v>
      </c>
    </row>
    <row r="115" spans="1:13">
      <c r="A115" s="69" t="e" vm="115">
        <v>#VALUE!</v>
      </c>
      <c r="B115" s="70">
        <f t="array" aca="1" ref="B115" ca="1">_FV(A115,"Change (%)",TRUE)</f>
        <v>-3.2009999999999999E-3</v>
      </c>
      <c r="C115" s="71">
        <f t="array" aca="1" ref="C115" ca="1">_FV(A115,"Previous close",TRUE)</f>
        <v>765.45</v>
      </c>
      <c r="D115" s="71">
        <f t="array" aca="1" ref="D115" ca="1">_FV(A115,"Price")</f>
        <v>763</v>
      </c>
      <c r="E115" s="71">
        <f t="array" aca="1" ref="E115" ca="1">_FV(A115,"Low")</f>
        <v>758</v>
      </c>
      <c r="F115" s="71">
        <f t="array" aca="1" ref="F115" ca="1">_FV(A115,"High")</f>
        <v>772.7</v>
      </c>
      <c r="G115" s="71">
        <f t="array" aca="1" ref="G115" ca="1">_FV(A115,"52 week low",TRUE)</f>
        <v>745.1</v>
      </c>
      <c r="H115" s="72">
        <f t="array" aca="1" ref="H115" ca="1">_FV(A115,"52 week high",TRUE)</f>
        <v>1107</v>
      </c>
      <c r="I115" s="73">
        <f t="shared" ca="1" si="12"/>
        <v>31.074977416440831</v>
      </c>
      <c r="J115" s="74" t="str">
        <f t="shared" ca="1" si="13"/>
        <v>MC BUY</v>
      </c>
      <c r="K115" s="75">
        <f t="array" aca="1" ref="K115" ca="1">_FV(A115,"Market cap",TRUE)/10000000</f>
        <v>19500.32</v>
      </c>
      <c r="L115" s="76" t="str">
        <f t="shared" ca="1" si="14"/>
        <v>MC</v>
      </c>
      <c r="M115" s="77" t="str">
        <f t="array" aca="1" ref="M115" ca="1">_FV(A115,"Industry")</f>
        <v>Chemicals</v>
      </c>
    </row>
    <row r="116" spans="1:13">
      <c r="A116" s="69" t="e" vm="116">
        <v>#VALUE!</v>
      </c>
      <c r="B116" s="70">
        <f t="array" aca="1" ref="B116" ca="1">_FV(A116,"Change (%)",TRUE)</f>
        <v>-2.9680000000000002E-3</v>
      </c>
      <c r="C116" s="71">
        <f t="array" aca="1" ref="C116" ca="1">_FV(A116,"Previous close",TRUE)</f>
        <v>1179.2</v>
      </c>
      <c r="D116" s="71">
        <f t="array" aca="1" ref="D116" ca="1">_FV(A116,"Price")</f>
        <v>1175.7</v>
      </c>
      <c r="E116" s="71">
        <f t="array" aca="1" ref="E116" ca="1">_FV(A116,"Low")</f>
        <v>1172</v>
      </c>
      <c r="F116" s="71">
        <f t="array" aca="1" ref="F116" ca="1">_FV(A116,"High")</f>
        <v>1179.8</v>
      </c>
      <c r="G116" s="71">
        <f t="array" aca="1" ref="G116" ca="1">_FV(A116,"52 week low",TRUE)</f>
        <v>890</v>
      </c>
      <c r="H116" s="72">
        <f t="array" aca="1" ref="H116" ca="1">_FV(A116,"52 week high",TRUE)</f>
        <v>1202.8</v>
      </c>
      <c r="I116" s="73">
        <f t="shared" ca="1" si="12"/>
        <v>2.2530761556368399</v>
      </c>
      <c r="J116" s="74" t="str">
        <f t="shared" ca="1" si="13"/>
        <v>WATCH</v>
      </c>
      <c r="K116" s="75">
        <f t="array" aca="1" ref="K116" ca="1">_FV(A116,"Market cap",TRUE)/10000000</f>
        <v>116687.3</v>
      </c>
      <c r="L116" s="76" t="str">
        <f t="shared" ca="1" si="14"/>
        <v>LC</v>
      </c>
      <c r="M116" s="77" t="str">
        <f t="array" aca="1" ref="M116" ca="1">_FV(A116,"Industry")</f>
        <v>Food &amp; Tobacco</v>
      </c>
    </row>
    <row r="117" spans="1:13">
      <c r="A117" s="69" t="e" vm="117">
        <v>#VALUE!</v>
      </c>
      <c r="B117" s="70">
        <f t="array" aca="1" ref="B117" ca="1">_FV(A117,"Change (%)",TRUE)</f>
        <v>-7.332E-3</v>
      </c>
      <c r="C117" s="71">
        <f t="array" aca="1" ref="C117" ca="1">_FV(A117,"Previous close",TRUE)</f>
        <v>5387.5</v>
      </c>
      <c r="D117" s="71">
        <f t="array" aca="1" ref="D117" ca="1">_FV(A117,"Price")</f>
        <v>5348</v>
      </c>
      <c r="E117" s="71">
        <f t="array" aca="1" ref="E117" ca="1">_FV(A117,"Low")</f>
        <v>5335</v>
      </c>
      <c r="F117" s="71">
        <f t="array" aca="1" ref="F117" ca="1">_FV(A117,"High")</f>
        <v>5425</v>
      </c>
      <c r="G117" s="71">
        <f t="array" aca="1" ref="G117" ca="1">_FV(A117,"52 week low",TRUE)</f>
        <v>4700</v>
      </c>
      <c r="H117" s="72">
        <f t="array" aca="1" ref="H117" ca="1">_FV(A117,"52 week high",TRUE)</f>
        <v>7037.7</v>
      </c>
      <c r="I117" s="73">
        <f t="shared" ca="1" si="12"/>
        <v>24.009264390354801</v>
      </c>
      <c r="J117" s="74" t="str">
        <f t="shared" ca="1" si="13"/>
        <v>FIRST MC BUY</v>
      </c>
      <c r="K117" s="75">
        <f t="array" aca="1" ref="K117" ca="1">_FV(A117,"Market cap",TRUE)/10000000</f>
        <v>33561.550000000003</v>
      </c>
      <c r="L117" s="76" t="str">
        <f t="shared" ca="1" si="14"/>
        <v>MC</v>
      </c>
      <c r="M117" s="77" t="str">
        <f t="array" aca="1" ref="M117" ca="1">_FV(A117,"Industry")</f>
        <v>Software &amp; IT Services</v>
      </c>
    </row>
    <row r="118" spans="1:13">
      <c r="A118" s="69" t="e" vm="118">
        <v>#VALUE!</v>
      </c>
      <c r="B118" s="70">
        <f t="array" aca="1" ref="B118" ca="1">_FV(A118,"Change (%)",TRUE)</f>
        <v>-3.9500000000000001E-4</v>
      </c>
      <c r="C118" s="71">
        <f t="array" aca="1" ref="C118" ca="1">_FV(A118,"Previous close",TRUE)</f>
        <v>379.7</v>
      </c>
      <c r="D118" s="71">
        <f t="array" aca="1" ref="D118" ca="1">_FV(A118,"Price")</f>
        <v>379.55</v>
      </c>
      <c r="E118" s="71">
        <f t="array" aca="1" ref="E118" ca="1">_FV(A118,"Low")</f>
        <v>378.1</v>
      </c>
      <c r="F118" s="71">
        <f t="array" aca="1" ref="F118" ca="1">_FV(A118,"High")</f>
        <v>381.9</v>
      </c>
      <c r="G118" s="71">
        <f t="array" aca="1" ref="G118" ca="1">_FV(A118,"52 week low",TRUE)</f>
        <v>326.35000000000002</v>
      </c>
      <c r="H118" s="72">
        <f t="array" aca="1" ref="H118" ca="1">_FV(A118,"52 week high",TRUE)</f>
        <v>416.8</v>
      </c>
      <c r="I118" s="73">
        <f t="shared" ca="1" si="12"/>
        <v>8.9371401151631478</v>
      </c>
      <c r="J118" s="74" t="str">
        <f t="shared" ca="1" si="13"/>
        <v>WATCH</v>
      </c>
      <c r="K118" s="75">
        <f t="array" aca="1" ref="K118" ca="1">_FV(A118,"Market cap",TRUE)/10000000</f>
        <v>121327</v>
      </c>
      <c r="L118" s="76" t="str">
        <f t="shared" ca="1" si="14"/>
        <v>LC</v>
      </c>
      <c r="M118" s="77" t="str">
        <f t="array" aca="1" ref="M118" ca="1">_FV(A118,"Industry")</f>
        <v>Electrical Utilities &amp; IPPs</v>
      </c>
    </row>
    <row r="119" spans="1:13">
      <c r="A119" s="69" t="e" vm="119">
        <v>#VALUE!</v>
      </c>
      <c r="B119" s="70">
        <f t="array" aca="1" ref="B119" ca="1">_FV(A119,"Change (%)",TRUE)</f>
        <v>-5.5859999999999998E-3</v>
      </c>
      <c r="C119" s="71">
        <f t="array" aca="1" ref="C119" ca="1">_FV(A119,"Previous close",TRUE)</f>
        <v>170.07</v>
      </c>
      <c r="D119" s="71">
        <f t="array" aca="1" ref="D119" ca="1">_FV(A119,"Price")</f>
        <v>169.12</v>
      </c>
      <c r="E119" s="71">
        <f t="array" aca="1" ref="E119" ca="1">_FV(A119,"Low")</f>
        <v>167.82</v>
      </c>
      <c r="F119" s="71">
        <f t="array" aca="1" ref="F119" ca="1">_FV(A119,"High")</f>
        <v>169.9</v>
      </c>
      <c r="G119" s="71">
        <f t="array" aca="1" ref="G119" ca="1">_FV(A119,"52 week low",TRUE)</f>
        <v>122.62</v>
      </c>
      <c r="H119" s="72">
        <f t="array" aca="1" ref="H119" ca="1">_FV(A119,"52 week high",TRUE)</f>
        <v>186.94</v>
      </c>
      <c r="I119" s="73">
        <f t="shared" ca="1" si="12"/>
        <v>9.5324703113298348</v>
      </c>
      <c r="J119" s="74" t="str">
        <f t="shared" ca="1" si="13"/>
        <v>WATCH</v>
      </c>
      <c r="K119" s="75">
        <f t="array" aca="1" ref="K119" ca="1">_FV(A119,"Market cap",TRUE)/10000000</f>
        <v>212307.4</v>
      </c>
      <c r="L119" s="76" t="str">
        <f t="shared" ca="1" si="14"/>
        <v>LC</v>
      </c>
      <c r="M119" s="77" t="str">
        <f t="array" aca="1" ref="M119" ca="1">_FV(A119,"Industry")</f>
        <v>Metals &amp; Mining</v>
      </c>
    </row>
    <row r="120" spans="1:13">
      <c r="A120" s="69" t="e" vm="120">
        <v>#VALUE!</v>
      </c>
      <c r="B120" s="70">
        <f t="array" aca="1" ref="B120" ca="1">_FV(A120,"Change (%)",TRUE)</f>
        <v>-4.6379999999999998E-3</v>
      </c>
      <c r="C120" s="71">
        <f t="array" aca="1" ref="C120" ca="1">_FV(A120,"Previous close",TRUE)</f>
        <v>657.6</v>
      </c>
      <c r="D120" s="71">
        <f t="array" aca="1" ref="D120" ca="1">_FV(A120,"Price")</f>
        <v>654.54999999999995</v>
      </c>
      <c r="E120" s="71">
        <f t="array" aca="1" ref="E120" ca="1">_FV(A120,"Low")</f>
        <v>652.45000000000005</v>
      </c>
      <c r="F120" s="71">
        <f t="array" aca="1" ref="F120" ca="1">_FV(A120,"High")</f>
        <v>662.05</v>
      </c>
      <c r="G120" s="71">
        <f t="array" aca="1" ref="G120" ca="1">_FV(A120,"52 week low",TRUE)</f>
        <v>594.35</v>
      </c>
      <c r="H120" s="72">
        <f t="array" aca="1" ref="H120" ca="1">_FV(A120,"52 week high",TRUE)</f>
        <v>918.8</v>
      </c>
      <c r="I120" s="73">
        <f t="shared" ca="1" si="12"/>
        <v>28.760339573356553</v>
      </c>
      <c r="J120" s="74" t="str">
        <f t="shared" ca="1" si="13"/>
        <v>FIRST MC BUY</v>
      </c>
      <c r="K120" s="75">
        <f t="array" aca="1" ref="K120" ca="1">_FV(A120,"Market cap",TRUE)/10000000</f>
        <v>26681.7</v>
      </c>
      <c r="L120" s="76" t="str">
        <f t="shared" ca="1" si="14"/>
        <v>MC</v>
      </c>
      <c r="M120" s="77" t="str">
        <f t="array" aca="1" ref="M120" ca="1">_FV(A120,"Industry")</f>
        <v>Integrated Hardware &amp; Software</v>
      </c>
    </row>
    <row r="121" spans="1:13">
      <c r="A121" s="69" t="e" vm="121">
        <v>#VALUE!</v>
      </c>
      <c r="B121" s="70">
        <f t="array" aca="1" ref="B121" ca="1">_FV(A121,"Change (%)",TRUE)</f>
        <v>-1.1751000000000001E-2</v>
      </c>
      <c r="C121" s="71">
        <f t="array" aca="1" ref="C121" ca="1">_FV(A121,"Previous close",TRUE)</f>
        <v>3319</v>
      </c>
      <c r="D121" s="71">
        <f t="array" aca="1" ref="D121" ca="1">_FV(A121,"Price")</f>
        <v>3280</v>
      </c>
      <c r="E121" s="71">
        <f t="array" aca="1" ref="E121" ca="1">_FV(A121,"Low")</f>
        <v>3271.8</v>
      </c>
      <c r="F121" s="71">
        <f t="array" aca="1" ref="F121" ca="1">_FV(A121,"High")</f>
        <v>3320</v>
      </c>
      <c r="G121" s="71">
        <f t="array" aca="1" ref="G121" ca="1">_FV(A121,"52 week low",TRUE)</f>
        <v>2866.6</v>
      </c>
      <c r="H121" s="72">
        <f t="array" aca="1" ref="H121" ca="1">_FV(A121,"52 week high",TRUE)</f>
        <v>4255.12</v>
      </c>
      <c r="I121" s="73">
        <f t="shared" ca="1" si="12"/>
        <v>22.916392487168398</v>
      </c>
      <c r="J121" s="74" t="str">
        <f t="shared" ca="1" si="13"/>
        <v>SURE HLC BUY</v>
      </c>
      <c r="K121" s="75">
        <f t="array" aca="1" ref="K121" ca="1">_FV(A121,"Market cap",TRUE)/10000000</f>
        <v>1186733</v>
      </c>
      <c r="L121" s="76" t="str">
        <f t="shared" ca="1" si="14"/>
        <v>HLC</v>
      </c>
      <c r="M121" s="77" t="str">
        <f t="array" aca="1" ref="M121" ca="1">_FV(A121,"Industry")</f>
        <v>Software &amp; IT Services</v>
      </c>
    </row>
    <row r="122" spans="1:13">
      <c r="A122" s="69" t="e" vm="122">
        <v>#VALUE!</v>
      </c>
      <c r="B122" s="70">
        <f t="array" aca="1" ref="B122" ca="1">_FV(A122,"Change (%)",TRUE)</f>
        <v>-1.1768000000000001E-2</v>
      </c>
      <c r="C122" s="71">
        <f t="array" aca="1" ref="C122" ca="1">_FV(A122,"Previous close",TRUE)</f>
        <v>1631.5</v>
      </c>
      <c r="D122" s="71">
        <f t="array" aca="1" ref="D122" ca="1">_FV(A122,"Price")</f>
        <v>1612.3</v>
      </c>
      <c r="E122" s="71">
        <f t="array" aca="1" ref="E122" ca="1">_FV(A122,"Low")</f>
        <v>1608</v>
      </c>
      <c r="F122" s="71">
        <f t="array" aca="1" ref="F122" ca="1">_FV(A122,"High")</f>
        <v>1633.7</v>
      </c>
      <c r="G122" s="71">
        <f t="array" aca="1" ref="G122" ca="1">_FV(A122,"52 week low",TRUE)</f>
        <v>1209.4000000000001</v>
      </c>
      <c r="H122" s="72">
        <f t="array" aca="1" ref="H122" ca="1">_FV(A122,"52 week high",TRUE)</f>
        <v>1773.6</v>
      </c>
      <c r="I122" s="73">
        <f t="shared" ca="1" si="12"/>
        <v>9.0944970681100568</v>
      </c>
      <c r="J122" s="74" t="str">
        <f t="shared" ca="1" si="13"/>
        <v>WATCH</v>
      </c>
      <c r="K122" s="75">
        <f t="array" aca="1" ref="K122" ca="1">_FV(A122,"Market cap",TRUE)/10000000</f>
        <v>159841.5</v>
      </c>
      <c r="L122" s="76" t="str">
        <f t="shared" ca="1" si="14"/>
        <v>LC</v>
      </c>
      <c r="M122" s="77" t="str">
        <f t="array" aca="1" ref="M122" ca="1">_FV(A122,"Industry")</f>
        <v>Software &amp; IT Services</v>
      </c>
    </row>
    <row r="123" spans="1:13">
      <c r="A123" s="69" t="e" vm="123">
        <v>#VALUE!</v>
      </c>
      <c r="B123" s="70">
        <f t="array" aca="1" ref="B123" ca="1">_FV(A123,"Change (%)",TRUE)</f>
        <v>5.0491000000000001E-2</v>
      </c>
      <c r="C123" s="71">
        <f t="array" aca="1" ref="C123" ca="1">_FV(A123,"Previous close",TRUE)</f>
        <v>854.6</v>
      </c>
      <c r="D123" s="71">
        <f t="array" aca="1" ref="D123" ca="1">_FV(A123,"Price")</f>
        <v>897.75</v>
      </c>
      <c r="E123" s="71">
        <f t="array" aca="1" ref="E123" ca="1">_FV(A123,"Low")</f>
        <v>845.95</v>
      </c>
      <c r="F123" s="71">
        <f t="array" aca="1" ref="F123" ca="1">_FV(A123,"High")</f>
        <v>906</v>
      </c>
      <c r="G123" s="71">
        <f t="array" aca="1" ref="G123" ca="1">_FV(A123,"52 week low",TRUE)</f>
        <v>654.54999999999995</v>
      </c>
      <c r="H123" s="72">
        <f t="array" aca="1" ref="H123" ca="1">_FV(A123,"52 week high",TRUE)</f>
        <v>1330</v>
      </c>
      <c r="I123" s="73">
        <f t="shared" ca="1" si="12"/>
        <v>32.5</v>
      </c>
      <c r="J123" s="74" t="str">
        <f t="shared" ca="1" si="13"/>
        <v>MC BUY</v>
      </c>
      <c r="K123" s="75">
        <f t="array" aca="1" ref="K123" ca="1">_FV(A123,"Market cap",TRUE)/10000000</f>
        <v>11509.22</v>
      </c>
      <c r="L123" s="76" t="str">
        <f t="shared" ca="1" si="14"/>
        <v>MC</v>
      </c>
      <c r="M123" s="77" t="str">
        <f t="array" aca="1" ref="M123" ca="1">_FV(A123,"Industry")</f>
        <v>Machinery, Equipment &amp; Components</v>
      </c>
    </row>
    <row r="124" spans="1:13">
      <c r="A124" s="69" t="e" vm="124">
        <v>#VALUE!</v>
      </c>
      <c r="B124" s="70">
        <f t="array" aca="1" ref="B124" ca="1">_FV(A124,"Change (%)",TRUE)</f>
        <v>2.1155E-2</v>
      </c>
      <c r="C124" s="71">
        <f t="array" aca="1" ref="C124" ca="1">_FV(A124,"Previous close",TRUE)</f>
        <v>3909.3</v>
      </c>
      <c r="D124" s="71">
        <f t="array" aca="1" ref="D124" ca="1">_FV(A124,"Price")</f>
        <v>3992</v>
      </c>
      <c r="E124" s="71">
        <f t="array" aca="1" ref="E124" ca="1">_FV(A124,"Low")</f>
        <v>3900</v>
      </c>
      <c r="F124" s="71">
        <f t="array" aca="1" ref="F124" ca="1">_FV(A124,"High")</f>
        <v>4006.9</v>
      </c>
      <c r="G124" s="71">
        <f t="array" aca="1" ref="G124" ca="1">_FV(A124,"52 week low",TRUE)</f>
        <v>2925</v>
      </c>
      <c r="H124" s="72">
        <f t="array" aca="1" ref="H124" ca="1">_FV(A124,"52 week high",TRUE)</f>
        <v>4006.9</v>
      </c>
      <c r="I124" s="73">
        <f t="shared" ca="1" si="12"/>
        <v>0.3718585440115823</v>
      </c>
      <c r="J124" s="74" t="str">
        <f t="shared" ca="1" si="13"/>
        <v>WATCH</v>
      </c>
      <c r="K124" s="75">
        <f t="array" aca="1" ref="K124" ca="1">_FV(A124,"Market cap",TRUE)/10000000</f>
        <v>346772.6</v>
      </c>
      <c r="L124" s="76" t="str">
        <f t="shared" ca="1" si="14"/>
        <v>LC</v>
      </c>
      <c r="M124" s="77" t="str">
        <f t="array" aca="1" ref="M124" ca="1">_FV(A124,"Industry")</f>
        <v>Textiles &amp; Apparel</v>
      </c>
    </row>
    <row r="125" spans="1:13">
      <c r="A125" s="69" t="e" vm="125">
        <v>#VALUE!</v>
      </c>
      <c r="B125" s="70">
        <f t="array" aca="1" ref="B125" ca="1">_FV(A125,"Change (%)",TRUE)</f>
        <v>-2.4459999999999998E-4</v>
      </c>
      <c r="C125" s="71">
        <f t="array" aca="1" ref="C125" ca="1">_FV(A125,"Previous close",TRUE)</f>
        <v>408.75</v>
      </c>
      <c r="D125" s="71">
        <f t="array" aca="1" ref="D125" ca="1">_FV(A125,"Price")</f>
        <v>408.65</v>
      </c>
      <c r="E125" s="71">
        <f t="array" aca="1" ref="E125" ca="1">_FV(A125,"Low")</f>
        <v>403.4</v>
      </c>
      <c r="F125" s="71">
        <f t="array" aca="1" ref="F125" ca="1">_FV(A125,"High")</f>
        <v>416.5</v>
      </c>
      <c r="G125" s="71">
        <f t="array" aca="1" ref="G125" ca="1">_FV(A125,"52 week low",TRUE)</f>
        <v>306.3</v>
      </c>
      <c r="H125" s="72">
        <f t="array" aca="1" ref="H125" ca="1">_FV(A125,"52 week high",TRUE)</f>
        <v>432.3</v>
      </c>
      <c r="I125" s="73">
        <f t="shared" ca="1" si="12"/>
        <v>5.4707379134860137</v>
      </c>
      <c r="J125" s="74" t="str">
        <f t="shared" ca="1" si="13"/>
        <v>WATCH</v>
      </c>
      <c r="K125" s="75">
        <f t="array" aca="1" ref="K125" ca="1">_FV(A125,"Market cap",TRUE)/10000000</f>
        <v>150515.29999999999</v>
      </c>
      <c r="L125" s="76" t="str">
        <f t="shared" ca="1" si="14"/>
        <v>LC</v>
      </c>
      <c r="M125" s="77" t="str">
        <f t="array" aca="1" ref="M125" ca="1">_FV(A125,"Industry")</f>
        <v>Automobiles &amp; Auto Parts</v>
      </c>
    </row>
    <row r="126" spans="1:13">
      <c r="A126" s="69" t="e" vm="126">
        <v>#VALUE!</v>
      </c>
      <c r="B126" s="70">
        <f t="array" aca="1" ref="B126" ca="1">_FV(A126,"Change (%)",TRUE)</f>
        <v>-1.114E-3</v>
      </c>
      <c r="C126" s="71">
        <f t="array" aca="1" ref="C126" ca="1">_FV(A126,"Previous close",TRUE)</f>
        <v>359.2</v>
      </c>
      <c r="D126" s="71">
        <f t="array" aca="1" ref="D126" ca="1">_FV(A126,"Price")</f>
        <v>358.8</v>
      </c>
      <c r="E126" s="71">
        <f t="array" aca="1" ref="E126" ca="1">_FV(A126,"Low")</f>
        <v>354.7</v>
      </c>
      <c r="F126" s="71">
        <f t="array" aca="1" ref="F126" ca="1">_FV(A126,"High")</f>
        <v>360.4</v>
      </c>
      <c r="G126" s="71">
        <f t="array" aca="1" ref="G126" ca="1">_FV(A126,"52 week low",TRUE)</f>
        <v>324.33</v>
      </c>
      <c r="H126" s="72">
        <f t="array" aca="1" ref="H126" ca="1">_FV(A126,"52 week high",TRUE)</f>
        <v>490.35</v>
      </c>
      <c r="I126" s="73">
        <f t="shared" ca="1" si="12"/>
        <v>26.827776078311413</v>
      </c>
      <c r="J126" s="74" t="str">
        <f t="shared" ca="1" si="13"/>
        <v>SURE LC BUY</v>
      </c>
      <c r="K126" s="75">
        <f t="array" aca="1" ref="K126" ca="1">_FV(A126,"Market cap",TRUE)/10000000</f>
        <v>132269.29999999999</v>
      </c>
      <c r="L126" s="76" t="str">
        <f t="shared" ca="1" si="14"/>
        <v>LC</v>
      </c>
      <c r="M126" s="77" t="str">
        <f t="array" aca="1" ref="M126" ca="1">_FV(A126,"Industry")</f>
        <v>Automobiles &amp; Auto Parts</v>
      </c>
    </row>
    <row r="127" spans="1:13">
      <c r="A127" s="69" t="e" vm="127">
        <v>#VALUE!</v>
      </c>
      <c r="B127" s="70">
        <f t="array" aca="1" ref="B127" ca="1">_FV(A127,"Change (%)",TRUE)</f>
        <v>-1.0020000000000001E-3</v>
      </c>
      <c r="C127" s="71">
        <f t="array" aca="1" ref="C127" ca="1">_FV(A127,"Previous close",TRUE)</f>
        <v>4289.6000000000004</v>
      </c>
      <c r="D127" s="71">
        <f t="array" aca="1" ref="D127" ca="1">_FV(A127,"Price")</f>
        <v>4285.3</v>
      </c>
      <c r="E127" s="71">
        <f t="array" aca="1" ref="E127" ca="1">_FV(A127,"Low")</f>
        <v>4263</v>
      </c>
      <c r="F127" s="71">
        <f t="array" aca="1" ref="F127" ca="1">_FV(A127,"High")</f>
        <v>4338.3999999999996</v>
      </c>
      <c r="G127" s="71">
        <f t="array" aca="1" ref="G127" ca="1">_FV(A127,"52 week low",TRUE)</f>
        <v>3930.1</v>
      </c>
      <c r="H127" s="72">
        <f t="array" aca="1" ref="H127" ca="1">_FV(A127,"52 week high",TRUE)</f>
        <v>7493.05</v>
      </c>
      <c r="I127" s="73">
        <f t="shared" ca="1" si="12"/>
        <v>42.80967029447288</v>
      </c>
      <c r="J127" s="74" t="str">
        <f t="shared" ca="1" si="13"/>
        <v>SURE LC BUY</v>
      </c>
      <c r="K127" s="75">
        <f t="array" aca="1" ref="K127" ca="1">_FV(A127,"Market cap",TRUE)/10000000</f>
        <v>152489.9</v>
      </c>
      <c r="L127" s="76" t="str">
        <f t="shared" ca="1" si="14"/>
        <v>LC</v>
      </c>
      <c r="M127" s="77" t="str">
        <f t="array" aca="1" ref="M127" ca="1">_FV(A127,"Industry")</f>
        <v>Diversified Retail</v>
      </c>
    </row>
    <row r="128" spans="1:13">
      <c r="A128" s="69" t="e" vm="128">
        <v>#VALUE!</v>
      </c>
      <c r="B128" s="70">
        <f t="array" aca="1" ref="B128" ca="1">_FV(A128,"Change (%)",TRUE)</f>
        <v>-5.1809999999999998E-3</v>
      </c>
      <c r="C128" s="71">
        <f t="array" aca="1" ref="C128" ca="1">_FV(A128,"Previous close",TRUE)</f>
        <v>27.02</v>
      </c>
      <c r="D128" s="71">
        <f t="array" aca="1" ref="D128" ca="1">_FV(A128,"Price")</f>
        <v>26.88</v>
      </c>
      <c r="E128" s="71">
        <f t="array" aca="1" ref="E128" ca="1">_FV(A128,"Low")</f>
        <v>26.85</v>
      </c>
      <c r="F128" s="71">
        <f t="array" aca="1" ref="F128" ca="1">_FV(A128,"High")</f>
        <v>27.13</v>
      </c>
      <c r="G128" s="71">
        <f t="array" aca="1" ref="G128" ca="1">_FV(A128,"52 week low",TRUE)</f>
        <v>23.11</v>
      </c>
      <c r="H128" s="72">
        <f t="array" aca="1" ref="H128" ca="1">_FV(A128,"52 week high",TRUE)</f>
        <v>34.869999999999997</v>
      </c>
      <c r="I128" s="73">
        <f t="shared" ca="1" si="12"/>
        <v>22.913679380556349</v>
      </c>
      <c r="J128" s="74" t="str">
        <f t="shared" ca="1" si="13"/>
        <v>FIRST MC BUY</v>
      </c>
      <c r="K128" s="75">
        <f t="array" aca="1" ref="K128" ca="1">_FV(A128,"Market cap",TRUE)/10000000</f>
        <v>13767.72</v>
      </c>
      <c r="L128" s="76" t="str">
        <f t="shared" ca="1" si="14"/>
        <v>MC</v>
      </c>
      <c r="M128" s="77" t="str">
        <f t="array" aca="1" ref="M128" ca="1">_FV(A128,"Industry")</f>
        <v>Textiles &amp; Apparel</v>
      </c>
    </row>
    <row r="129" spans="1:13">
      <c r="A129" s="69" t="e" vm="129">
        <v>#VALUE!</v>
      </c>
      <c r="B129" s="70">
        <f t="array" aca="1" ref="B129" ca="1">_FV(A129,"Change (%)",TRUE)</f>
        <v>2.5500000000000002E-3</v>
      </c>
      <c r="C129" s="71">
        <f t="array" aca="1" ref="C129" ca="1">_FV(A129,"Previous close",TRUE)</f>
        <v>11764</v>
      </c>
      <c r="D129" s="71">
        <f t="array" aca="1" ref="D129" ca="1">_FV(A129,"Price")</f>
        <v>11794</v>
      </c>
      <c r="E129" s="71">
        <f t="array" aca="1" ref="E129" ca="1">_FV(A129,"Low")</f>
        <v>11743</v>
      </c>
      <c r="F129" s="71">
        <f t="array" aca="1" ref="F129" ca="1">_FV(A129,"High")</f>
        <v>11855</v>
      </c>
      <c r="G129" s="71">
        <f t="array" aca="1" ref="G129" ca="1">_FV(A129,"52 week low",TRUE)</f>
        <v>10047.85</v>
      </c>
      <c r="H129" s="72">
        <f t="array" aca="1" ref="H129" ca="1">_FV(A129,"52 week high",TRUE)</f>
        <v>13097</v>
      </c>
      <c r="I129" s="73">
        <f t="shared" ca="1" si="12"/>
        <v>9.9488432465450103</v>
      </c>
      <c r="J129" s="74" t="str">
        <f t="shared" ca="1" si="13"/>
        <v>WATCH</v>
      </c>
      <c r="K129" s="75">
        <f t="array" aca="1" ref="K129" ca="1">_FV(A129,"Market cap",TRUE)/10000000</f>
        <v>346848.3</v>
      </c>
      <c r="L129" s="76" t="str">
        <f t="shared" ca="1" si="14"/>
        <v>LC</v>
      </c>
      <c r="M129" s="77" t="str">
        <f t="array" aca="1" ref="M129" ca="1">_FV(A129,"Industry")</f>
        <v>Construction Materials</v>
      </c>
    </row>
    <row r="130" spans="1:13">
      <c r="A130" s="69" t="e" vm="130">
        <v>#VALUE!</v>
      </c>
      <c r="B130" s="70">
        <f t="array" aca="1" ref="B130" ca="1">_FV(A130,"Change (%)",TRUE)</f>
        <v>-1.6173E-2</v>
      </c>
      <c r="C130" s="71">
        <f t="array" aca="1" ref="C130" ca="1">_FV(A130,"Previous close",TRUE)</f>
        <v>1292.3</v>
      </c>
      <c r="D130" s="71">
        <f t="array" aca="1" ref="D130" ca="1">_FV(A130,"Price")</f>
        <v>1271.4000000000001</v>
      </c>
      <c r="E130" s="71">
        <f t="array" aca="1" ref="E130" ca="1">_FV(A130,"Low")</f>
        <v>1263.7</v>
      </c>
      <c r="F130" s="71">
        <f t="array" aca="1" ref="F130" ca="1">_FV(A130,"High")</f>
        <v>1296</v>
      </c>
      <c r="G130" s="71">
        <f t="array" aca="1" ref="G130" ca="1">_FV(A130,"52 week low",TRUE)</f>
        <v>767.6</v>
      </c>
      <c r="H130" s="72">
        <f t="array" aca="1" ref="H130" ca="1">_FV(A130,"52 week high",TRUE)</f>
        <v>1382</v>
      </c>
      <c r="I130" s="73">
        <f t="shared" ca="1" si="12"/>
        <v>8.0028943560057826</v>
      </c>
      <c r="J130" s="74" t="str">
        <f t="shared" ca="1" si="13"/>
        <v>WATCH</v>
      </c>
      <c r="K130" s="75">
        <f t="array" aca="1" ref="K130" ca="1">_FV(A130,"Market cap",TRUE)/10000000</f>
        <v>74572.38</v>
      </c>
      <c r="L130" s="76" t="str">
        <f t="shared" ca="1" si="14"/>
        <v>HMC</v>
      </c>
      <c r="M130" s="77" t="str">
        <f t="array" aca="1" ref="M130" ca="1">_FV(A130,"Industry")</f>
        <v>Automobiles &amp; Auto Parts</v>
      </c>
    </row>
    <row r="131" spans="1:13">
      <c r="A131" s="69" t="e" vm="131">
        <v>#VALUE!</v>
      </c>
      <c r="B131" s="70">
        <f t="array" aca="1" ref="B131" ca="1">_FV(A131,"Change (%)",TRUE)</f>
        <v>1.0887000000000001E-2</v>
      </c>
      <c r="C131" s="71">
        <f t="array" aca="1" ref="C131" ca="1">_FV(A131,"Previous close",TRUE)</f>
        <v>477.65</v>
      </c>
      <c r="D131" s="71">
        <f t="array" aca="1" ref="D131" ca="1">_FV(A131,"Price")</f>
        <v>482.85</v>
      </c>
      <c r="E131" s="71">
        <f t="array" aca="1" ref="E131" ca="1">_FV(A131,"Low")</f>
        <v>475.1</v>
      </c>
      <c r="F131" s="71">
        <f t="array" aca="1" ref="F131" ca="1">_FV(A131,"High")</f>
        <v>483.5</v>
      </c>
      <c r="G131" s="71">
        <f t="array" aca="1" ref="G131" ca="1">_FV(A131,"52 week low",TRUE)</f>
        <v>419.55</v>
      </c>
      <c r="H131" s="72">
        <f t="array" aca="1" ref="H131" ca="1">_FV(A131,"52 week high",TRUE)</f>
        <v>663.6</v>
      </c>
      <c r="I131" s="73">
        <f t="shared" ca="1" si="12"/>
        <v>27.2377938517179</v>
      </c>
      <c r="J131" s="74" t="str">
        <f t="shared" ca="1" si="13"/>
        <v>SURE LC BUY</v>
      </c>
      <c r="K131" s="75">
        <f t="array" aca="1" ref="K131" ca="1">_FV(A131,"Market cap",TRUE)/10000000</f>
        <v>161540.70000000001</v>
      </c>
      <c r="L131" s="76" t="str">
        <f t="shared" ca="1" si="14"/>
        <v>LC</v>
      </c>
      <c r="M131" s="77" t="str">
        <f t="array" aca="1" ref="M131" ca="1">_FV(A131,"Industry")</f>
        <v>Beverages</v>
      </c>
    </row>
    <row r="132" spans="1:13">
      <c r="A132" s="69" t="e" vm="132">
        <v>#VALUE!</v>
      </c>
      <c r="B132" s="70">
        <f t="array" aca="1" ref="B132" ca="1">_FV(A132,"Change (%)",TRUE)</f>
        <v>-9.7509999999999993E-3</v>
      </c>
      <c r="C132" s="71">
        <f t="array" aca="1" ref="C132" ca="1">_FV(A132,"Previous close",TRUE)</f>
        <v>1394.7</v>
      </c>
      <c r="D132" s="71">
        <f t="array" aca="1" ref="D132" ca="1">_FV(A132,"Price")</f>
        <v>1381.1</v>
      </c>
      <c r="E132" s="71">
        <f t="array" aca="1" ref="E132" ca="1">_FV(A132,"Low")</f>
        <v>1377</v>
      </c>
      <c r="F132" s="71">
        <f t="array" aca="1" ref="F132" ca="1">_FV(A132,"High")</f>
        <v>1412.4</v>
      </c>
      <c r="G132" s="71">
        <f t="array" aca="1" ref="G132" ca="1">_FV(A132,"52 week low",TRUE)</f>
        <v>1135</v>
      </c>
      <c r="H132" s="72">
        <f t="array" aca="1" ref="H132" ca="1">_FV(A132,"52 week high",TRUE)</f>
        <v>1859.4</v>
      </c>
      <c r="I132" s="73">
        <f t="shared" ca="1" si="12"/>
        <v>25.723351618801772</v>
      </c>
      <c r="J132" s="74" t="str">
        <f t="shared" ca="1" si="13"/>
        <v>HMC BUY</v>
      </c>
      <c r="K132" s="75">
        <f t="array" aca="1" ref="K132" ca="1">_FV(A132,"Market cap",TRUE)/10000000</f>
        <v>46148.49</v>
      </c>
      <c r="L132" s="76" t="str">
        <f t="shared" ca="1" si="14"/>
        <v>HMC</v>
      </c>
      <c r="M132" s="77" t="str">
        <f t="array" aca="1" ref="M132" ca="1">_FV(A132,"Industry")</f>
        <v>Machinery, Equipment &amp; Components</v>
      </c>
    </row>
    <row r="133" spans="1:13">
      <c r="A133" s="69" t="e" vm="133">
        <v>#VALUE!</v>
      </c>
      <c r="B133" s="70">
        <f t="array" aca="1" ref="B133" ca="1">_FV(A133,"Change (%)",TRUE)</f>
        <v>-6.5659999999999998E-3</v>
      </c>
      <c r="C133" s="71">
        <f t="array" aca="1" ref="C133" ca="1">_FV(A133,"Previous close",TRUE)</f>
        <v>268.06</v>
      </c>
      <c r="D133" s="71">
        <f t="array" aca="1" ref="D133" ca="1">_FV(A133,"Price")</f>
        <v>266.3</v>
      </c>
      <c r="E133" s="71">
        <f t="array" aca="1" ref="E133" ca="1">_FV(A133,"Low")</f>
        <v>265.74</v>
      </c>
      <c r="F133" s="71">
        <f t="array" aca="1" ref="F133" ca="1">_FV(A133,"High")</f>
        <v>268.88</v>
      </c>
      <c r="G133" s="71">
        <f t="array" aca="1" ref="G133" ca="1">_FV(A133,"52 week low",TRUE)</f>
        <v>228</v>
      </c>
      <c r="H133" s="72">
        <f t="array" aca="1" ref="H133" ca="1">_FV(A133,"52 week high",TRUE)</f>
        <v>324.60000000000002</v>
      </c>
      <c r="I133" s="73">
        <f t="shared" ca="1" si="12"/>
        <v>17.960566851509551</v>
      </c>
      <c r="J133" s="74" t="str">
        <f t="shared" ca="1" si="13"/>
        <v>LC BUY</v>
      </c>
      <c r="K133" s="75">
        <f t="array" aca="1" ref="K133" ca="1">_FV(A133,"Market cap",TRUE)/10000000</f>
        <v>280790.40000000002</v>
      </c>
      <c r="L133" s="76" t="str">
        <f t="shared" ca="1" si="14"/>
        <v>LC</v>
      </c>
      <c r="M133" s="77" t="str">
        <f t="array" aca="1" ref="M133" ca="1">_FV(A133,"Industry")</f>
        <v>Software &amp; IT Services</v>
      </c>
    </row>
    <row r="134" spans="1:13">
      <c r="A134" s="69" t="e" vm="134">
        <v>#VALUE!</v>
      </c>
      <c r="B134" s="70">
        <f t="array" aca="1" ref="B134" ca="1">_FV(A134,"Change (%)",TRUE)</f>
        <v>-1.2072000000000001E-2</v>
      </c>
      <c r="C134" s="71">
        <f t="array" aca="1" ref="C134" ca="1">_FV(A134,"Previous close",TRUE)</f>
        <v>1391.6</v>
      </c>
      <c r="D134" s="71">
        <f t="array" aca="1" ref="D134" ca="1">_FV(A134,"Price")</f>
        <v>1374.8</v>
      </c>
      <c r="E134" s="71">
        <f t="array" aca="1" ref="E134" ca="1">_FV(A134,"Low")</f>
        <v>1367.2</v>
      </c>
      <c r="F134" s="71">
        <f t="array" aca="1" ref="F134" ca="1">_FV(A134,"High")</f>
        <v>1407.8</v>
      </c>
      <c r="G134" s="71">
        <f t="array" aca="1" ref="G134" ca="1">_FV(A134,"52 week low",TRUE)</f>
        <v>945.35</v>
      </c>
      <c r="H134" s="72">
        <f t="array" aca="1" ref="H134" ca="1">_FV(A134,"52 week high",TRUE)</f>
        <v>2627</v>
      </c>
      <c r="I134" s="73">
        <f t="shared" ca="1" si="12"/>
        <v>47.666539779215839</v>
      </c>
      <c r="J134" s="74" t="str">
        <f t="shared" ca="1" si="13"/>
        <v>SURE MC BUY</v>
      </c>
      <c r="K134" s="75">
        <f t="array" aca="1" ref="K134" ca="1">_FV(A134,"Market cap",TRUE)/10000000</f>
        <v>12360.99</v>
      </c>
      <c r="L134" s="76" t="str">
        <f t="shared" ca="1" si="14"/>
        <v>MC</v>
      </c>
      <c r="M134" s="77" t="str">
        <f t="array" aca="1" ref="M134" ca="1">_FV(A134,"Industry")</f>
        <v>Aerospace &amp; Defense</v>
      </c>
    </row>
  </sheetData>
  <autoFilter ref="A1:M134" xr:uid="{00000000-0001-0000-0000-000000000000}"/>
  <conditionalFormatting sqref="B2:B134">
    <cfRule type="dataBar" priority="2">
      <dataBar>
        <cfvo type="min"/>
        <cfvo type="max"/>
        <color rgb="FF638EC6"/>
      </dataBar>
      <extLst>
        <ext xmlns:x14="http://schemas.microsoft.com/office/spreadsheetml/2009/9/main" uri="{B025F937-C7B1-47D3-B67F-A62EFF666E3E}">
          <x14:id>{7F949D0F-8581-46E9-B724-BE93BA51DDDB}</x14:id>
        </ext>
      </extLst>
    </cfRule>
  </conditionalFormatting>
  <conditionalFormatting sqref="I1:I1048576">
    <cfRule type="dataBar" priority="1">
      <dataBar>
        <cfvo type="min"/>
        <cfvo type="max"/>
        <color rgb="FFFF555A"/>
      </dataBar>
      <extLst>
        <ext xmlns:x14="http://schemas.microsoft.com/office/spreadsheetml/2009/9/main" uri="{B025F937-C7B1-47D3-B67F-A62EFF666E3E}">
          <x14:id>{3147653E-B426-427E-9818-DE86F996E4D4}</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F949D0F-8581-46E9-B724-BE93BA51DDDB}">
            <x14:dataBar minLength="0" maxLength="100" border="1" negativeBarBorderColorSameAsPositive="0">
              <x14:cfvo type="autoMin"/>
              <x14:cfvo type="autoMax"/>
              <x14:borderColor rgb="FF638EC6"/>
              <x14:negativeFillColor rgb="FFFF0000"/>
              <x14:negativeBorderColor rgb="FFFF0000"/>
              <x14:axisColor rgb="FF000000"/>
            </x14:dataBar>
          </x14:cfRule>
          <xm:sqref>B2:B134</xm:sqref>
        </x14:conditionalFormatting>
        <x14:conditionalFormatting xmlns:xm="http://schemas.microsoft.com/office/excel/2006/main">
          <x14:cfRule type="dataBar" id="{3147653E-B426-427E-9818-DE86F996E4D4}">
            <x14:dataBar minLength="0" maxLength="100" border="1" negativeBarBorderColorSameAsPositive="0">
              <x14:cfvo type="autoMin"/>
              <x14:cfvo type="autoMax"/>
              <x14:borderColor rgb="FFFF555A"/>
              <x14:negativeFillColor rgb="FFFF0000"/>
              <x14:negativeBorderColor rgb="FFFF0000"/>
              <x14:axisColor rgb="FF000000"/>
            </x14:dataBar>
          </x14:cfRule>
          <xm:sqref>I1:I1048576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3"/>
  <sheetViews>
    <sheetView workbookViewId="0">
      <selection activeCell="A2" sqref="A2"/>
    </sheetView>
  </sheetViews>
  <sheetFormatPr defaultRowHeight="15"/>
  <cols>
    <col min="1" max="1" width="11.42578125" bestFit="1" customWidth="1"/>
  </cols>
  <sheetData>
    <row r="1" spans="1:12">
      <c r="A1" s="11" t="s">
        <v>0</v>
      </c>
      <c r="B1" s="12" t="s">
        <v>13</v>
      </c>
      <c r="C1" s="11" t="s">
        <v>14</v>
      </c>
      <c r="D1" s="11" t="s">
        <v>3</v>
      </c>
      <c r="E1" s="11" t="s">
        <v>15</v>
      </c>
      <c r="F1" s="11" t="s">
        <v>16</v>
      </c>
      <c r="G1" s="11" t="s">
        <v>17</v>
      </c>
      <c r="H1" s="11" t="s">
        <v>18</v>
      </c>
      <c r="I1" s="11" t="s">
        <v>19</v>
      </c>
      <c r="J1" s="11" t="s">
        <v>20</v>
      </c>
      <c r="K1" s="11" t="s">
        <v>12</v>
      </c>
    </row>
    <row r="2" spans="1:12">
      <c r="A2" s="13" t="e">
        <v>#VALUE!</v>
      </c>
      <c r="B2" s="14" t="e" vm="135">
        <f t="shared" ref="B2:B12" si="0">(D2-H2)/H2</f>
        <v>#VALUE!</v>
      </c>
      <c r="C2" s="15" t="e" vm="136">
        <f t="array" ref="C2">_FV(A2,"Previous close",TRUE)</f>
        <v>#VALUE!</v>
      </c>
      <c r="D2" s="15" t="e" vm="137">
        <f t="array" ref="D2">_FV(A2,"Price")</f>
        <v>#VALUE!</v>
      </c>
      <c r="E2" s="15" t="e" vm="138">
        <f t="array" ref="E2">_FV(A2,"Low")</f>
        <v>#VALUE!</v>
      </c>
      <c r="F2" s="15" t="e" vm="139">
        <f t="array" ref="F2">_FV(A2,"High")</f>
        <v>#VALUE!</v>
      </c>
      <c r="G2" s="15" t="e" vm="140">
        <f t="array" ref="G2">_FV(A2,"52 week low",TRUE)</f>
        <v>#VALUE!</v>
      </c>
      <c r="H2" s="15" t="e" vm="141">
        <f t="array" ref="H2">_FV(A2,"52 week high",TRUE)</f>
        <v>#VALUE!</v>
      </c>
      <c r="I2" s="16" t="e" vm="142">
        <f t="array" ref="I2">_FV(A2,"Change (%)",TRUE)</f>
        <v>#VALUE!</v>
      </c>
      <c r="J2" s="17" t="e" vm="143">
        <f t="array" ref="J2">_FV(A2,"Market cap",TRUE)/10000000</f>
        <v>#VALUE!</v>
      </c>
      <c r="K2" s="18" t="s">
        <v>21</v>
      </c>
      <c r="L2" s="6"/>
    </row>
    <row r="3" spans="1:12">
      <c r="A3" s="13" t="e">
        <v>#VALUE!</v>
      </c>
      <c r="B3" s="14" t="e" vm="135">
        <f t="shared" si="0"/>
        <v>#VALUE!</v>
      </c>
      <c r="C3" s="15" t="e" vm="136">
        <f t="array" ref="C3">_FV(A3,"Previous close",TRUE)</f>
        <v>#VALUE!</v>
      </c>
      <c r="D3" s="15" t="e" vm="137">
        <f t="array" ref="D3">_FV(A3,"Price")</f>
        <v>#VALUE!</v>
      </c>
      <c r="E3" s="15" t="e" vm="138">
        <f t="array" ref="E3">_FV(A3,"Low")</f>
        <v>#VALUE!</v>
      </c>
      <c r="F3" s="15" t="e" vm="139">
        <f t="array" ref="F3">_FV(A3,"High")</f>
        <v>#VALUE!</v>
      </c>
      <c r="G3" s="15" t="e" vm="140">
        <f t="array" ref="G3">_FV(A3,"52 week low",TRUE)</f>
        <v>#VALUE!</v>
      </c>
      <c r="H3" s="15" t="e" vm="141">
        <f t="array" ref="H3">_FV(A3,"52 week high",TRUE)</f>
        <v>#VALUE!</v>
      </c>
      <c r="I3" s="16" t="e" vm="142">
        <f t="array" ref="I3">_FV(A3,"Change (%)",TRUE)</f>
        <v>#VALUE!</v>
      </c>
      <c r="J3" s="17" t="e" vm="143">
        <f t="array" ref="J3">_FV(A3,"Market cap",TRUE)/10000000</f>
        <v>#VALUE!</v>
      </c>
      <c r="K3" s="18" t="s">
        <v>22</v>
      </c>
    </row>
    <row r="4" spans="1:12">
      <c r="A4" s="13" t="e">
        <v>#VALUE!</v>
      </c>
      <c r="B4" s="14" t="e" vm="135">
        <f t="shared" si="0"/>
        <v>#VALUE!</v>
      </c>
      <c r="C4" s="15" t="e" vm="136">
        <f t="array" ref="C4">_FV(A4,"Previous close",TRUE)</f>
        <v>#VALUE!</v>
      </c>
      <c r="D4" s="15" t="e" vm="137">
        <f t="array" ref="D4">_FV(A4,"Price")</f>
        <v>#VALUE!</v>
      </c>
      <c r="E4" s="15" t="e" vm="138">
        <f t="array" ref="E4">_FV(A4,"Low")</f>
        <v>#VALUE!</v>
      </c>
      <c r="F4" s="15" t="e" vm="139">
        <f t="array" ref="F4">_FV(A4,"High")</f>
        <v>#VALUE!</v>
      </c>
      <c r="G4" s="15" t="e" vm="140">
        <f t="array" ref="G4">_FV(A4,"52 week low",TRUE)</f>
        <v>#VALUE!</v>
      </c>
      <c r="H4" s="15" t="e" vm="141">
        <f t="array" ref="H4">_FV(A4,"52 week high",TRUE)</f>
        <v>#VALUE!</v>
      </c>
      <c r="I4" s="16" t="e" vm="142">
        <f t="array" ref="I4">_FV(A4,"Change (%)",TRUE)</f>
        <v>#VALUE!</v>
      </c>
      <c r="J4" s="17" t="e" vm="143">
        <f t="array" ref="J4">_FV(A4,"Market cap",TRUE)/10000000</f>
        <v>#VALUE!</v>
      </c>
      <c r="K4" s="18" t="s">
        <v>21</v>
      </c>
    </row>
    <row r="5" spans="1:12">
      <c r="A5" s="13" t="e">
        <v>#VALUE!</v>
      </c>
      <c r="B5" s="14" t="e" vm="135">
        <f t="shared" si="0"/>
        <v>#VALUE!</v>
      </c>
      <c r="C5" s="15" t="e" vm="136">
        <f t="array" ref="C5">_FV(A5,"Previous close",TRUE)</f>
        <v>#VALUE!</v>
      </c>
      <c r="D5" s="15" t="e" vm="137">
        <f t="array" ref="D5">_FV(A5,"Price")</f>
        <v>#VALUE!</v>
      </c>
      <c r="E5" s="15" t="e" vm="138">
        <f t="array" ref="E5">_FV(A5,"Low")</f>
        <v>#VALUE!</v>
      </c>
      <c r="F5" s="15" t="e" vm="139">
        <f t="array" ref="F5">_FV(A5,"High")</f>
        <v>#VALUE!</v>
      </c>
      <c r="G5" s="15" t="e" vm="140">
        <f t="array" ref="G5">_FV(A5,"52 week low",TRUE)</f>
        <v>#VALUE!</v>
      </c>
      <c r="H5" s="15" t="e" vm="141">
        <f t="array" ref="H5">_FV(A5,"52 week high",TRUE)</f>
        <v>#VALUE!</v>
      </c>
      <c r="I5" s="16" t="e" vm="142">
        <f t="array" ref="I5">_FV(A5,"Change (%)",TRUE)</f>
        <v>#VALUE!</v>
      </c>
      <c r="J5" s="17" t="e" vm="143">
        <f t="array" ref="J5">_FV(A5,"Market cap",TRUE)/10000000</f>
        <v>#VALUE!</v>
      </c>
      <c r="K5" s="18" t="s">
        <v>23</v>
      </c>
    </row>
    <row r="6" spans="1:12">
      <c r="A6" s="13" t="e">
        <v>#VALUE!</v>
      </c>
      <c r="B6" s="14" t="e" vm="135">
        <f t="shared" si="0"/>
        <v>#VALUE!</v>
      </c>
      <c r="C6" s="15" t="e" vm="136">
        <f t="array" ref="C6">_FV(A6,"Previous close",TRUE)</f>
        <v>#VALUE!</v>
      </c>
      <c r="D6" s="15" t="e" vm="137">
        <f t="array" ref="D6">_FV(A6,"Price")</f>
        <v>#VALUE!</v>
      </c>
      <c r="E6" s="15" t="e" vm="138">
        <f t="array" ref="E6">_FV(A6,"Low")</f>
        <v>#VALUE!</v>
      </c>
      <c r="F6" s="15" t="e" vm="139">
        <f t="array" ref="F6">_FV(A6,"High")</f>
        <v>#VALUE!</v>
      </c>
      <c r="G6" s="15" t="e" vm="140">
        <f t="array" ref="G6">_FV(A6,"52 week low",TRUE)</f>
        <v>#VALUE!</v>
      </c>
      <c r="H6" s="15" t="e" vm="141">
        <f t="array" ref="H6">_FV(A6,"52 week high",TRUE)</f>
        <v>#VALUE!</v>
      </c>
      <c r="I6" s="16" t="e" vm="142">
        <f t="array" ref="I6">_FV(A6,"Change (%)",TRUE)</f>
        <v>#VALUE!</v>
      </c>
      <c r="J6" s="17" t="e" vm="143">
        <f t="array" ref="J6">_FV(A6,"Market cap",TRUE)/10000000</f>
        <v>#VALUE!</v>
      </c>
      <c r="K6" s="18" t="s">
        <v>21</v>
      </c>
    </row>
    <row r="7" spans="1:12">
      <c r="A7" s="13" t="e">
        <v>#VALUE!</v>
      </c>
      <c r="B7" s="14" t="e" vm="135">
        <f t="shared" si="0"/>
        <v>#VALUE!</v>
      </c>
      <c r="C7" s="15" t="e" vm="136">
        <f t="array" ref="C7">_FV(A7,"Previous close",TRUE)</f>
        <v>#VALUE!</v>
      </c>
      <c r="D7" s="15" t="e" vm="137">
        <f t="array" ref="D7">_FV(A7,"Price")</f>
        <v>#VALUE!</v>
      </c>
      <c r="E7" s="15" t="e" vm="138">
        <f t="array" ref="E7">_FV(A7,"Low")</f>
        <v>#VALUE!</v>
      </c>
      <c r="F7" s="15" t="e" vm="139">
        <f t="array" ref="F7">_FV(A7,"High")</f>
        <v>#VALUE!</v>
      </c>
      <c r="G7" s="15" t="e" vm="140">
        <f t="array" ref="G7">_FV(A7,"52 week low",TRUE)</f>
        <v>#VALUE!</v>
      </c>
      <c r="H7" s="15" t="e" vm="141">
        <f t="array" ref="H7">_FV(A7,"52 week high",TRUE)</f>
        <v>#VALUE!</v>
      </c>
      <c r="I7" s="16" t="e" vm="142">
        <f t="array" ref="I7">_FV(A7,"Change (%)",TRUE)</f>
        <v>#VALUE!</v>
      </c>
      <c r="J7" s="17" t="e" vm="143">
        <f t="array" ref="J7">_FV(A7,"Market cap",TRUE)/10000000</f>
        <v>#VALUE!</v>
      </c>
      <c r="K7" s="18" t="s">
        <v>24</v>
      </c>
    </row>
    <row r="8" spans="1:12">
      <c r="A8" s="13" t="e">
        <v>#VALUE!</v>
      </c>
      <c r="B8" s="14" t="e" vm="135">
        <f t="shared" si="0"/>
        <v>#VALUE!</v>
      </c>
      <c r="C8" s="15" t="e" vm="136">
        <f t="array" ref="C8">_FV(A8,"Previous close",TRUE)</f>
        <v>#VALUE!</v>
      </c>
      <c r="D8" s="15" t="e" vm="137">
        <f t="array" ref="D8">_FV(A8,"Price")</f>
        <v>#VALUE!</v>
      </c>
      <c r="E8" s="15" t="e" vm="138">
        <f t="array" ref="E8">_FV(A8,"Low")</f>
        <v>#VALUE!</v>
      </c>
      <c r="F8" s="15" t="e" vm="139">
        <f t="array" ref="F8">_FV(A8,"High")</f>
        <v>#VALUE!</v>
      </c>
      <c r="G8" s="15" t="e" vm="140">
        <f t="array" ref="G8">_FV(A8,"52 week low",TRUE)</f>
        <v>#VALUE!</v>
      </c>
      <c r="H8" s="15" t="e" vm="141">
        <f t="array" ref="H8">_FV(A8,"52 week high",TRUE)</f>
        <v>#VALUE!</v>
      </c>
      <c r="I8" s="16" t="e" vm="142">
        <f t="array" ref="I8">_FV(A8,"Change (%)",TRUE)</f>
        <v>#VALUE!</v>
      </c>
      <c r="J8" s="17" t="e" vm="143">
        <f t="array" ref="J8">_FV(A8,"Market cap",TRUE)/10000000</f>
        <v>#VALUE!</v>
      </c>
      <c r="K8" s="18" t="s">
        <v>21</v>
      </c>
    </row>
    <row r="9" spans="1:12">
      <c r="A9" s="13" t="e">
        <v>#VALUE!</v>
      </c>
      <c r="B9" s="14" t="e" vm="135">
        <f t="shared" si="0"/>
        <v>#VALUE!</v>
      </c>
      <c r="C9" s="15" t="e" vm="136">
        <f t="array" ref="C9">_FV(A9,"Previous close",TRUE)</f>
        <v>#VALUE!</v>
      </c>
      <c r="D9" s="15" t="e" vm="137">
        <f t="array" ref="D9">_FV(A9,"Price")</f>
        <v>#VALUE!</v>
      </c>
      <c r="E9" s="15" t="e" vm="138">
        <f t="array" ref="E9">_FV(A9,"Low")</f>
        <v>#VALUE!</v>
      </c>
      <c r="F9" s="15" t="e" vm="139">
        <f t="array" ref="F9">_FV(A9,"High")</f>
        <v>#VALUE!</v>
      </c>
      <c r="G9" s="15" t="e" vm="140">
        <f t="array" ref="G9">_FV(A9,"52 week low",TRUE)</f>
        <v>#VALUE!</v>
      </c>
      <c r="H9" s="15" t="e" vm="141">
        <f t="array" ref="H9">_FV(A9,"52 week high",TRUE)</f>
        <v>#VALUE!</v>
      </c>
      <c r="I9" s="16" t="e" vm="142">
        <f t="array" ref="I9">_FV(A9,"Change (%)",TRUE)</f>
        <v>#VALUE!</v>
      </c>
      <c r="J9" s="17" t="e" vm="143">
        <f t="array" ref="J9">_FV(A9,"Market cap",TRUE)/10000000</f>
        <v>#VALUE!</v>
      </c>
      <c r="K9" s="18" t="s">
        <v>22</v>
      </c>
    </row>
    <row r="10" spans="1:12">
      <c r="A10" s="13" t="e">
        <v>#VALUE!</v>
      </c>
      <c r="B10" s="14" t="e" vm="135">
        <f t="shared" si="0"/>
        <v>#VALUE!</v>
      </c>
      <c r="C10" s="15" t="e" vm="136">
        <f t="array" ref="C10">_FV(A10,"Previous close",TRUE)</f>
        <v>#VALUE!</v>
      </c>
      <c r="D10" s="15" t="e" vm="137">
        <f t="array" ref="D10">_FV(A10,"Price")</f>
        <v>#VALUE!</v>
      </c>
      <c r="E10" s="15" t="e" vm="138">
        <f t="array" ref="E10">_FV(A10,"Low")</f>
        <v>#VALUE!</v>
      </c>
      <c r="F10" s="15" t="e" vm="139">
        <f t="array" ref="F10">_FV(A10,"High")</f>
        <v>#VALUE!</v>
      </c>
      <c r="G10" s="15" t="e" vm="140">
        <f t="array" ref="G10">_FV(A10,"52 week low",TRUE)</f>
        <v>#VALUE!</v>
      </c>
      <c r="H10" s="15" t="e" vm="141">
        <f t="array" ref="H10">_FV(A10,"52 week high",TRUE)</f>
        <v>#VALUE!</v>
      </c>
      <c r="I10" s="16" t="e" vm="142">
        <f t="array" ref="I10">_FV(A10,"Change (%)",TRUE)</f>
        <v>#VALUE!</v>
      </c>
      <c r="J10" s="17" t="e" vm="143">
        <f t="array" ref="J10">_FV(A10,"Market cap",TRUE)/10000000</f>
        <v>#VALUE!</v>
      </c>
      <c r="K10" s="18" t="s">
        <v>21</v>
      </c>
    </row>
    <row r="11" spans="1:12">
      <c r="A11" s="13" t="e">
        <v>#VALUE!</v>
      </c>
      <c r="B11" s="14" t="e" vm="135">
        <f t="shared" si="0"/>
        <v>#VALUE!</v>
      </c>
      <c r="C11" s="15" t="e" vm="136">
        <f t="array" ref="C11">_FV(A11,"Previous close",TRUE)</f>
        <v>#VALUE!</v>
      </c>
      <c r="D11" s="15" t="e" vm="137">
        <f t="array" ref="D11">_FV(A11,"Price")</f>
        <v>#VALUE!</v>
      </c>
      <c r="E11" s="15" t="e" vm="138">
        <f t="array" ref="E11">_FV(A11,"Low")</f>
        <v>#VALUE!</v>
      </c>
      <c r="F11" s="15" t="e" vm="139">
        <f t="array" ref="F11">_FV(A11,"High")</f>
        <v>#VALUE!</v>
      </c>
      <c r="G11" s="15" t="e" vm="140">
        <f t="array" ref="G11">_FV(A11,"52 week low",TRUE)</f>
        <v>#VALUE!</v>
      </c>
      <c r="H11" s="15" t="e" vm="141">
        <f t="array" ref="H11">_FV(A11,"52 week high",TRUE)</f>
        <v>#VALUE!</v>
      </c>
      <c r="I11" s="16" t="e" vm="142">
        <f t="array" ref="I11">_FV(A11,"Change (%)",TRUE)</f>
        <v>#VALUE!</v>
      </c>
      <c r="J11" s="17" t="e" vm="143">
        <f t="array" ref="J11">_FV(A11,"Market cap",TRUE)/10000000</f>
        <v>#VALUE!</v>
      </c>
      <c r="K11" s="18" t="s">
        <v>21</v>
      </c>
    </row>
    <row r="12" spans="1:12">
      <c r="A12" s="13" t="e">
        <v>#VALUE!</v>
      </c>
      <c r="B12" s="14" t="e" vm="135">
        <f t="shared" si="0"/>
        <v>#VALUE!</v>
      </c>
      <c r="C12" s="15" t="e" vm="136">
        <f t="array" ref="C12">_FV(A12,"Previous close",TRUE)</f>
        <v>#VALUE!</v>
      </c>
      <c r="D12" s="15" t="e" vm="137">
        <f t="array" ref="D12">_FV(A12,"Price")</f>
        <v>#VALUE!</v>
      </c>
      <c r="E12" s="15" t="e" vm="138">
        <f t="array" ref="E12">_FV(A12,"Low")</f>
        <v>#VALUE!</v>
      </c>
      <c r="F12" s="15" t="e" vm="139">
        <f t="array" ref="F12">_FV(A12,"High")</f>
        <v>#VALUE!</v>
      </c>
      <c r="G12" s="15" t="e" vm="140">
        <f t="array" ref="G12">_FV(A12,"52 week low",TRUE)</f>
        <v>#VALUE!</v>
      </c>
      <c r="H12" s="15" t="e" vm="141">
        <f t="array" ref="H12">_FV(A12,"52 week high",TRUE)</f>
        <v>#VALUE!</v>
      </c>
      <c r="I12" s="16" t="e" vm="142">
        <f t="array" ref="I12">_FV(A12,"Change (%)",TRUE)</f>
        <v>#VALUE!</v>
      </c>
      <c r="J12" s="17" t="e" vm="143">
        <f t="array" ref="J12">_FV(A12,"Market cap",TRUE)/10000000</f>
        <v>#VALUE!</v>
      </c>
      <c r="K12" s="18" t="s">
        <v>21</v>
      </c>
    </row>
    <row r="13" spans="1:12">
      <c r="A13" s="13" t="e">
        <v>#VALUE!</v>
      </c>
      <c r="B13" s="14" t="e" vm="135">
        <f t="shared" ref="B13" si="1">(D13-H13)/H13</f>
        <v>#VALUE!</v>
      </c>
      <c r="C13" s="15" t="e" vm="136">
        <f t="array" ref="C13">_FV(A13,"Previous close",TRUE)</f>
        <v>#VALUE!</v>
      </c>
      <c r="D13" s="15" t="e" vm="137">
        <f t="array" ref="D13">_FV(A13,"Price")</f>
        <v>#VALUE!</v>
      </c>
      <c r="E13" s="15" t="e" vm="138">
        <f t="array" ref="E13">_FV(A13,"Low")</f>
        <v>#VALUE!</v>
      </c>
      <c r="F13" s="15" t="e" vm="139">
        <f t="array" ref="F13">_FV(A13,"High")</f>
        <v>#VALUE!</v>
      </c>
      <c r="G13" s="15" t="e" vm="140">
        <f t="array" ref="G13">_FV(A13,"52 week low",TRUE)</f>
        <v>#VALUE!</v>
      </c>
      <c r="H13" s="15" t="e" vm="141">
        <f t="array" ref="H13">_FV(A13,"52 week high",TRUE)</f>
        <v>#VALUE!</v>
      </c>
      <c r="I13" s="16" t="e" vm="142">
        <f t="array" ref="I13">_FV(A13,"Change (%)",TRUE)</f>
        <v>#VALUE!</v>
      </c>
      <c r="J13" s="17" t="e" vm="143">
        <f t="array" ref="J13">_FV(A13,"Market cap",TRUE)/10000000</f>
        <v>#VALUE!</v>
      </c>
      <c r="K13" s="18" t="s">
        <v>21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L25"/>
  <sheetViews>
    <sheetView workbookViewId="0">
      <selection activeCell="C29" sqref="C29"/>
    </sheetView>
  </sheetViews>
  <sheetFormatPr defaultRowHeight="15"/>
  <cols>
    <col min="1" max="1" width="58.85546875" style="64" bestFit="1" customWidth="1"/>
    <col min="2" max="2" width="20.140625" customWidth="1"/>
    <col min="3" max="3" width="13.5703125" bestFit="1" customWidth="1"/>
    <col min="4" max="6" width="11" bestFit="1" customWidth="1"/>
    <col min="7" max="7" width="12" bestFit="1" customWidth="1"/>
    <col min="8" max="8" width="12.5703125" bestFit="1" customWidth="1"/>
    <col min="9" max="9" width="14.7109375" bestFit="1" customWidth="1"/>
    <col min="10" max="10" width="13" customWidth="1"/>
    <col min="11" max="11" width="12.140625" bestFit="1" customWidth="1"/>
    <col min="12" max="12" width="20.7109375" bestFit="1" customWidth="1"/>
  </cols>
  <sheetData>
    <row r="1" spans="1:12">
      <c r="A1" s="79" t="s">
        <v>0</v>
      </c>
      <c r="B1" s="80" t="s">
        <v>13</v>
      </c>
      <c r="C1" s="81" t="s">
        <v>14</v>
      </c>
      <c r="D1" s="81" t="s">
        <v>3</v>
      </c>
      <c r="E1" s="81" t="s">
        <v>15</v>
      </c>
      <c r="F1" s="81" t="s">
        <v>16</v>
      </c>
      <c r="G1" s="81" t="s">
        <v>17</v>
      </c>
      <c r="H1" s="81" t="s">
        <v>18</v>
      </c>
      <c r="I1" s="81" t="s">
        <v>19</v>
      </c>
      <c r="J1" s="81" t="s">
        <v>25</v>
      </c>
      <c r="K1" s="81" t="s">
        <v>20</v>
      </c>
      <c r="L1" s="81" t="s">
        <v>12</v>
      </c>
    </row>
    <row r="2" spans="1:12">
      <c r="A2" s="82" t="e" vm="121">
        <v>#VALUE!</v>
      </c>
      <c r="B2" s="83">
        <f t="shared" ref="B2:B11" ca="1" si="0">(D2-H2)*100/H2</f>
        <v>-22.916392487168398</v>
      </c>
      <c r="C2" s="84">
        <f t="array" aca="1" ref="C2" ca="1">_FV(A2,"Previous close",TRUE)</f>
        <v>3319</v>
      </c>
      <c r="D2" s="84">
        <f t="array" aca="1" ref="D2" ca="1">_FV(A2,"Price")</f>
        <v>3280</v>
      </c>
      <c r="E2" s="84">
        <f t="array" aca="1" ref="E2" ca="1">_FV(A2,"Low")</f>
        <v>3271.8</v>
      </c>
      <c r="F2" s="84">
        <f t="array" aca="1" ref="F2" ca="1">_FV(A2,"High")</f>
        <v>3320</v>
      </c>
      <c r="G2" s="84">
        <f t="array" aca="1" ref="G2" ca="1">_FV(A2,"52 week low",TRUE)</f>
        <v>2866.6</v>
      </c>
      <c r="H2" s="84">
        <f t="array" aca="1" ref="H2" ca="1">_FV(A2,"52 week high",TRUE)</f>
        <v>4255.12</v>
      </c>
      <c r="I2" s="85">
        <f t="array" aca="1" ref="I2" ca="1">_FV(A2,"Change (%)",TRUE)</f>
        <v>-1.1751000000000001E-2</v>
      </c>
      <c r="J2" s="84">
        <f t="array" aca="1" ref="J2" ca="1">_FV(A2,"Change")</f>
        <v>-39</v>
      </c>
      <c r="K2" s="86">
        <f t="array" aca="1" ref="K2" ca="1">_FV(A2,"Market cap",TRUE)/10000000</f>
        <v>1186733</v>
      </c>
      <c r="L2" s="87" t="str">
        <f t="array" aca="1" ref="L2" ca="1">_FV(A2,"Industry")</f>
        <v>Software &amp; IT Services</v>
      </c>
    </row>
    <row r="3" spans="1:12">
      <c r="A3" s="88" t="e" vm="144">
        <v>#VALUE!</v>
      </c>
      <c r="B3" s="83">
        <f t="shared" ca="1" si="0"/>
        <v>-16.558622890653048</v>
      </c>
      <c r="C3" s="84">
        <f t="array" aca="1" ref="C3" ca="1">_FV(A3,"Previous close",TRUE)</f>
        <v>1737.7</v>
      </c>
      <c r="D3" s="84">
        <f t="array" aca="1" ref="D3" ca="1">_FV(A3,"Price")</f>
        <v>1673.3</v>
      </c>
      <c r="E3" s="84">
        <f t="array" aca="1" ref="E3" ca="1">_FV(A3,"Low")</f>
        <v>1658.9</v>
      </c>
      <c r="F3" s="84">
        <f t="array" aca="1" ref="F3" ca="1">_FV(A3,"High")</f>
        <v>1744.7</v>
      </c>
      <c r="G3" s="84">
        <f t="array" aca="1" ref="G3" ca="1">_FV(A3,"52 week low",TRUE)</f>
        <v>1194.01</v>
      </c>
      <c r="H3" s="84">
        <f t="array" aca="1" ref="H3" ca="1">_FV(A3,"52 week high",TRUE)</f>
        <v>2005.36</v>
      </c>
      <c r="I3" s="85">
        <f t="array" aca="1" ref="I3" ca="1">_FV(A3,"Change (%)",TRUE)</f>
        <v>-3.7060000000000003E-2</v>
      </c>
      <c r="J3" s="84">
        <f t="array" aca="1" ref="J3" ca="1">_FV(A3,"Change")</f>
        <v>-64.400000000000006</v>
      </c>
      <c r="K3" s="86">
        <f t="array" aca="1" ref="K3" ca="1">_FV(A3,"Market cap",TRUE)/10000000</f>
        <v>58220.21</v>
      </c>
      <c r="L3" s="87" t="str">
        <f t="array" aca="1" ref="L3" ca="1">_FV(A3,"Industry")</f>
        <v>Software &amp; IT Services</v>
      </c>
    </row>
    <row r="4" spans="1:12">
      <c r="A4" s="88" t="e" vm="45">
        <v>#VALUE!</v>
      </c>
      <c r="B4" s="83">
        <f t="shared" ca="1" si="0"/>
        <v>-17.181095608987459</v>
      </c>
      <c r="C4" s="84">
        <f t="array" aca="1" ref="C4" ca="1">_FV(A4,"Previous close",TRUE)</f>
        <v>1674.7</v>
      </c>
      <c r="D4" s="84">
        <f t="array" aca="1" ref="D4" ca="1">_FV(A4,"Price")</f>
        <v>1660.9</v>
      </c>
      <c r="E4" s="84">
        <f t="array" aca="1" ref="E4" ca="1">_FV(A4,"Low")</f>
        <v>1650.5</v>
      </c>
      <c r="F4" s="84">
        <f t="array" aca="1" ref="F4" ca="1">_FV(A4,"High")</f>
        <v>1676.4</v>
      </c>
      <c r="G4" s="84">
        <f t="array" aca="1" ref="G4" ca="1">_FV(A4,"52 week low",TRUE)</f>
        <v>1302.75</v>
      </c>
      <c r="H4" s="84">
        <f t="array" aca="1" ref="H4" ca="1">_FV(A4,"52 week high",TRUE)</f>
        <v>2005.46</v>
      </c>
      <c r="I4" s="85">
        <f t="array" aca="1" ref="I4" ca="1">_FV(A4,"Change (%)",TRUE)</f>
        <v>-8.2399999999999991E-3</v>
      </c>
      <c r="J4" s="84">
        <f t="array" aca="1" ref="J4" ca="1">_FV(A4,"Change")</f>
        <v>-13.8</v>
      </c>
      <c r="K4" s="86">
        <f t="array" aca="1" ref="K4" ca="1">_FV(A4,"Market cap",TRUE)/10000000</f>
        <v>453091.8</v>
      </c>
      <c r="L4" s="87" t="str">
        <f t="array" aca="1" ref="L4" ca="1">_FV(A4,"Industry")</f>
        <v>Software &amp; IT Services</v>
      </c>
    </row>
    <row r="5" spans="1:12">
      <c r="A5" s="88" t="e" vm="57">
        <v>#VALUE!</v>
      </c>
      <c r="B5" s="83">
        <f t="shared" ca="1" si="0"/>
        <v>-16.476699616703655</v>
      </c>
      <c r="C5" s="84">
        <f t="array" aca="1" ref="C5" ca="1">_FV(A5,"Previous close",TRUE)</f>
        <v>1663.4</v>
      </c>
      <c r="D5" s="84">
        <f t="array" aca="1" ref="D5" ca="1">_FV(A5,"Price")</f>
        <v>1656.1</v>
      </c>
      <c r="E5" s="84">
        <f t="array" aca="1" ref="E5" ca="1">_FV(A5,"Low")</f>
        <v>1651.7</v>
      </c>
      <c r="F5" s="84">
        <f t="array" aca="1" ref="F5" ca="1">_FV(A5,"High")</f>
        <v>1668.8</v>
      </c>
      <c r="G5" s="84">
        <f t="array" aca="1" ref="G5" ca="1">_FV(A5,"52 week low",TRUE)</f>
        <v>1307</v>
      </c>
      <c r="H5" s="84">
        <f t="array" aca="1" ref="H5" ca="1">_FV(A5,"52 week high",TRUE)</f>
        <v>1982.8</v>
      </c>
      <c r="I5" s="85">
        <f t="array" aca="1" ref="I5" ca="1">_FV(A5,"Change (%)",TRUE)</f>
        <v>-4.3890000000000005E-3</v>
      </c>
      <c r="J5" s="84">
        <f t="array" aca="1" ref="J5" ca="1">_FV(A5,"Change")</f>
        <v>-7.3</v>
      </c>
      <c r="K5" s="86">
        <f t="array" aca="1" ref="K5" ca="1">_FV(A5,"Market cap",TRUE)/10000000</f>
        <v>669987.9</v>
      </c>
      <c r="L5" s="87" t="str">
        <f t="array" aca="1" ref="L5" ca="1">_FV(A5,"Industry")</f>
        <v>Software &amp; IT Services</v>
      </c>
    </row>
    <row r="6" spans="1:12">
      <c r="A6" s="88" t="e" vm="77">
        <v>#VALUE!</v>
      </c>
      <c r="B6" s="83">
        <f t="shared" ca="1" si="0"/>
        <v>-5.3996865203761759</v>
      </c>
      <c r="C6" s="84">
        <f t="array" aca="1" ref="C6" ca="1">_FV(A6,"Previous close",TRUE)</f>
        <v>6163</v>
      </c>
      <c r="D6" s="84">
        <f t="array" aca="1" ref="D6" ca="1">_FV(A6,"Price")</f>
        <v>6035.5</v>
      </c>
      <c r="E6" s="84">
        <f t="array" aca="1" ref="E6" ca="1">_FV(A6,"Low")</f>
        <v>6020</v>
      </c>
      <c r="F6" s="84">
        <f t="array" aca="1" ref="F6" ca="1">_FV(A6,"High")</f>
        <v>6174.5</v>
      </c>
      <c r="G6" s="84">
        <f t="array" aca="1" ref="G6" ca="1">_FV(A6,"52 week low",TRUE)</f>
        <v>3802</v>
      </c>
      <c r="H6" s="84">
        <f t="array" aca="1" ref="H6" ca="1">_FV(A6,"52 week high",TRUE)</f>
        <v>6380</v>
      </c>
      <c r="I6" s="85">
        <f t="array" aca="1" ref="I6" ca="1">_FV(A6,"Change (%)",TRUE)</f>
        <v>-2.0687999999999998E-2</v>
      </c>
      <c r="J6" s="84">
        <f t="array" aca="1" ref="J6" ca="1">_FV(A6,"Change")</f>
        <v>-127.5</v>
      </c>
      <c r="K6" s="86">
        <f t="array" aca="1" ref="K6" ca="1">_FV(A6,"Market cap",TRUE)/10000000</f>
        <v>182713.5</v>
      </c>
      <c r="L6" s="87" t="str">
        <f t="array" aca="1" ref="L6" ca="1">_FV(A6,"Industry")</f>
        <v>Software &amp; IT Services</v>
      </c>
    </row>
    <row r="7" spans="1:12">
      <c r="A7" s="88" t="e" vm="145">
        <v>#VALUE!</v>
      </c>
      <c r="B7" s="83">
        <f t="shared" ca="1" si="0"/>
        <v>-7.3999480249480305</v>
      </c>
      <c r="C7" s="84">
        <f t="array" aca="1" ref="C7" ca="1">_FV(A7,"Previous close",TRUE)</f>
        <v>2891.9</v>
      </c>
      <c r="D7" s="84">
        <f t="array" aca="1" ref="D7" ca="1">_FV(A7,"Price")</f>
        <v>2850.6</v>
      </c>
      <c r="E7" s="84">
        <f t="array" aca="1" ref="E7" ca="1">_FV(A7,"Low")</f>
        <v>2843.8</v>
      </c>
      <c r="F7" s="84">
        <f t="array" aca="1" ref="F7" ca="1">_FV(A7,"High")</f>
        <v>2913</v>
      </c>
      <c r="G7" s="84">
        <f t="array" aca="1" ref="G7" ca="1">_FV(A7,"52 week low",TRUE)</f>
        <v>2044.55</v>
      </c>
      <c r="H7" s="84">
        <f t="array" aca="1" ref="H7" ca="1">_FV(A7,"52 week high",TRUE)</f>
        <v>3078.4</v>
      </c>
      <c r="I7" s="85">
        <f t="array" aca="1" ref="I7" ca="1">_FV(A7,"Change (%)",TRUE)</f>
        <v>-1.4280999999999999E-2</v>
      </c>
      <c r="J7" s="84">
        <f t="array" aca="1" ref="J7" ca="1">_FV(A7,"Change")</f>
        <v>-41.3</v>
      </c>
      <c r="K7" s="86">
        <f t="array" aca="1" ref="K7" ca="1">_FV(A7,"Market cap",TRUE)/10000000</f>
        <v>54319.71</v>
      </c>
      <c r="L7" s="87" t="str">
        <f t="array" aca="1" ref="L7" ca="1">_FV(A7,"Industry")</f>
        <v>Software &amp; IT Services</v>
      </c>
    </row>
    <row r="8" spans="1:12">
      <c r="A8" s="88" t="e" vm="146">
        <v>#VALUE!</v>
      </c>
      <c r="B8" s="83">
        <f t="shared" ca="1" si="0"/>
        <v>-41.172465960665662</v>
      </c>
      <c r="C8" s="84">
        <f t="array" aca="1" ref="C8" ca="1">_FV(A8,"Previous close",TRUE)</f>
        <v>7782</v>
      </c>
      <c r="D8" s="84">
        <f t="array" aca="1" ref="D8" ca="1">_FV(A8,"Price")</f>
        <v>7777</v>
      </c>
      <c r="E8" s="84">
        <f t="array" aca="1" ref="E8" ca="1">_FV(A8,"Low")</f>
        <v>7726.5</v>
      </c>
      <c r="F8" s="84">
        <f t="array" aca="1" ref="F8" ca="1">_FV(A8,"High")</f>
        <v>7800.5</v>
      </c>
      <c r="G8" s="84">
        <f t="array" aca="1" ref="G8" ca="1">_FV(A8,"52 week low",TRUE)</f>
        <v>7038</v>
      </c>
      <c r="H8" s="84">
        <f t="array" aca="1" ref="H8" ca="1">_FV(A8,"52 week high",TRUE)</f>
        <v>13220</v>
      </c>
      <c r="I8" s="85">
        <f t="array" aca="1" ref="I8" ca="1">_FV(A8,"Change (%)",TRUE)</f>
        <v>-6.4250000000000006E-4</v>
      </c>
      <c r="J8" s="84">
        <f t="array" aca="1" ref="J8" ca="1">_FV(A8,"Change")</f>
        <v>-5</v>
      </c>
      <c r="K8" s="86">
        <f t="array" aca="1" ref="K8" ca="1">_FV(A8,"Market cap",TRUE)/10000000</f>
        <v>67716.55</v>
      </c>
      <c r="L8" s="87" t="str">
        <f t="array" aca="1" ref="L8" ca="1">_FV(A8,"Industry")</f>
        <v>Software &amp; IT Services</v>
      </c>
    </row>
    <row r="9" spans="1:12">
      <c r="A9" s="88" t="e" vm="147">
        <v>#VALUE!</v>
      </c>
      <c r="B9" s="83">
        <f t="shared" ca="1" si="0"/>
        <v>-6.9185084505377636</v>
      </c>
      <c r="C9" s="84">
        <f t="array" aca="1" ref="C9" ca="1">_FV(A9,"Previous close",TRUE)</f>
        <v>6352.5</v>
      </c>
      <c r="D9" s="84">
        <f t="array" aca="1" ref="D9" ca="1">_FV(A9,"Price")</f>
        <v>6300.5</v>
      </c>
      <c r="E9" s="84">
        <f t="array" aca="1" ref="E9" ca="1">_FV(A9,"Low")</f>
        <v>6275</v>
      </c>
      <c r="F9" s="84">
        <f t="array" aca="1" ref="F9" ca="1">_FV(A9,"High")</f>
        <v>6399.5</v>
      </c>
      <c r="G9" s="84">
        <f t="array" aca="1" ref="G9" ca="1">_FV(A9,"52 week low",TRUE)</f>
        <v>4148.95</v>
      </c>
      <c r="H9" s="84">
        <f t="array" aca="1" ref="H9" ca="1">_FV(A9,"52 week high",TRUE)</f>
        <v>6768.8</v>
      </c>
      <c r="I9" s="85">
        <f t="array" aca="1" ref="I9" ca="1">_FV(A9,"Change (%)",TRUE)</f>
        <v>-8.1860000000000006E-3</v>
      </c>
      <c r="J9" s="84">
        <f t="array" aca="1" ref="J9" ca="1">_FV(A9,"Change")</f>
        <v>-52</v>
      </c>
      <c r="K9" s="86">
        <f t="array" aca="1" ref="K9" ca="1">_FV(A9,"Market cap",TRUE)/10000000</f>
        <v>98908.42</v>
      </c>
      <c r="L9" s="87" t="str">
        <f t="array" aca="1" ref="L9" ca="1">_FV(A9,"Industry")</f>
        <v>Software &amp; IT Services</v>
      </c>
    </row>
    <row r="10" spans="1:12">
      <c r="A10" s="88" t="e" vm="121">
        <v>#VALUE!</v>
      </c>
      <c r="B10" s="83">
        <f t="shared" ref="B10" ca="1" si="1">(D10-H10)*100/H10</f>
        <v>-22.916392487168398</v>
      </c>
      <c r="C10" s="84">
        <f t="array" aca="1" ref="C10" ca="1">_FV(A10,"Previous close",TRUE)</f>
        <v>3319</v>
      </c>
      <c r="D10" s="84">
        <f t="array" aca="1" ref="D10" ca="1">_FV(A10,"Price")</f>
        <v>3280</v>
      </c>
      <c r="E10" s="84">
        <f t="array" aca="1" ref="E10" ca="1">_FV(A10,"Low")</f>
        <v>3271.8</v>
      </c>
      <c r="F10" s="84">
        <f t="array" aca="1" ref="F10" ca="1">_FV(A10,"High")</f>
        <v>3320</v>
      </c>
      <c r="G10" s="84">
        <f t="array" aca="1" ref="G10" ca="1">_FV(A10,"52 week low",TRUE)</f>
        <v>2866.6</v>
      </c>
      <c r="H10" s="84">
        <f t="array" aca="1" ref="H10" ca="1">_FV(A10,"52 week high",TRUE)</f>
        <v>4255.12</v>
      </c>
      <c r="I10" s="85">
        <f t="array" aca="1" ref="I10" ca="1">_FV(A10,"Change (%)",TRUE)</f>
        <v>-1.1751000000000001E-2</v>
      </c>
      <c r="J10" s="84">
        <f t="array" aca="1" ref="J10" ca="1">_FV(A10,"Change")</f>
        <v>-39</v>
      </c>
      <c r="K10" s="86">
        <f t="array" aca="1" ref="K10" ca="1">_FV(A10,"Market cap",TRUE)/10000000</f>
        <v>1186733</v>
      </c>
      <c r="L10" s="87" t="str">
        <f t="array" aca="1" ref="L10" ca="1">_FV(A10,"Industry")</f>
        <v>Software &amp; IT Services</v>
      </c>
    </row>
    <row r="11" spans="1:12">
      <c r="A11" s="88" t="e" vm="122">
        <v>#VALUE!</v>
      </c>
      <c r="B11" s="83">
        <f t="shared" ca="1" si="0"/>
        <v>-9.0944970681100568</v>
      </c>
      <c r="C11" s="84">
        <f t="array" aca="1" ref="C11" ca="1">_FV(A11,"Previous close",TRUE)</f>
        <v>1631.5</v>
      </c>
      <c r="D11" s="84">
        <f t="array" aca="1" ref="D11" ca="1">_FV(A11,"Price")</f>
        <v>1612.3</v>
      </c>
      <c r="E11" s="84">
        <f t="array" aca="1" ref="E11" ca="1">_FV(A11,"Low")</f>
        <v>1608</v>
      </c>
      <c r="F11" s="84">
        <f t="array" aca="1" ref="F11" ca="1">_FV(A11,"High")</f>
        <v>1633.7</v>
      </c>
      <c r="G11" s="84">
        <f t="array" aca="1" ref="G11" ca="1">_FV(A11,"52 week low",TRUE)</f>
        <v>1209.4000000000001</v>
      </c>
      <c r="H11" s="84">
        <f t="array" aca="1" ref="H11" ca="1">_FV(A11,"52 week high",TRUE)</f>
        <v>1773.6</v>
      </c>
      <c r="I11" s="85">
        <f t="array" aca="1" ref="I11" ca="1">_FV(A11,"Change (%)",TRUE)</f>
        <v>-1.1768000000000001E-2</v>
      </c>
      <c r="J11" s="84">
        <f t="array" aca="1" ref="J11" ca="1">_FV(A11,"Change")</f>
        <v>-19.2</v>
      </c>
      <c r="K11" s="86">
        <f t="array" aca="1" ref="K11" ca="1">_FV(A11,"Market cap",TRUE)/10000000</f>
        <v>159841.5</v>
      </c>
      <c r="L11" s="87" t="str">
        <f t="array" aca="1" ref="L11" ca="1">_FV(A11,"Industry")</f>
        <v>Software &amp; IT Services</v>
      </c>
    </row>
    <row r="12" spans="1:12">
      <c r="A12" s="88" t="e" vm="133">
        <v>#VALUE!</v>
      </c>
      <c r="B12" s="83">
        <f t="shared" ref="B12" ca="1" si="2">(D12-H12)*100/H12</f>
        <v>-17.960566851509551</v>
      </c>
      <c r="C12" s="84">
        <f t="array" aca="1" ref="C12" ca="1">_FV(A12,"Previous close",TRUE)</f>
        <v>268.06</v>
      </c>
      <c r="D12" s="84">
        <f t="array" aca="1" ref="D12" ca="1">_FV(A12,"Price")</f>
        <v>266.3</v>
      </c>
      <c r="E12" s="84">
        <f t="array" aca="1" ref="E12" ca="1">_FV(A12,"Low")</f>
        <v>265.74</v>
      </c>
      <c r="F12" s="84">
        <f t="array" aca="1" ref="F12" ca="1">_FV(A12,"High")</f>
        <v>268.88</v>
      </c>
      <c r="G12" s="84">
        <f t="array" aca="1" ref="G12" ca="1">_FV(A12,"52 week low",TRUE)</f>
        <v>228</v>
      </c>
      <c r="H12" s="84">
        <f t="array" aca="1" ref="H12" ca="1">_FV(A12,"52 week high",TRUE)</f>
        <v>324.60000000000002</v>
      </c>
      <c r="I12" s="85">
        <f t="array" aca="1" ref="I12" ca="1">_FV(A12,"Change (%)",TRUE)</f>
        <v>-6.5659999999999998E-3</v>
      </c>
      <c r="J12" s="84">
        <f t="array" aca="1" ref="J12" ca="1">_FV(A12,"Change")</f>
        <v>-1.76</v>
      </c>
      <c r="K12" s="86">
        <f t="array" aca="1" ref="K12" ca="1">_FV(A12,"Market cap",TRUE)/10000000</f>
        <v>280790.40000000002</v>
      </c>
      <c r="L12" s="87" t="str">
        <f t="array" aca="1" ref="L12" ca="1">_FV(A12,"Industry")</f>
        <v>Software &amp; IT Services</v>
      </c>
    </row>
    <row r="13" spans="1:12">
      <c r="A13" s="61"/>
    </row>
    <row r="14" spans="1:12">
      <c r="A14" s="62" t="s">
        <v>26</v>
      </c>
      <c r="B14" t="s">
        <v>27</v>
      </c>
    </row>
    <row r="15" spans="1:12">
      <c r="A15" s="63" t="e">
        <v>#VALUE!</v>
      </c>
      <c r="B15">
        <v>-20.200980392156858</v>
      </c>
    </row>
    <row r="16" spans="1:12">
      <c r="A16" s="63" t="e">
        <v>#VALUE!</v>
      </c>
      <c r="B16">
        <v>-11.040739977022998</v>
      </c>
    </row>
    <row r="17" spans="1:2">
      <c r="A17" s="63" t="e">
        <v>#VALUE!</v>
      </c>
      <c r="B17">
        <v>-3.9827268865921024</v>
      </c>
    </row>
    <row r="18" spans="1:2">
      <c r="A18" s="63" t="e">
        <v>#VALUE!</v>
      </c>
      <c r="B18">
        <v>-4.3544615241775881</v>
      </c>
    </row>
    <row r="19" spans="1:2">
      <c r="A19" s="63" t="e">
        <v>#VALUE!</v>
      </c>
      <c r="B19">
        <v>-16.543775225085376</v>
      </c>
    </row>
    <row r="20" spans="1:2">
      <c r="A20" s="63" t="e">
        <v>#VALUE!</v>
      </c>
      <c r="B20">
        <v>-8.6314938346472587</v>
      </c>
    </row>
    <row r="21" spans="1:2">
      <c r="A21" s="63" t="e">
        <v>#VALUE!</v>
      </c>
      <c r="B21">
        <v>-8.1226864093072439</v>
      </c>
    </row>
    <row r="22" spans="1:2">
      <c r="A22" s="63" t="e">
        <v>#VALUE!</v>
      </c>
      <c r="B22">
        <v>-2.3130841121495389</v>
      </c>
    </row>
    <row r="23" spans="1:2">
      <c r="A23" s="63" t="e">
        <v>#VALUE!</v>
      </c>
      <c r="B23">
        <v>-27.75</v>
      </c>
    </row>
    <row r="24" spans="1:2">
      <c r="A24" s="63" t="e">
        <v>#VALUE!</v>
      </c>
      <c r="B24">
        <v>-2.4143586005830904</v>
      </c>
    </row>
    <row r="25" spans="1:2">
      <c r="A25" s="63" t="s">
        <v>28</v>
      </c>
      <c r="B25">
        <v>-105.35430696172205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11"/>
  <sheetViews>
    <sheetView workbookViewId="0"/>
  </sheetViews>
  <sheetFormatPr defaultRowHeight="15"/>
  <sheetData>
    <row r="1" spans="1:11">
      <c r="A1" s="3" t="s">
        <v>0</v>
      </c>
      <c r="B1" s="8" t="s">
        <v>13</v>
      </c>
      <c r="C1" s="3" t="s">
        <v>14</v>
      </c>
      <c r="D1" s="3" t="s">
        <v>3</v>
      </c>
      <c r="E1" s="3" t="s">
        <v>15</v>
      </c>
      <c r="F1" s="3" t="s">
        <v>16</v>
      </c>
      <c r="G1" s="3" t="s">
        <v>17</v>
      </c>
      <c r="H1" s="3" t="s">
        <v>18</v>
      </c>
      <c r="I1" s="19" t="s">
        <v>19</v>
      </c>
      <c r="J1" s="3"/>
      <c r="K1" s="3" t="s">
        <v>12</v>
      </c>
    </row>
    <row r="2" spans="1:11">
      <c r="A2" s="4" t="e">
        <v>#VALUE!</v>
      </c>
      <c r="B2" s="9" t="e" vm="135">
        <f>(D2-H2)/H2</f>
        <v>#VALUE!</v>
      </c>
      <c r="C2" s="5" t="e" vm="136">
        <f t="array" ref="C2">_FV(A2,"Previous close",TRUE)</f>
        <v>#VALUE!</v>
      </c>
      <c r="D2" s="5" t="e" vm="137">
        <f t="array" ref="D2">_FV(A2,"Price")</f>
        <v>#VALUE!</v>
      </c>
      <c r="E2" s="5" t="e" vm="138">
        <f t="array" ref="E2">_FV(A2,"Low")</f>
        <v>#VALUE!</v>
      </c>
      <c r="F2" s="5" t="e" vm="139">
        <f t="array" ref="F2">_FV(A2,"High")</f>
        <v>#VALUE!</v>
      </c>
      <c r="G2" s="5" t="e" vm="140">
        <f t="array" ref="G2">_FV(A2,"52 week low",TRUE)</f>
        <v>#VALUE!</v>
      </c>
      <c r="H2" s="5" t="e" vm="141">
        <f t="array" ref="H2">_FV(A2,"52 week high",TRUE)</f>
        <v>#VALUE!</v>
      </c>
      <c r="I2" s="9" t="e" vm="142">
        <f t="array" ref="I2">_FV(A2,"Change (%)",TRUE)</f>
        <v>#VALUE!</v>
      </c>
      <c r="J2" s="10" t="e" vm="143">
        <f t="array" ref="J2">_FV(A2,"Market cap",TRUE)</f>
        <v>#VALUE!</v>
      </c>
      <c r="K2" s="4" t="e" vm="48">
        <f t="array" ref="K2">_FV(A2,"Industry")</f>
        <v>#VALUE!</v>
      </c>
    </row>
    <row r="3" spans="1:11">
      <c r="A3" s="4" t="e">
        <v>#VALUE!</v>
      </c>
      <c r="B3" s="9" t="e" vm="135">
        <f t="shared" ref="B3:B11" si="0">(D3-H3)/H3</f>
        <v>#VALUE!</v>
      </c>
      <c r="C3" s="5" t="e" vm="136">
        <f t="array" ref="C3">_FV(A3,"Previous close",TRUE)</f>
        <v>#VALUE!</v>
      </c>
      <c r="D3" s="5" t="e" vm="137">
        <f t="array" ref="D3">_FV(A3,"Price")</f>
        <v>#VALUE!</v>
      </c>
      <c r="E3" s="5" t="e" vm="138">
        <f t="array" ref="E3">_FV(A3,"Low")</f>
        <v>#VALUE!</v>
      </c>
      <c r="F3" s="5" t="e" vm="139">
        <f t="array" ref="F3">_FV(A3,"High")</f>
        <v>#VALUE!</v>
      </c>
      <c r="G3" s="5" t="e" vm="140">
        <f t="array" ref="G3">_FV(A3,"52 week low",TRUE)</f>
        <v>#VALUE!</v>
      </c>
      <c r="H3" s="5" t="e" vm="141">
        <f t="array" ref="H3">_FV(A3,"52 week high",TRUE)</f>
        <v>#VALUE!</v>
      </c>
      <c r="I3" s="9" t="e" vm="142">
        <f t="array" ref="I3">_FV(A3,"Change (%)",TRUE)</f>
        <v>#VALUE!</v>
      </c>
      <c r="J3" s="10" t="e" vm="143">
        <f t="array" ref="J3">_FV(A3,"Market cap",TRUE)</f>
        <v>#VALUE!</v>
      </c>
      <c r="K3" s="4" t="e" vm="48">
        <f t="array" ref="K3">_FV(A3,"Industry")</f>
        <v>#VALUE!</v>
      </c>
    </row>
    <row r="4" spans="1:11">
      <c r="A4" s="4" t="e">
        <v>#VALUE!</v>
      </c>
      <c r="B4" s="9" t="e" vm="135">
        <f t="shared" si="0"/>
        <v>#VALUE!</v>
      </c>
      <c r="C4" s="5" t="e" vm="136">
        <f t="array" ref="C4">_FV(A4,"Previous close",TRUE)</f>
        <v>#VALUE!</v>
      </c>
      <c r="D4" s="5" t="e" vm="137">
        <f t="array" ref="D4">_FV(A4,"Price")</f>
        <v>#VALUE!</v>
      </c>
      <c r="E4" s="5" t="e" vm="138">
        <f t="array" ref="E4">_FV(A4,"Low")</f>
        <v>#VALUE!</v>
      </c>
      <c r="F4" s="5" t="e" vm="139">
        <f t="array" ref="F4">_FV(A4,"High")</f>
        <v>#VALUE!</v>
      </c>
      <c r="G4" s="5" t="e" vm="140">
        <f t="array" ref="G4">_FV(A4,"52 week low",TRUE)</f>
        <v>#VALUE!</v>
      </c>
      <c r="H4" s="5" t="e" vm="141">
        <f t="array" ref="H4">_FV(A4,"52 week high",TRUE)</f>
        <v>#VALUE!</v>
      </c>
      <c r="I4" s="9" t="e" vm="142">
        <f t="array" ref="I4">_FV(A4,"Change (%)",TRUE)</f>
        <v>#VALUE!</v>
      </c>
      <c r="J4" s="10" t="e" vm="143">
        <f t="array" ref="J4">_FV(A4,"Market cap",TRUE)</f>
        <v>#VALUE!</v>
      </c>
      <c r="K4" s="4" t="e" vm="48">
        <f t="array" ref="K4">_FV(A4,"Industry")</f>
        <v>#VALUE!</v>
      </c>
    </row>
    <row r="5" spans="1:11">
      <c r="A5" s="4" t="e">
        <v>#VALUE!</v>
      </c>
      <c r="B5" s="9" t="e" vm="135">
        <f t="shared" si="0"/>
        <v>#VALUE!</v>
      </c>
      <c r="C5" s="5" t="e" vm="136">
        <f t="array" ref="C5">_FV(A5,"Previous close",TRUE)</f>
        <v>#VALUE!</v>
      </c>
      <c r="D5" s="5" t="e" vm="137">
        <f t="array" ref="D5">_FV(A5,"Price")</f>
        <v>#VALUE!</v>
      </c>
      <c r="E5" s="5" t="e" vm="138">
        <f t="array" ref="E5">_FV(A5,"Low")</f>
        <v>#VALUE!</v>
      </c>
      <c r="F5" s="5" t="e" vm="139">
        <f t="array" ref="F5">_FV(A5,"High")</f>
        <v>#VALUE!</v>
      </c>
      <c r="G5" s="5" t="e" vm="140">
        <f t="array" ref="G5">_FV(A5,"52 week low",TRUE)</f>
        <v>#VALUE!</v>
      </c>
      <c r="H5" s="5" t="e" vm="141">
        <f t="array" ref="H5">_FV(A5,"52 week high",TRUE)</f>
        <v>#VALUE!</v>
      </c>
      <c r="I5" s="9" t="e" vm="142">
        <f t="array" ref="I5">_FV(A5,"Change (%)",TRUE)</f>
        <v>#VALUE!</v>
      </c>
      <c r="J5" s="10" t="e" vm="143">
        <f t="array" ref="J5">_FV(A5,"Market cap",TRUE)</f>
        <v>#VALUE!</v>
      </c>
      <c r="K5" s="4" t="e" vm="48">
        <f t="array" ref="K5">_FV(A5,"Industry")</f>
        <v>#VALUE!</v>
      </c>
    </row>
    <row r="6" spans="1:11">
      <c r="A6" s="4" t="e">
        <v>#VALUE!</v>
      </c>
      <c r="B6" s="9" t="e" vm="135">
        <f t="shared" si="0"/>
        <v>#VALUE!</v>
      </c>
      <c r="C6" s="5" t="e" vm="136">
        <f t="array" ref="C6">_FV(A6,"Previous close",TRUE)</f>
        <v>#VALUE!</v>
      </c>
      <c r="D6" s="5" t="e" vm="137">
        <f t="array" ref="D6">_FV(A6,"Price")</f>
        <v>#VALUE!</v>
      </c>
      <c r="E6" s="5" t="e" vm="138">
        <f t="array" ref="E6">_FV(A6,"Low")</f>
        <v>#VALUE!</v>
      </c>
      <c r="F6" s="5" t="e" vm="139">
        <f t="array" ref="F6">_FV(A6,"High")</f>
        <v>#VALUE!</v>
      </c>
      <c r="G6" s="5" t="e" vm="140">
        <f t="array" ref="G6">_FV(A6,"52 week low",TRUE)</f>
        <v>#VALUE!</v>
      </c>
      <c r="H6" s="5" t="e" vm="141">
        <f t="array" ref="H6">_FV(A6,"52 week high",TRUE)</f>
        <v>#VALUE!</v>
      </c>
      <c r="I6" s="9" t="e" vm="142">
        <f t="array" ref="I6">_FV(A6,"Change (%)",TRUE)</f>
        <v>#VALUE!</v>
      </c>
      <c r="J6" s="10" t="e" vm="143">
        <f t="array" ref="J6">_FV(A6,"Market cap",TRUE)</f>
        <v>#VALUE!</v>
      </c>
      <c r="K6" s="4" t="e" vm="48">
        <f t="array" ref="K6">_FV(A6,"Industry")</f>
        <v>#VALUE!</v>
      </c>
    </row>
    <row r="7" spans="1:11">
      <c r="A7" s="4" t="e">
        <v>#VALUE!</v>
      </c>
      <c r="B7" s="9" t="e" vm="135">
        <f t="shared" si="0"/>
        <v>#VALUE!</v>
      </c>
      <c r="C7" s="5" t="e" vm="136">
        <f t="array" ref="C7">_FV(A7,"Previous close",TRUE)</f>
        <v>#VALUE!</v>
      </c>
      <c r="D7" s="5" t="e" vm="137">
        <f t="array" ref="D7">_FV(A7,"Price")</f>
        <v>#VALUE!</v>
      </c>
      <c r="E7" s="5" t="e" vm="138">
        <f t="array" ref="E7">_FV(A7,"Low")</f>
        <v>#VALUE!</v>
      </c>
      <c r="F7" s="5" t="e" vm="139">
        <f t="array" ref="F7">_FV(A7,"High")</f>
        <v>#VALUE!</v>
      </c>
      <c r="G7" s="5" t="e" vm="140">
        <f t="array" ref="G7">_FV(A7,"52 week low",TRUE)</f>
        <v>#VALUE!</v>
      </c>
      <c r="H7" s="5" t="e" vm="141">
        <f t="array" ref="H7">_FV(A7,"52 week high",TRUE)</f>
        <v>#VALUE!</v>
      </c>
      <c r="I7" s="9" t="e" vm="142">
        <f t="array" ref="I7">_FV(A7,"Change (%)",TRUE)</f>
        <v>#VALUE!</v>
      </c>
      <c r="J7" s="10" t="e" vm="143">
        <f t="array" ref="J7">_FV(A7,"Market cap",TRUE)</f>
        <v>#VALUE!</v>
      </c>
      <c r="K7" s="4" t="e" vm="48">
        <f t="array" ref="K7">_FV(A7,"Industry")</f>
        <v>#VALUE!</v>
      </c>
    </row>
    <row r="8" spans="1:11">
      <c r="A8" s="4" t="e">
        <v>#VALUE!</v>
      </c>
      <c r="B8" s="9" t="e" vm="135">
        <f t="shared" si="0"/>
        <v>#VALUE!</v>
      </c>
      <c r="C8" s="5" t="e" vm="136">
        <f t="array" ref="C8">_FV(A8,"Previous close",TRUE)</f>
        <v>#VALUE!</v>
      </c>
      <c r="D8" s="5" t="e" vm="137">
        <f t="array" ref="D8">_FV(A8,"Price")</f>
        <v>#VALUE!</v>
      </c>
      <c r="E8" s="5" t="e" vm="138">
        <f t="array" ref="E8">_FV(A8,"Low")</f>
        <v>#VALUE!</v>
      </c>
      <c r="F8" s="5" t="e" vm="139">
        <f t="array" ref="F8">_FV(A8,"High")</f>
        <v>#VALUE!</v>
      </c>
      <c r="G8" s="5" t="e" vm="140">
        <f t="array" ref="G8">_FV(A8,"52 week low",TRUE)</f>
        <v>#VALUE!</v>
      </c>
      <c r="H8" s="5" t="e" vm="141">
        <f t="array" ref="H8">_FV(A8,"52 week high",TRUE)</f>
        <v>#VALUE!</v>
      </c>
      <c r="I8" s="9" t="e" vm="142">
        <f t="array" ref="I8">_FV(A8,"Change (%)",TRUE)</f>
        <v>#VALUE!</v>
      </c>
      <c r="J8" s="10" t="e" vm="143">
        <f t="array" ref="J8">_FV(A8,"Market cap",TRUE)</f>
        <v>#VALUE!</v>
      </c>
      <c r="K8" s="4" t="e" vm="48">
        <f t="array" ref="K8">_FV(A8,"Industry")</f>
        <v>#VALUE!</v>
      </c>
    </row>
    <row r="9" spans="1:11">
      <c r="A9" s="4" t="e">
        <v>#VALUE!</v>
      </c>
      <c r="B9" s="9" t="e" vm="135">
        <f t="shared" si="0"/>
        <v>#VALUE!</v>
      </c>
      <c r="C9" s="5" t="e" vm="136">
        <f t="array" ref="C9">_FV(A9,"Previous close",TRUE)</f>
        <v>#VALUE!</v>
      </c>
      <c r="D9" s="5" t="e" vm="137">
        <f t="array" ref="D9">_FV(A9,"Price")</f>
        <v>#VALUE!</v>
      </c>
      <c r="E9" s="5" t="e" vm="138">
        <f t="array" ref="E9">_FV(A9,"Low")</f>
        <v>#VALUE!</v>
      </c>
      <c r="F9" s="5" t="e" vm="139">
        <f t="array" ref="F9">_FV(A9,"High")</f>
        <v>#VALUE!</v>
      </c>
      <c r="G9" s="5" t="e" vm="140">
        <f t="array" ref="G9">_FV(A9,"52 week low",TRUE)</f>
        <v>#VALUE!</v>
      </c>
      <c r="H9" s="5" t="e" vm="141">
        <f t="array" ref="H9">_FV(A9,"52 week high",TRUE)</f>
        <v>#VALUE!</v>
      </c>
      <c r="I9" s="9" t="e" vm="142">
        <f t="array" ref="I9">_FV(A9,"Change (%)",TRUE)</f>
        <v>#VALUE!</v>
      </c>
      <c r="J9" s="10" t="e" vm="143">
        <f t="array" ref="J9">_FV(A9,"Market cap",TRUE)</f>
        <v>#VALUE!</v>
      </c>
      <c r="K9" s="4" t="e" vm="48">
        <f t="array" ref="K9">_FV(A9,"Industry")</f>
        <v>#VALUE!</v>
      </c>
    </row>
    <row r="10" spans="1:11">
      <c r="A10" s="4" t="e">
        <v>#VALUE!</v>
      </c>
      <c r="B10" s="9" t="e" vm="135">
        <f t="shared" si="0"/>
        <v>#VALUE!</v>
      </c>
      <c r="C10" s="5" t="e" vm="136">
        <f t="array" ref="C10">_FV(A10,"Previous close",TRUE)</f>
        <v>#VALUE!</v>
      </c>
      <c r="D10" s="5" t="e" vm="137">
        <f t="array" ref="D10">_FV(A10,"Price")</f>
        <v>#VALUE!</v>
      </c>
      <c r="E10" s="5" t="e" vm="138">
        <f t="array" ref="E10">_FV(A10,"Low")</f>
        <v>#VALUE!</v>
      </c>
      <c r="F10" s="5" t="e" vm="139">
        <f t="array" ref="F10">_FV(A10,"High")</f>
        <v>#VALUE!</v>
      </c>
      <c r="G10" s="5" t="e" vm="140">
        <f t="array" ref="G10">_FV(A10,"52 week low",TRUE)</f>
        <v>#VALUE!</v>
      </c>
      <c r="H10" s="5" t="e" vm="141">
        <f t="array" ref="H10">_FV(A10,"52 week high",TRUE)</f>
        <v>#VALUE!</v>
      </c>
      <c r="I10" s="9" t="e" vm="142">
        <f t="array" ref="I10">_FV(A10,"Change (%)",TRUE)</f>
        <v>#VALUE!</v>
      </c>
      <c r="J10" s="10" t="e" vm="143">
        <f t="array" ref="J10">_FV(A10,"Market cap",TRUE)</f>
        <v>#VALUE!</v>
      </c>
      <c r="K10" s="4" t="e" vm="48">
        <f t="array" ref="K10">_FV(A10,"Industry")</f>
        <v>#VALUE!</v>
      </c>
    </row>
    <row r="11" spans="1:11">
      <c r="A11" s="4" t="e">
        <v>#VALUE!</v>
      </c>
      <c r="B11" s="9" t="e" vm="135">
        <f t="shared" si="0"/>
        <v>#VALUE!</v>
      </c>
      <c r="C11" s="5" t="e" vm="136">
        <f t="array" ref="C11">_FV(A11,"Previous close",TRUE)</f>
        <v>#VALUE!</v>
      </c>
      <c r="D11" s="5" t="e" vm="137">
        <f t="array" ref="D11">_FV(A11,"Price")</f>
        <v>#VALUE!</v>
      </c>
      <c r="E11" s="5" t="e" vm="138">
        <f t="array" ref="E11">_FV(A11,"Low")</f>
        <v>#VALUE!</v>
      </c>
      <c r="F11" s="5" t="e" vm="139">
        <f t="array" ref="F11">_FV(A11,"High")</f>
        <v>#VALUE!</v>
      </c>
      <c r="G11" s="5" t="e" vm="140">
        <f t="array" ref="G11">_FV(A11,"52 week low",TRUE)</f>
        <v>#VALUE!</v>
      </c>
      <c r="H11" s="5" t="e" vm="141">
        <f t="array" ref="H11">_FV(A11,"52 week high",TRUE)</f>
        <v>#VALUE!</v>
      </c>
      <c r="I11" s="9" t="e" vm="142">
        <f t="array" ref="I11">_FV(A11,"Change (%)",TRUE)</f>
        <v>#VALUE!</v>
      </c>
      <c r="J11" s="10" t="e" vm="143">
        <f t="array" ref="J11">_FV(A11,"Market cap",TRUE)</f>
        <v>#VALUE!</v>
      </c>
      <c r="K11" s="4" t="e" vm="48">
        <f t="array" ref="K11">_FV(A11,"Industry")</f>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13"/>
  <sheetViews>
    <sheetView workbookViewId="0"/>
  </sheetViews>
  <sheetFormatPr defaultRowHeight="15"/>
  <sheetData>
    <row r="1" spans="1:13" ht="23.25">
      <c r="A1" s="27" t="s">
        <v>0</v>
      </c>
      <c r="B1" s="27" t="s">
        <v>8</v>
      </c>
      <c r="C1" s="27" t="s">
        <v>9</v>
      </c>
      <c r="D1" s="27" t="s">
        <v>2</v>
      </c>
      <c r="E1" s="27" t="s">
        <v>3</v>
      </c>
      <c r="F1" s="27" t="s">
        <v>15</v>
      </c>
      <c r="G1" s="27" t="s">
        <v>16</v>
      </c>
      <c r="H1" s="27" t="s">
        <v>6</v>
      </c>
      <c r="I1" s="27" t="s">
        <v>7</v>
      </c>
      <c r="J1" s="27" t="s">
        <v>1</v>
      </c>
      <c r="K1" s="27" t="s">
        <v>10</v>
      </c>
      <c r="L1" s="27" t="s">
        <v>11</v>
      </c>
      <c r="M1" s="27" t="s">
        <v>12</v>
      </c>
    </row>
    <row r="2" spans="1:13">
      <c r="A2" s="28" t="e">
        <v>#VALUE!</v>
      </c>
      <c r="B2" s="22" t="e" vm="135">
        <f>(I2-E2)*100/I2</f>
        <v>#VALUE!</v>
      </c>
      <c r="C2" s="22" t="e" vm="135">
        <f t="shared" ref="C2:C11" si="0">IF(AND(L2="LC", B2&gt;15), "SURE LC BUY",IF(AND(L2="LC", B2&gt;10), "FIRST LC BUY",IF(AND(L2="MC", B2&gt;30), "SURE MC BUY",IF(AND(L2="MC", B2&gt;20), "BUY",IF(AND(L2="MC", B2&gt;15), "FIRST MC BUY",IF(AND(L2="SC", B2&gt;50), "FIRST SC BUY",IF(AND(L2="SC", B2&gt;40), "FIRST SC BUY","WATCH")))))))</f>
        <v>#VALUE!</v>
      </c>
      <c r="D2" s="23" t="e" vm="136">
        <f t="array" ref="D2">_FV(A2,"Previous close",TRUE)</f>
        <v>#VALUE!</v>
      </c>
      <c r="E2" s="23" t="e" vm="137">
        <f t="array" ref="E2">_FV(A2,"Price")</f>
        <v>#VALUE!</v>
      </c>
      <c r="F2" s="23" t="e" vm="138">
        <f t="array" ref="F2">_FV(A2,"Low")</f>
        <v>#VALUE!</v>
      </c>
      <c r="G2" s="23" t="e" vm="139">
        <f t="array" ref="G2">_FV(A2,"High")</f>
        <v>#VALUE!</v>
      </c>
      <c r="H2" s="23" t="e" vm="140">
        <f t="array" ref="H2">_FV(A2,"52 week low",TRUE)</f>
        <v>#VALUE!</v>
      </c>
      <c r="I2" s="23" t="e" vm="141">
        <f t="array" ref="I2">_FV(A2,"52 week high",TRUE)</f>
        <v>#VALUE!</v>
      </c>
      <c r="J2" s="24" t="e" vm="142">
        <f t="array" ref="J2">_FV(A2,"Change (%)",TRUE)</f>
        <v>#VALUE!</v>
      </c>
      <c r="K2" s="20" t="e" vm="143">
        <f t="array" ref="K2">_FV(A2,"Market cap",TRUE)/10000000</f>
        <v>#VALUE!</v>
      </c>
      <c r="L2" s="21" t="e" vm="135">
        <f>IF(K2&gt;100000,"LC",IF(K2 &gt;10000,"MC","SC"))</f>
        <v>#VALUE!</v>
      </c>
      <c r="M2" s="41" t="e" vm="48">
        <f t="array" ref="M2">_FV(A2,"Industry")</f>
        <v>#VALUE!</v>
      </c>
    </row>
    <row r="3" spans="1:13">
      <c r="A3" s="28" t="e">
        <v>#VALUE!</v>
      </c>
      <c r="B3" s="22" t="e" vm="135">
        <f t="shared" ref="B3:B11" si="1">(I3-E3)*100/I3</f>
        <v>#VALUE!</v>
      </c>
      <c r="C3" s="22" t="e" vm="135">
        <f t="shared" si="0"/>
        <v>#VALUE!</v>
      </c>
      <c r="D3" s="23" t="e" vm="136">
        <f t="array" ref="D3">_FV(A3,"Previous close",TRUE)</f>
        <v>#VALUE!</v>
      </c>
      <c r="E3" s="23" t="e" vm="137">
        <f t="array" ref="E3">_FV(A3,"Price")</f>
        <v>#VALUE!</v>
      </c>
      <c r="F3" s="23" t="e" vm="138">
        <f t="array" ref="F3">_FV(A3,"Low")</f>
        <v>#VALUE!</v>
      </c>
      <c r="G3" s="23" t="e" vm="139">
        <f t="array" ref="G3">_FV(A3,"High")</f>
        <v>#VALUE!</v>
      </c>
      <c r="H3" s="23" t="e" vm="140">
        <f t="array" ref="H3">_FV(A3,"52 week low",TRUE)</f>
        <v>#VALUE!</v>
      </c>
      <c r="I3" s="23" t="e" vm="141">
        <f t="array" ref="I3">_FV(A3,"52 week high",TRUE)</f>
        <v>#VALUE!</v>
      </c>
      <c r="J3" s="24" t="e" vm="142">
        <f t="array" ref="J3">_FV(A3,"Change (%)",TRUE)</f>
        <v>#VALUE!</v>
      </c>
      <c r="K3" s="20" t="e" vm="143">
        <f t="array" ref="K3">_FV(A3,"Market cap",TRUE)/10000000</f>
        <v>#VALUE!</v>
      </c>
      <c r="L3" s="21" t="e" vm="135">
        <f t="shared" ref="L3:L11" si="2">IF(K3&gt;100000,"LC",IF(K3 &gt;10000,"MC","SC"))</f>
        <v>#VALUE!</v>
      </c>
      <c r="M3" s="26" t="e" vm="48">
        <f t="array" ref="M3">_FV(A3,"Industry")</f>
        <v>#VALUE!</v>
      </c>
    </row>
    <row r="4" spans="1:13">
      <c r="A4" s="28" t="e">
        <v>#VALUE!</v>
      </c>
      <c r="B4" s="22" t="e" vm="135">
        <f t="shared" si="1"/>
        <v>#VALUE!</v>
      </c>
      <c r="C4" s="22" t="e" vm="135">
        <f t="shared" si="0"/>
        <v>#VALUE!</v>
      </c>
      <c r="D4" s="23" t="e" vm="136">
        <f t="array" ref="D4">_FV(A4,"Previous close",TRUE)</f>
        <v>#VALUE!</v>
      </c>
      <c r="E4" s="23" t="e" vm="137">
        <f t="array" ref="E4">_FV(A4,"Price")</f>
        <v>#VALUE!</v>
      </c>
      <c r="F4" s="23" t="e" vm="138">
        <f t="array" ref="F4">_FV(A4,"Low")</f>
        <v>#VALUE!</v>
      </c>
      <c r="G4" s="23" t="e" vm="139">
        <f t="array" ref="G4">_FV(A4,"High")</f>
        <v>#VALUE!</v>
      </c>
      <c r="H4" s="23" t="e" vm="140">
        <f t="array" ref="H4">_FV(A4,"52 week low",TRUE)</f>
        <v>#VALUE!</v>
      </c>
      <c r="I4" s="23" t="e" vm="141">
        <f t="array" ref="I4">_FV(A4,"52 week high",TRUE)</f>
        <v>#VALUE!</v>
      </c>
      <c r="J4" s="24" t="e" vm="142">
        <f t="array" ref="J4">_FV(A4,"Change (%)",TRUE)</f>
        <v>#VALUE!</v>
      </c>
      <c r="K4" s="20" t="e" vm="143">
        <f t="array" ref="K4">_FV(A4,"Market cap",TRUE)/10000000</f>
        <v>#VALUE!</v>
      </c>
      <c r="L4" s="21" t="e" vm="135">
        <f t="shared" si="2"/>
        <v>#VALUE!</v>
      </c>
      <c r="M4" s="26" t="e" vm="48">
        <f t="array" ref="M4">_FV(A4,"Industry")</f>
        <v>#VALUE!</v>
      </c>
    </row>
    <row r="5" spans="1:13">
      <c r="A5" s="28" t="e">
        <v>#VALUE!</v>
      </c>
      <c r="B5" s="22" t="e" vm="135">
        <f t="shared" si="1"/>
        <v>#VALUE!</v>
      </c>
      <c r="C5" s="22" t="e" vm="135">
        <f t="shared" si="0"/>
        <v>#VALUE!</v>
      </c>
      <c r="D5" s="23" t="e" vm="136">
        <f t="array" ref="D5">_FV(A5,"Previous close",TRUE)</f>
        <v>#VALUE!</v>
      </c>
      <c r="E5" s="23" t="e" vm="137">
        <f t="array" ref="E5">_FV(A5,"Price")</f>
        <v>#VALUE!</v>
      </c>
      <c r="F5" s="23" t="e" vm="138">
        <f t="array" ref="F5">_FV(A5,"Low")</f>
        <v>#VALUE!</v>
      </c>
      <c r="G5" s="23" t="e" vm="139">
        <f t="array" ref="G5">_FV(A5,"High")</f>
        <v>#VALUE!</v>
      </c>
      <c r="H5" s="23" t="e" vm="140">
        <f t="array" ref="H5">_FV(A5,"52 week low",TRUE)</f>
        <v>#VALUE!</v>
      </c>
      <c r="I5" s="23" t="e" vm="141">
        <f t="array" ref="I5">_FV(A5,"52 week high",TRUE)</f>
        <v>#VALUE!</v>
      </c>
      <c r="J5" s="24" t="e" vm="142">
        <f t="array" ref="J5">_FV(A5,"Change (%)",TRUE)</f>
        <v>#VALUE!</v>
      </c>
      <c r="K5" s="20" t="e" vm="143">
        <f t="array" ref="K5">_FV(A5,"Market cap",TRUE)/10000000</f>
        <v>#VALUE!</v>
      </c>
      <c r="L5" s="21" t="e" vm="135">
        <f t="shared" si="2"/>
        <v>#VALUE!</v>
      </c>
      <c r="M5" s="26" t="e" vm="48">
        <f t="array" ref="M5">_FV(A5,"Industry")</f>
        <v>#VALUE!</v>
      </c>
    </row>
    <row r="6" spans="1:13">
      <c r="A6" s="28" t="e">
        <v>#VALUE!</v>
      </c>
      <c r="B6" s="22" t="e" vm="135">
        <f t="shared" si="1"/>
        <v>#VALUE!</v>
      </c>
      <c r="C6" s="22" t="e" vm="135">
        <f t="shared" si="0"/>
        <v>#VALUE!</v>
      </c>
      <c r="D6" s="23" t="e" vm="136">
        <f t="array" ref="D6">_FV(A6,"Previous close",TRUE)</f>
        <v>#VALUE!</v>
      </c>
      <c r="E6" s="23" t="e" vm="137">
        <f t="array" ref="E6">_FV(A6,"Price")</f>
        <v>#VALUE!</v>
      </c>
      <c r="F6" s="23" t="e" vm="138">
        <f t="array" ref="F6">_FV(A6,"Low")</f>
        <v>#VALUE!</v>
      </c>
      <c r="G6" s="23" t="e" vm="139">
        <f t="array" ref="G6">_FV(A6,"High")</f>
        <v>#VALUE!</v>
      </c>
      <c r="H6" s="23" t="e" vm="140">
        <f t="array" ref="H6">_FV(A6,"52 week low",TRUE)</f>
        <v>#VALUE!</v>
      </c>
      <c r="I6" s="23" t="e" vm="141">
        <f t="array" ref="I6">_FV(A6,"52 week high",TRUE)</f>
        <v>#VALUE!</v>
      </c>
      <c r="J6" s="24" t="e" vm="142">
        <f t="array" ref="J6">_FV(A6,"Change (%)",TRUE)</f>
        <v>#VALUE!</v>
      </c>
      <c r="K6" s="20" t="e" vm="143">
        <f t="array" ref="K6">_FV(A6,"Market cap",TRUE)/10000000</f>
        <v>#VALUE!</v>
      </c>
      <c r="L6" s="21" t="e" vm="135">
        <f t="shared" si="2"/>
        <v>#VALUE!</v>
      </c>
      <c r="M6" s="26" t="e" vm="48">
        <f t="array" ref="M6">_FV(A6,"Industry")</f>
        <v>#VALUE!</v>
      </c>
    </row>
    <row r="7" spans="1:13">
      <c r="A7" s="28" t="e">
        <v>#VALUE!</v>
      </c>
      <c r="B7" s="22" t="e" vm="135">
        <f t="shared" si="1"/>
        <v>#VALUE!</v>
      </c>
      <c r="C7" s="22" t="e" vm="135">
        <f t="shared" si="0"/>
        <v>#VALUE!</v>
      </c>
      <c r="D7" s="23" t="e" vm="136">
        <f t="array" ref="D7">_FV(A7,"Previous close",TRUE)</f>
        <v>#VALUE!</v>
      </c>
      <c r="E7" s="23" t="e" vm="137">
        <f t="array" ref="E7">_FV(A7,"Price")</f>
        <v>#VALUE!</v>
      </c>
      <c r="F7" s="23" t="e" vm="138">
        <f t="array" ref="F7">_FV(A7,"Low")</f>
        <v>#VALUE!</v>
      </c>
      <c r="G7" s="23" t="e" vm="139">
        <f t="array" ref="G7">_FV(A7,"High")</f>
        <v>#VALUE!</v>
      </c>
      <c r="H7" s="23" t="e" vm="140">
        <f t="array" ref="H7">_FV(A7,"52 week low",TRUE)</f>
        <v>#VALUE!</v>
      </c>
      <c r="I7" s="23" t="e" vm="141">
        <f t="array" ref="I7">_FV(A7,"52 week high",TRUE)</f>
        <v>#VALUE!</v>
      </c>
      <c r="J7" s="24" t="e" vm="142">
        <f t="array" ref="J7">_FV(A7,"Change (%)",TRUE)</f>
        <v>#VALUE!</v>
      </c>
      <c r="K7" s="20" t="e" vm="143">
        <f t="array" ref="K7">_FV(A7,"Market cap",TRUE)/10000000</f>
        <v>#VALUE!</v>
      </c>
      <c r="L7" s="21" t="e" vm="135">
        <f t="shared" si="2"/>
        <v>#VALUE!</v>
      </c>
      <c r="M7" s="26" t="e" vm="48">
        <f t="array" ref="M7">_FV(A7,"Industry")</f>
        <v>#VALUE!</v>
      </c>
    </row>
    <row r="8" spans="1:13">
      <c r="A8" s="28" t="e">
        <v>#VALUE!</v>
      </c>
      <c r="B8" s="22" t="e" vm="135">
        <f t="shared" si="1"/>
        <v>#VALUE!</v>
      </c>
      <c r="C8" s="22" t="e" vm="135">
        <f t="shared" si="0"/>
        <v>#VALUE!</v>
      </c>
      <c r="D8" s="23" t="e" vm="136">
        <f t="array" ref="D8">_FV(A8,"Previous close",TRUE)</f>
        <v>#VALUE!</v>
      </c>
      <c r="E8" s="23" t="e" vm="137">
        <f t="array" ref="E8">_FV(A8,"Price")</f>
        <v>#VALUE!</v>
      </c>
      <c r="F8" s="23" t="e" vm="138">
        <f t="array" ref="F8">_FV(A8,"Low")</f>
        <v>#VALUE!</v>
      </c>
      <c r="G8" s="23" t="e" vm="139">
        <f t="array" ref="G8">_FV(A8,"High")</f>
        <v>#VALUE!</v>
      </c>
      <c r="H8" s="23" t="e" vm="140">
        <f t="array" ref="H8">_FV(A8,"52 week low",TRUE)</f>
        <v>#VALUE!</v>
      </c>
      <c r="I8" s="23" t="e" vm="141">
        <f t="array" ref="I8">_FV(A8,"52 week high",TRUE)</f>
        <v>#VALUE!</v>
      </c>
      <c r="J8" s="24" t="e" vm="142">
        <f t="array" ref="J8">_FV(A8,"Change (%)",TRUE)</f>
        <v>#VALUE!</v>
      </c>
      <c r="K8" s="20" t="e" vm="143">
        <f t="array" ref="K8">_FV(A8,"Market cap",TRUE)/10000000</f>
        <v>#VALUE!</v>
      </c>
      <c r="L8" s="21" t="e" vm="135">
        <f t="shared" si="2"/>
        <v>#VALUE!</v>
      </c>
      <c r="M8" s="25" t="e" vm="48">
        <f t="array" ref="M8">_FV(A8,"Industry")</f>
        <v>#VALUE!</v>
      </c>
    </row>
    <row r="9" spans="1:13">
      <c r="A9" s="28" t="e">
        <v>#VALUE!</v>
      </c>
      <c r="B9" s="22" t="e" vm="135">
        <f t="shared" si="1"/>
        <v>#VALUE!</v>
      </c>
      <c r="C9" s="22" t="e" vm="135">
        <f t="shared" si="0"/>
        <v>#VALUE!</v>
      </c>
      <c r="D9" s="23" t="e" vm="136">
        <f t="array" ref="D9">_FV(A9,"Previous close",TRUE)</f>
        <v>#VALUE!</v>
      </c>
      <c r="E9" s="23" t="e" vm="137">
        <f t="array" ref="E9">_FV(A9,"Price")</f>
        <v>#VALUE!</v>
      </c>
      <c r="F9" s="23" t="e" vm="138">
        <f t="array" ref="F9">_FV(A9,"Low")</f>
        <v>#VALUE!</v>
      </c>
      <c r="G9" s="23" t="e" vm="139">
        <f t="array" ref="G9">_FV(A9,"High")</f>
        <v>#VALUE!</v>
      </c>
      <c r="H9" s="23" t="e" vm="140">
        <f t="array" ref="H9">_FV(A9,"52 week low",TRUE)</f>
        <v>#VALUE!</v>
      </c>
      <c r="I9" s="23" t="e" vm="141">
        <f t="array" ref="I9">_FV(A9,"52 week high",TRUE)</f>
        <v>#VALUE!</v>
      </c>
      <c r="J9" s="24" t="e" vm="142">
        <f t="array" ref="J9">_FV(A9,"Change (%)",TRUE)</f>
        <v>#VALUE!</v>
      </c>
      <c r="K9" s="20" t="e" vm="143">
        <f t="array" ref="K9">_FV(A9,"Market cap",TRUE)/10000000</f>
        <v>#VALUE!</v>
      </c>
      <c r="L9" s="21" t="e" vm="135">
        <f t="shared" si="2"/>
        <v>#VALUE!</v>
      </c>
      <c r="M9" s="26" t="e" vm="48">
        <f t="array" ref="M9">_FV(A9,"Industry")</f>
        <v>#VALUE!</v>
      </c>
    </row>
    <row r="10" spans="1:13">
      <c r="A10" s="28" t="e">
        <v>#VALUE!</v>
      </c>
      <c r="B10" s="22" t="e" vm="135">
        <f t="shared" si="1"/>
        <v>#VALUE!</v>
      </c>
      <c r="C10" s="22" t="e" vm="135">
        <f t="shared" si="0"/>
        <v>#VALUE!</v>
      </c>
      <c r="D10" s="23" t="e" vm="136">
        <f t="array" ref="D10">_FV(A10,"Previous close",TRUE)</f>
        <v>#VALUE!</v>
      </c>
      <c r="E10" s="23" t="e" vm="137">
        <f t="array" ref="E10">_FV(A10,"Price")</f>
        <v>#VALUE!</v>
      </c>
      <c r="F10" s="23" t="e" vm="138">
        <f t="array" ref="F10">_FV(A10,"Low")</f>
        <v>#VALUE!</v>
      </c>
      <c r="G10" s="23" t="e" vm="139">
        <f t="array" ref="G10">_FV(A10,"High")</f>
        <v>#VALUE!</v>
      </c>
      <c r="H10" s="23" t="e" vm="140">
        <f t="array" ref="H10">_FV(A10,"52 week low",TRUE)</f>
        <v>#VALUE!</v>
      </c>
      <c r="I10" s="23" t="e" vm="141">
        <f t="array" ref="I10">_FV(A10,"52 week high",TRUE)</f>
        <v>#VALUE!</v>
      </c>
      <c r="J10" s="24" t="e" vm="142">
        <f t="array" ref="J10">_FV(A10,"Change (%)",TRUE)</f>
        <v>#VALUE!</v>
      </c>
      <c r="K10" s="20" t="e" vm="143">
        <f t="array" ref="K10">_FV(A10,"Market cap",TRUE)/10000000</f>
        <v>#VALUE!</v>
      </c>
      <c r="L10" s="21" t="e" vm="135">
        <f t="shared" si="2"/>
        <v>#VALUE!</v>
      </c>
      <c r="M10" s="26" t="e" vm="48">
        <f t="array" ref="M10">_FV(A10,"Industry")</f>
        <v>#VALUE!</v>
      </c>
    </row>
    <row r="11" spans="1:13">
      <c r="A11" s="28" t="e">
        <v>#VALUE!</v>
      </c>
      <c r="B11" s="22" t="e" vm="135">
        <f t="shared" si="1"/>
        <v>#VALUE!</v>
      </c>
      <c r="C11" s="22" t="e" vm="135">
        <f t="shared" si="0"/>
        <v>#VALUE!</v>
      </c>
      <c r="D11" s="23" t="e" vm="136">
        <f t="array" ref="D11">_FV(A11,"Previous close",TRUE)</f>
        <v>#VALUE!</v>
      </c>
      <c r="E11" s="23" t="e" vm="137">
        <f t="array" ref="E11">_FV(A11,"Price")</f>
        <v>#VALUE!</v>
      </c>
      <c r="F11" s="23" t="e" vm="138">
        <f t="array" ref="F11">_FV(A11,"Low")</f>
        <v>#VALUE!</v>
      </c>
      <c r="G11" s="23" t="e" vm="139">
        <f t="array" ref="G11">_FV(A11,"High")</f>
        <v>#VALUE!</v>
      </c>
      <c r="H11" s="23" t="e" vm="140">
        <f t="array" ref="H11">_FV(A11,"52 week low",TRUE)</f>
        <v>#VALUE!</v>
      </c>
      <c r="I11" s="23" t="e" vm="141">
        <f t="array" ref="I11">_FV(A11,"52 week high",TRUE)</f>
        <v>#VALUE!</v>
      </c>
      <c r="J11" s="24" t="e" vm="142">
        <f t="array" ref="J11">_FV(A11,"Change (%)",TRUE)</f>
        <v>#VALUE!</v>
      </c>
      <c r="K11" s="20" t="e" vm="143">
        <f t="array" ref="K11">_FV(A11,"Market cap",TRUE)/10000000</f>
        <v>#VALUE!</v>
      </c>
      <c r="L11" s="21" t="e" vm="135">
        <f t="shared" si="2"/>
        <v>#VALUE!</v>
      </c>
      <c r="M11" s="26" t="e" vm="48">
        <f t="array" ref="M11">_FV(A11,"Industry")</f>
        <v>#VALUE!</v>
      </c>
    </row>
    <row r="12" spans="1:13">
      <c r="A12" t="e">
        <v>#VALUE!</v>
      </c>
      <c r="B12" s="22" t="e" vm="135">
        <f t="shared" ref="B12:B13" si="3">(I12-E12)*100/I12</f>
        <v>#VALUE!</v>
      </c>
      <c r="C12" s="22" t="e" vm="135">
        <f t="shared" ref="C12:C13" si="4">IF(AND(L12="LC", B12&gt;15), "SURE LC BUY",IF(AND(L12="LC", B12&gt;10), "FIRST LC BUY",IF(AND(L12="MC", B12&gt;30), "SURE MC BUY",IF(AND(L12="MC", B12&gt;20), "BUY",IF(AND(L12="MC", B12&gt;15), "FIRST MC BUY",IF(AND(L12="SC", B12&gt;50), "FIRST SC BUY",IF(AND(L12="SC", B12&gt;40), "FIRST SC BUY","WATCH")))))))</f>
        <v>#VALUE!</v>
      </c>
      <c r="D12" s="23" t="e" vm="136">
        <f t="array" ref="D12">_FV(A12,"Previous close",TRUE)</f>
        <v>#VALUE!</v>
      </c>
      <c r="E12" s="23" t="e" vm="137">
        <f t="array" ref="E12">_FV(A12,"Price")</f>
        <v>#VALUE!</v>
      </c>
      <c r="F12" s="23" t="e" vm="138">
        <f t="array" ref="F12">_FV(A12,"Low")</f>
        <v>#VALUE!</v>
      </c>
      <c r="G12" s="23" t="e" vm="139">
        <f t="array" ref="G12">_FV(A12,"High")</f>
        <v>#VALUE!</v>
      </c>
      <c r="H12" s="23" t="e" vm="140">
        <f t="array" ref="H12">_FV(A12,"52 week low",TRUE)</f>
        <v>#VALUE!</v>
      </c>
      <c r="I12" s="23" t="e" vm="141">
        <f t="array" ref="I12">_FV(A12,"52 week high",TRUE)</f>
        <v>#VALUE!</v>
      </c>
      <c r="J12" s="24" t="e" vm="142">
        <f t="array" ref="J12">_FV(A12,"Change (%)",TRUE)</f>
        <v>#VALUE!</v>
      </c>
      <c r="K12" s="20" t="e" vm="143">
        <f t="array" ref="K12">_FV(A12,"Market cap",TRUE)/10000000</f>
        <v>#VALUE!</v>
      </c>
      <c r="L12" s="21" t="e" vm="135">
        <f t="shared" ref="L12:L13" si="5">IF(K12&gt;100000,"LC",IF(K12 &gt;10000,"MC","SC"))</f>
        <v>#VALUE!</v>
      </c>
      <c r="M12" s="26" t="e" vm="48">
        <f t="array" ref="M12">_FV(A12,"Industry")</f>
        <v>#VALUE!</v>
      </c>
    </row>
    <row r="13" spans="1:13">
      <c r="A13" t="e">
        <v>#VALUE!</v>
      </c>
      <c r="B13" s="22" t="e" vm="135">
        <f t="shared" si="3"/>
        <v>#VALUE!</v>
      </c>
      <c r="C13" s="22" t="e" vm="135">
        <f t="shared" si="4"/>
        <v>#VALUE!</v>
      </c>
      <c r="D13" s="23" t="e" vm="136">
        <f t="array" ref="D13">_FV(A13,"Previous close",TRUE)</f>
        <v>#VALUE!</v>
      </c>
      <c r="E13" s="23" t="e" vm="137">
        <f t="array" ref="E13">_FV(A13,"Price")</f>
        <v>#VALUE!</v>
      </c>
      <c r="F13" s="23" t="e" vm="138">
        <f t="array" ref="F13">_FV(A13,"Low")</f>
        <v>#VALUE!</v>
      </c>
      <c r="G13" s="23" t="e" vm="139">
        <f t="array" ref="G13">_FV(A13,"High")</f>
        <v>#VALUE!</v>
      </c>
      <c r="H13" s="23" t="e" vm="140">
        <f t="array" ref="H13">_FV(A13,"52 week low",TRUE)</f>
        <v>#VALUE!</v>
      </c>
      <c r="I13" s="23" t="e" vm="141">
        <f t="array" ref="I13">_FV(A13,"52 week high",TRUE)</f>
        <v>#VALUE!</v>
      </c>
      <c r="J13" s="24" t="e" vm="142">
        <f t="array" ref="J13">_FV(A13,"Change (%)",TRUE)</f>
        <v>#VALUE!</v>
      </c>
      <c r="K13" s="20" t="e" vm="143">
        <f t="array" ref="K13">_FV(A13,"Market cap",TRUE)/10000000</f>
        <v>#VALUE!</v>
      </c>
      <c r="L13" s="21" t="e" vm="135">
        <f t="shared" si="5"/>
        <v>#VALUE!</v>
      </c>
      <c r="M13" s="26" t="e" vm="48">
        <f t="array" ref="M13">_FV(A13,"Industry")</f>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19"/>
  <sheetViews>
    <sheetView workbookViewId="0">
      <selection activeCell="B2" sqref="B2"/>
    </sheetView>
  </sheetViews>
  <sheetFormatPr defaultRowHeight="15"/>
  <sheetData>
    <row r="2" spans="1:9" ht="30.75">
      <c r="A2" s="60" t="e" vm="148">
        <v>#VALUE!</v>
      </c>
      <c r="B2" s="33" t="e" vm="142">
        <f t="array" ref="B2">_FV(#REF!,"Change (%)",TRUE)</f>
        <v>#VALUE!</v>
      </c>
      <c r="C2" s="30" t="e" vm="136">
        <f t="array" ref="C2">_FV(#REF!,"Previous close",TRUE)</f>
        <v>#VALUE!</v>
      </c>
      <c r="D2" s="30" t="e" vm="137">
        <f t="array" ref="D2">_FV(#REF!,"Price")</f>
        <v>#VALUE!</v>
      </c>
      <c r="E2" s="30" t="e" vm="138">
        <f t="array" ref="E2">_FV(#REF!,"Low")</f>
        <v>#VALUE!</v>
      </c>
      <c r="F2" s="30" t="e" vm="139">
        <f t="array" ref="F2">_FV(#REF!,"High")</f>
        <v>#VALUE!</v>
      </c>
      <c r="G2" s="30" t="e" vm="140">
        <f t="array" ref="G2">_FV(#REF!,"52 week low",TRUE)</f>
        <v>#VALUE!</v>
      </c>
      <c r="H2" s="34" t="e" vm="141">
        <f t="array" ref="H2">_FV(#REF!,"52 week high",TRUE)</f>
        <v>#VALUE!</v>
      </c>
      <c r="I2" s="32" t="e" vm="135">
        <f t="shared" ref="I2:I7" si="0">(H2-D2)*100/H2</f>
        <v>#VALUE!</v>
      </c>
    </row>
    <row r="3" spans="1:9">
      <c r="A3" s="29" t="e">
        <v>#VALUE!</v>
      </c>
      <c r="B3" s="33" t="e" vm="142">
        <f t="array" ref="B3">_FV(A3,"Change (%)",TRUE)</f>
        <v>#VALUE!</v>
      </c>
      <c r="C3" s="30" t="e" vm="136">
        <f t="array" ref="C3">_FV(A3,"Previous close",TRUE)</f>
        <v>#VALUE!</v>
      </c>
      <c r="D3" s="30" t="e" vm="137">
        <f t="array" ref="D3">_FV(A3,"Price")</f>
        <v>#VALUE!</v>
      </c>
      <c r="E3" s="30" t="e" vm="138">
        <f t="array" ref="E3">_FV(A3,"Low")</f>
        <v>#VALUE!</v>
      </c>
      <c r="F3" s="30" t="e" vm="139">
        <f t="array" ref="F3">_FV(A3,"High")</f>
        <v>#VALUE!</v>
      </c>
      <c r="G3" s="30" t="e" vm="140">
        <f t="array" ref="G3">_FV(A3,"52 week low",TRUE)</f>
        <v>#VALUE!</v>
      </c>
      <c r="H3" s="34" t="e" vm="141">
        <f t="array" ref="H3">_FV(A3,"52 week high",TRUE)</f>
        <v>#VALUE!</v>
      </c>
      <c r="I3" s="32" t="e" vm="135">
        <f t="shared" si="0"/>
        <v>#VALUE!</v>
      </c>
    </row>
    <row r="4" spans="1:9">
      <c r="A4" s="29" t="e">
        <v>#VALUE!</v>
      </c>
      <c r="B4" s="33" t="e" vm="142">
        <f t="array" ref="B4">_FV(A4,"Change (%)",TRUE)</f>
        <v>#VALUE!</v>
      </c>
      <c r="C4" s="30" t="e" vm="136">
        <f t="array" ref="C4">_FV(A4,"Previous close",TRUE)</f>
        <v>#VALUE!</v>
      </c>
      <c r="D4" s="30" t="e" vm="137">
        <f t="array" ref="D4">_FV(A4,"Price")</f>
        <v>#VALUE!</v>
      </c>
      <c r="E4" s="30" t="e" vm="138">
        <f t="array" ref="E4">_FV(A4,"Low")</f>
        <v>#VALUE!</v>
      </c>
      <c r="F4" s="30" t="e" vm="139">
        <f t="array" ref="F4">_FV(A4,"High")</f>
        <v>#VALUE!</v>
      </c>
      <c r="G4" s="30" t="e" vm="140">
        <f t="array" ref="G4">_FV(A4,"52 week low",TRUE)</f>
        <v>#VALUE!</v>
      </c>
      <c r="H4" s="34" t="e" vm="141">
        <f t="array" ref="H4">_FV(A4,"52 week high",TRUE)</f>
        <v>#VALUE!</v>
      </c>
      <c r="I4" s="32" t="e" vm="135">
        <f t="shared" si="0"/>
        <v>#VALUE!</v>
      </c>
    </row>
    <row r="5" spans="1:9">
      <c r="A5" s="29" t="e">
        <v>#VALUE!</v>
      </c>
      <c r="B5" s="33" t="e" vm="142">
        <f t="array" ref="B5">_FV(A5,"Change (%)",TRUE)</f>
        <v>#VALUE!</v>
      </c>
      <c r="C5" s="30" t="e" vm="136">
        <f t="array" ref="C5">_FV(A5,"Previous close",TRUE)</f>
        <v>#VALUE!</v>
      </c>
      <c r="D5" s="30" t="e" vm="137">
        <f t="array" ref="D5">_FV(A5,"Price")</f>
        <v>#VALUE!</v>
      </c>
      <c r="E5" s="30" t="e" vm="138">
        <f t="array" ref="E5">_FV(A5,"Low")</f>
        <v>#VALUE!</v>
      </c>
      <c r="F5" s="30" t="e" vm="139">
        <f t="array" ref="F5">_FV(A5,"High")</f>
        <v>#VALUE!</v>
      </c>
      <c r="G5" s="30" t="e" vm="140">
        <f t="array" ref="G5">_FV(A5,"52 week low",TRUE)</f>
        <v>#VALUE!</v>
      </c>
      <c r="H5" s="34" t="e" vm="141">
        <f t="array" ref="H5">_FV(A5,"52 week high",TRUE)</f>
        <v>#VALUE!</v>
      </c>
      <c r="I5" s="32" t="e" vm="135">
        <f t="shared" si="0"/>
        <v>#VALUE!</v>
      </c>
    </row>
    <row r="6" spans="1:9">
      <c r="A6" s="29" t="e">
        <v>#VALUE!</v>
      </c>
      <c r="B6" s="33" t="e" vm="142">
        <f t="array" ref="B6">_FV(A6,"Change (%)",TRUE)</f>
        <v>#VALUE!</v>
      </c>
      <c r="C6" s="30" t="e" vm="136">
        <f t="array" ref="C6">_FV(A6,"Previous close",TRUE)</f>
        <v>#VALUE!</v>
      </c>
      <c r="D6" s="30" t="e" vm="137">
        <f t="array" ref="D6">_FV(A6,"Price")</f>
        <v>#VALUE!</v>
      </c>
      <c r="E6" s="30" t="e" vm="138">
        <f t="array" ref="E6">_FV(A6,"Low")</f>
        <v>#VALUE!</v>
      </c>
      <c r="F6" s="30" t="e" vm="139">
        <f t="array" ref="F6">_FV(A6,"High")</f>
        <v>#VALUE!</v>
      </c>
      <c r="G6" s="30" t="e" vm="140">
        <f t="array" ref="G6">_FV(A6,"52 week low",TRUE)</f>
        <v>#VALUE!</v>
      </c>
      <c r="H6" s="34" t="e" vm="141">
        <f t="array" ref="H6">_FV(A6,"52 week high",TRUE)</f>
        <v>#VALUE!</v>
      </c>
      <c r="I6" s="32" t="e" vm="135">
        <f t="shared" si="0"/>
        <v>#VALUE!</v>
      </c>
    </row>
    <row r="7" spans="1:9">
      <c r="A7" s="29" t="e">
        <v>#VALUE!</v>
      </c>
      <c r="B7" s="33" t="e" vm="142">
        <f t="array" ref="B7">_FV(A7,"Change (%)",TRUE)</f>
        <v>#VALUE!</v>
      </c>
      <c r="C7" s="30" t="e" vm="136">
        <f t="array" ref="C7">_FV(A7,"Previous close",TRUE)</f>
        <v>#VALUE!</v>
      </c>
      <c r="D7" s="30" t="e" vm="137">
        <f t="array" ref="D7">_FV(A7,"Price")</f>
        <v>#VALUE!</v>
      </c>
      <c r="E7" s="30" t="e" vm="138">
        <f t="array" ref="E7">_FV(A7,"Low")</f>
        <v>#VALUE!</v>
      </c>
      <c r="F7" s="30" t="e" vm="139">
        <f t="array" ref="F7">_FV(A7,"High")</f>
        <v>#VALUE!</v>
      </c>
      <c r="G7" s="30" t="e" vm="140">
        <f t="array" ref="G7">_FV(A7,"52 week low",TRUE)</f>
        <v>#VALUE!</v>
      </c>
      <c r="H7" s="34" t="e" vm="141">
        <f t="array" ref="H7">_FV(A7,"52 week high",TRUE)</f>
        <v>#VALUE!</v>
      </c>
      <c r="I7" s="32" t="e" vm="135">
        <f t="shared" si="0"/>
        <v>#VALUE!</v>
      </c>
    </row>
    <row r="8" spans="1:9">
      <c r="A8" s="60" t="e">
        <v>#VALUE!</v>
      </c>
    </row>
    <row r="9" spans="1:9">
      <c r="A9" s="60" t="e">
        <v>#VALUE!</v>
      </c>
    </row>
    <row r="10" spans="1:9">
      <c r="A10" s="60" t="e">
        <v>#VALUE!</v>
      </c>
    </row>
    <row r="12" spans="1:9">
      <c r="A12" s="60"/>
    </row>
    <row r="13" spans="1:9">
      <c r="A13" s="60"/>
    </row>
    <row r="14" spans="1:9">
      <c r="A14" s="60"/>
    </row>
    <row r="15" spans="1:9">
      <c r="A15" s="60"/>
    </row>
    <row r="16" spans="1:9">
      <c r="A16" s="60"/>
    </row>
    <row r="17" spans="1:1">
      <c r="A17" s="60"/>
    </row>
    <row r="18" spans="1:1">
      <c r="A18" s="60"/>
    </row>
    <row r="19" spans="1:1">
      <c r="A19" s="6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18"/>
  <sheetViews>
    <sheetView workbookViewId="0"/>
  </sheetViews>
  <sheetFormatPr defaultRowHeight="15"/>
  <cols>
    <col min="1" max="1" width="11.140625" bestFit="1" customWidth="1"/>
    <col min="2" max="2" width="16.140625" bestFit="1" customWidth="1"/>
  </cols>
  <sheetData>
    <row r="1" spans="1:6">
      <c r="A1" s="1" t="s">
        <v>29</v>
      </c>
      <c r="B1" t="s">
        <v>30</v>
      </c>
    </row>
    <row r="2" spans="1:6">
      <c r="A2" s="1" t="s">
        <v>11</v>
      </c>
      <c r="B2" t="s">
        <v>31</v>
      </c>
    </row>
    <row r="4" spans="1:6">
      <c r="A4" s="1" t="s">
        <v>26</v>
      </c>
      <c r="B4" t="s">
        <v>32</v>
      </c>
      <c r="C4" t="s">
        <v>33</v>
      </c>
      <c r="D4" t="s">
        <v>34</v>
      </c>
      <c r="E4" t="s">
        <v>35</v>
      </c>
      <c r="F4" t="s">
        <v>36</v>
      </c>
    </row>
    <row r="5" spans="1:6">
      <c r="A5" s="2" t="e">
        <v>#VALUE!</v>
      </c>
      <c r="B5" s="6">
        <v>948.65</v>
      </c>
      <c r="C5" s="6">
        <v>2174.1</v>
      </c>
      <c r="D5" s="6">
        <v>758</v>
      </c>
      <c r="E5" s="7">
        <v>56.365852536681842</v>
      </c>
      <c r="F5" s="7">
        <v>-25.15171503957783</v>
      </c>
    </row>
    <row r="6" spans="1:6">
      <c r="A6" s="2" t="e">
        <v>#VALUE!</v>
      </c>
      <c r="B6" s="6">
        <v>1519.95</v>
      </c>
      <c r="C6" s="6">
        <v>1652</v>
      </c>
      <c r="D6" s="6">
        <v>1077.5</v>
      </c>
      <c r="E6" s="7">
        <v>7.9933414043583513</v>
      </c>
      <c r="F6" s="7">
        <v>-41.062645011600935</v>
      </c>
    </row>
    <row r="7" spans="1:6">
      <c r="A7" s="2" t="e">
        <v>#VALUE!</v>
      </c>
      <c r="B7" s="6">
        <v>4177.45</v>
      </c>
      <c r="C7" s="6">
        <v>5674.75</v>
      </c>
      <c r="D7" s="6">
        <v>3046.05</v>
      </c>
      <c r="E7" s="7">
        <v>26.385303317326759</v>
      </c>
      <c r="F7" s="7">
        <v>-37.143185436877253</v>
      </c>
    </row>
    <row r="8" spans="1:6">
      <c r="A8" s="2" t="e">
        <v>#VALUE!</v>
      </c>
      <c r="B8" s="6">
        <v>1792.85</v>
      </c>
      <c r="C8" s="6">
        <v>2301.9</v>
      </c>
      <c r="D8" s="6">
        <v>1480.5</v>
      </c>
      <c r="E8" s="7">
        <v>22.114340327555503</v>
      </c>
      <c r="F8" s="7">
        <v>-21.097602161431944</v>
      </c>
    </row>
    <row r="9" spans="1:6">
      <c r="A9" s="2" t="e">
        <v>#VALUE!</v>
      </c>
      <c r="B9" s="6">
        <v>124.42</v>
      </c>
      <c r="C9" s="6">
        <v>229</v>
      </c>
      <c r="D9" s="6">
        <v>108.04</v>
      </c>
      <c r="E9" s="7">
        <v>45.668122270742359</v>
      </c>
      <c r="F9" s="7">
        <v>-15.16105146242132</v>
      </c>
    </row>
    <row r="10" spans="1:6">
      <c r="A10" s="2" t="e">
        <v>#VALUE!</v>
      </c>
      <c r="B10" s="6">
        <v>5115.3500000000004</v>
      </c>
      <c r="C10" s="6">
        <v>5190.3500000000004</v>
      </c>
      <c r="D10" s="6">
        <v>3302.35</v>
      </c>
      <c r="E10" s="7">
        <v>1.4449892589131752</v>
      </c>
      <c r="F10" s="7">
        <v>-54.90029827244237</v>
      </c>
    </row>
    <row r="11" spans="1:6">
      <c r="A11" s="2" t="e">
        <v>#VALUE!</v>
      </c>
      <c r="B11" s="6">
        <v>4491.3500000000004</v>
      </c>
      <c r="C11" s="6">
        <v>6767.95</v>
      </c>
      <c r="D11" s="6">
        <v>4239</v>
      </c>
      <c r="E11" s="7">
        <v>33.637955363145409</v>
      </c>
      <c r="F11" s="7">
        <v>-5.9530549657938279</v>
      </c>
    </row>
    <row r="12" spans="1:6">
      <c r="A12" s="2" t="e">
        <v>#VALUE!</v>
      </c>
      <c r="B12" s="6">
        <v>82.2</v>
      </c>
      <c r="C12" s="6">
        <v>118.4</v>
      </c>
      <c r="D12" s="6">
        <v>71</v>
      </c>
      <c r="E12" s="7">
        <v>30.574324324324326</v>
      </c>
      <c r="F12" s="7">
        <v>-15.774647887323948</v>
      </c>
    </row>
    <row r="13" spans="1:6">
      <c r="A13" s="2" t="e">
        <v>#VALUE!</v>
      </c>
      <c r="B13" s="6">
        <v>96.13</v>
      </c>
      <c r="C13" s="6">
        <v>142.9</v>
      </c>
      <c r="D13" s="6">
        <v>85.46</v>
      </c>
      <c r="E13" s="7">
        <v>32.729181245626314</v>
      </c>
      <c r="F13" s="7">
        <v>-12.48537327404634</v>
      </c>
    </row>
    <row r="14" spans="1:6">
      <c r="A14" s="2" t="e">
        <v>#VALUE!</v>
      </c>
      <c r="B14" s="6">
        <v>130.96</v>
      </c>
      <c r="C14" s="6">
        <v>216.99</v>
      </c>
      <c r="D14" s="6">
        <v>114.3</v>
      </c>
      <c r="E14" s="7">
        <v>39.646988340476518</v>
      </c>
      <c r="F14" s="7">
        <v>-14.575678040244979</v>
      </c>
    </row>
    <row r="15" spans="1:6">
      <c r="A15" s="2" t="e">
        <v>#VALUE!</v>
      </c>
      <c r="B15" s="6">
        <v>3227.95</v>
      </c>
      <c r="C15" s="6">
        <v>3590.7</v>
      </c>
      <c r="D15" s="6">
        <v>2505.3000000000002</v>
      </c>
      <c r="E15" s="7">
        <v>10.102486980254547</v>
      </c>
      <c r="F15" s="7">
        <v>-28.844848920288975</v>
      </c>
    </row>
    <row r="16" spans="1:6">
      <c r="A16" s="2" t="e">
        <v>#VALUE!</v>
      </c>
      <c r="B16" s="6">
        <v>2419.85</v>
      </c>
      <c r="C16" s="6">
        <v>2958</v>
      </c>
      <c r="D16" s="6">
        <v>1873</v>
      </c>
      <c r="E16" s="7">
        <v>18.193035835023668</v>
      </c>
      <c r="F16" s="7">
        <v>-29.196476241324074</v>
      </c>
    </row>
    <row r="17" spans="1:6">
      <c r="A17" s="2" t="e">
        <v>#VALUE!</v>
      </c>
      <c r="B17" s="6">
        <v>126.18</v>
      </c>
      <c r="C17" s="6">
        <v>172.5</v>
      </c>
      <c r="D17" s="6">
        <v>100.81</v>
      </c>
      <c r="E17" s="7">
        <v>26.852173913043472</v>
      </c>
      <c r="F17" s="7">
        <v>-25.166154151373874</v>
      </c>
    </row>
    <row r="18" spans="1:6">
      <c r="A18" s="2" t="s">
        <v>28</v>
      </c>
      <c r="B18" s="6">
        <v>24253.29</v>
      </c>
      <c r="C18" s="6">
        <v>31189.540000000005</v>
      </c>
      <c r="D18" s="6">
        <v>18761.310000000001</v>
      </c>
      <c r="E18" s="7">
        <v>351.70809511747228</v>
      </c>
      <c r="F18" s="7">
        <v>-326.51273086474765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51"/>
  <sheetViews>
    <sheetView topLeftCell="A55" workbookViewId="0">
      <selection activeCell="N3" sqref="N3"/>
    </sheetView>
  </sheetViews>
  <sheetFormatPr defaultColWidth="11.5703125" defaultRowHeight="15"/>
  <cols>
    <col min="1" max="1" width="37.28515625" customWidth="1"/>
    <col min="2" max="2" width="10" customWidth="1"/>
    <col min="9" max="9" width="20.42578125" customWidth="1"/>
    <col min="10" max="10" width="13.42578125" customWidth="1"/>
    <col min="11" max="11" width="15.5703125" customWidth="1"/>
    <col min="14" max="14" width="34.5703125" bestFit="1" customWidth="1"/>
  </cols>
  <sheetData>
    <row r="1" spans="1:14" ht="23.25">
      <c r="A1" s="91" t="s">
        <v>0</v>
      </c>
      <c r="B1" s="92" t="s">
        <v>1</v>
      </c>
      <c r="C1" s="93" t="s">
        <v>2</v>
      </c>
      <c r="D1" s="93" t="s">
        <v>3</v>
      </c>
      <c r="E1" s="93" t="s">
        <v>4</v>
      </c>
      <c r="F1" s="93" t="s">
        <v>5</v>
      </c>
      <c r="G1" s="93" t="s">
        <v>6</v>
      </c>
      <c r="H1" s="93" t="s">
        <v>7</v>
      </c>
      <c r="I1" s="93" t="s">
        <v>8</v>
      </c>
      <c r="J1" s="93" t="s">
        <v>9</v>
      </c>
      <c r="K1" s="93" t="s">
        <v>37</v>
      </c>
      <c r="L1" s="93" t="s">
        <v>10</v>
      </c>
      <c r="M1" s="93" t="s">
        <v>11</v>
      </c>
      <c r="N1" s="94" t="s">
        <v>12</v>
      </c>
    </row>
    <row r="2" spans="1:14">
      <c r="A2" s="95" t="e" vm="149">
        <v>#VALUE!</v>
      </c>
      <c r="B2" s="89">
        <f t="array" aca="1" ref="B2" ca="1">_FV(A2,"Change (%)",TRUE)</f>
        <v>-1.3812999999999999E-2</v>
      </c>
      <c r="C2" s="71">
        <f t="array" aca="1" ref="C2" ca="1">_FV(A2,"Previous close",TRUE)</f>
        <v>973.7</v>
      </c>
      <c r="D2" s="71">
        <f t="array" aca="1" ref="D2" ca="1">_FV(A2,"Price")</f>
        <v>960.25</v>
      </c>
      <c r="E2" s="71">
        <f t="array" aca="1" ref="E2" ca="1">_FV(A2,"Low")</f>
        <v>956.7</v>
      </c>
      <c r="F2" s="71">
        <f t="array" aca="1" ref="F2" ca="1">_FV(A2,"High")</f>
        <v>978.75</v>
      </c>
      <c r="G2" s="71">
        <f t="array" aca="1" ref="G2" ca="1">_FV(A2,"52 week low",TRUE)</f>
        <v>493.35</v>
      </c>
      <c r="H2" s="72">
        <f t="array" aca="1" ref="H2" ca="1">_FV(A2,"52 week high",TRUE)</f>
        <v>983.7</v>
      </c>
      <c r="I2" s="90">
        <f t="shared" ref="I2:I33" ca="1" si="0">(H2-D2)*100/H2</f>
        <v>2.3838568669309792</v>
      </c>
      <c r="J2" s="74" t="str">
        <f t="shared" ref="J2:J33" ca="1" si="1">IF(AND(M2="HLC", I2&gt;12), "SURE HLC BUY",IF(AND(M2="HLC", I2&gt;7), "FIRST HLC BUY",IF(AND(M2="LC", I2&gt;20), "SURE LC BUY",IF(AND(M2="LC", I2&gt;10), "LC BUY",IF(AND(M2="HMC", I2&gt;30), "SURE HMC BUY",IF(AND(M2="HMC", I2&gt;20), "HMC BUY",IF(AND(M2="HMC", I2&gt;15), "FIRST HMC BUY",IF(AND(M2="MC", I2&gt;40), "SURE MC BUY",IF(AND(M2="MC", I2&gt;30), "MC BUY",IF(AND(M2="MC", I2&gt;20), "FIRST MC BUY",IF(AND(M2="HSC", I2&gt;60), "SURE HSC BUY",IF(AND(M2="HSC", I2&gt;50), "HSC BUY",IF(AND(M2="HSC", I2&gt;40), "FIRST HSC BUY",IF(AND(M2="SC", I2&gt;70), "SURE SC BUY",IF(AND(M2="SC", I2&gt;60), "SC BUY",IF(AND(M2="SC", I2&gt;50), "FIRST SC BUY",IF(AND(M2="VSC", I2&gt;80), "SURE VSC BUY",IF(AND(M2="VSC", I2&gt;70), "VSC BUY",IF(AND(M2="VSC", I2&gt;60), "FIRST VSC BUY","WATCH")))))))))))))))))))</f>
        <v>WATCH</v>
      </c>
      <c r="K2" s="90">
        <f t="shared" ref="K2:K33" ca="1" si="2">(G2-D2)*100/G2</f>
        <v>-94.638694638694631</v>
      </c>
      <c r="L2" s="75">
        <f t="array" aca="1" ref="L2" ca="1">_FV(A2,"Market cap",TRUE)/10000000</f>
        <v>183188.2</v>
      </c>
      <c r="M2" s="76" t="str">
        <f t="shared" ref="M2:M33" ca="1" si="3">IF(L2&gt;500000,"HLC",IF(L2 &gt;100000,"LC",IF(L2 &gt;40000,"HMC",IF(L2 &gt;10000,"MC",IF(L2 &gt;=5000,"HSC",IF(L2 &gt;1000,"SC","VSC"))))))</f>
        <v>LC</v>
      </c>
      <c r="N2" s="96" t="str">
        <f t="array" aca="1" ref="N2" ca="1">_FV(A2,"Industry")</f>
        <v>Banking Services</v>
      </c>
    </row>
    <row r="3" spans="1:14">
      <c r="A3" s="95" t="e" vm="17">
        <v>#VALUE!</v>
      </c>
      <c r="B3" s="89">
        <f t="array" aca="1" ref="B3" ca="1">_FV(A3,"Change (%)",TRUE)</f>
        <v>-1.1565000000000001E-2</v>
      </c>
      <c r="C3" s="71">
        <f t="array" aca="1" ref="C3" ca="1">_FV(A3,"Previous close",TRUE)</f>
        <v>1011.7</v>
      </c>
      <c r="D3" s="71">
        <f t="array" aca="1" ref="D3" ca="1">_FV(A3,"Price")</f>
        <v>1000</v>
      </c>
      <c r="E3" s="71">
        <f t="array" aca="1" ref="E3" ca="1">_FV(A3,"Low")</f>
        <v>998</v>
      </c>
      <c r="F3" s="71">
        <f t="array" aca="1" ref="F3" ca="1">_FV(A3,"High")</f>
        <v>1011.7</v>
      </c>
      <c r="G3" s="71">
        <f t="array" aca="1" ref="G3" ca="1">_FV(A3,"52 week low",TRUE)</f>
        <v>678.28</v>
      </c>
      <c r="H3" s="72">
        <f t="array" aca="1" ref="H3" ca="1">_FV(A3,"52 week high",TRUE)</f>
        <v>1102.5</v>
      </c>
      <c r="I3" s="90">
        <f t="shared" ca="1" si="0"/>
        <v>9.2970521541950113</v>
      </c>
      <c r="J3" s="74" t="str">
        <f t="shared" ca="1" si="1"/>
        <v>FIRST HLC BUY</v>
      </c>
      <c r="K3" s="90">
        <f t="shared" ca="1" si="2"/>
        <v>-47.431739104794488</v>
      </c>
      <c r="L3" s="75">
        <f t="array" aca="1" ref="L3" ca="1">_FV(A3,"Market cap",TRUE)/10000000</f>
        <v>628785.19999999995</v>
      </c>
      <c r="M3" s="76" t="str">
        <f t="shared" ca="1" si="3"/>
        <v>HLC</v>
      </c>
      <c r="N3" s="96" t="str">
        <f t="array" aca="1" ref="N3" ca="1">_FV(A3,"Industry")</f>
        <v>Banking Services</v>
      </c>
    </row>
    <row r="4" spans="1:14">
      <c r="A4" s="95" t="e" vm="4">
        <v>#VALUE!</v>
      </c>
      <c r="B4" s="89">
        <f t="array" aca="1" ref="B4" ca="1">_FV(A4,"Change (%)",TRUE)</f>
        <v>3.2390000000000001E-3</v>
      </c>
      <c r="C4" s="71">
        <f t="array" aca="1" ref="C4" ca="1">_FV(A4,"Previous close",TRUE)</f>
        <v>2222.6999999999998</v>
      </c>
      <c r="D4" s="71">
        <f t="array" aca="1" ref="D4" ca="1">_FV(A4,"Price")</f>
        <v>2229.9</v>
      </c>
      <c r="E4" s="71">
        <f t="array" aca="1" ref="E4" ca="1">_FV(A4,"Low")</f>
        <v>2218</v>
      </c>
      <c r="F4" s="71">
        <f t="array" aca="1" ref="F4" ca="1">_FV(A4,"High")</f>
        <v>2250.9</v>
      </c>
      <c r="G4" s="71">
        <f t="array" aca="1" ref="G4" ca="1">_FV(A4,"52 week low",TRUE)</f>
        <v>1964.71</v>
      </c>
      <c r="H4" s="72">
        <f t="array" aca="1" ref="H4" ca="1">_FV(A4,"52 week high",TRUE)</f>
        <v>2612.7600000000002</v>
      </c>
      <c r="I4" s="90">
        <f t="shared" ca="1" si="0"/>
        <v>14.653469893905299</v>
      </c>
      <c r="J4" s="74" t="str">
        <f t="shared" ca="1" si="1"/>
        <v>LC BUY</v>
      </c>
      <c r="K4" s="90">
        <f t="shared" ca="1" si="2"/>
        <v>-13.497666322256213</v>
      </c>
      <c r="L4" s="75">
        <f t="array" aca="1" ref="L4" ca="1">_FV(A4,"Market cap",TRUE)/10000000</f>
        <v>275121.09999999998</v>
      </c>
      <c r="M4" s="76" t="str">
        <f t="shared" ca="1" si="3"/>
        <v>LC</v>
      </c>
      <c r="N4" s="96" t="str">
        <f t="array" aca="1" ref="N4" ca="1">_FV(A4,"Industry")</f>
        <v>Diversified Industrial Goods Wholesale</v>
      </c>
    </row>
    <row r="5" spans="1:14">
      <c r="A5" s="95" t="e" vm="119">
        <v>#VALUE!</v>
      </c>
      <c r="B5" s="89">
        <f t="array" aca="1" ref="B5" ca="1">_FV(A5,"Change (%)",TRUE)</f>
        <v>-5.5859999999999998E-3</v>
      </c>
      <c r="C5" s="71">
        <f t="array" aca="1" ref="C5" ca="1">_FV(A5,"Previous close",TRUE)</f>
        <v>170.07</v>
      </c>
      <c r="D5" s="71">
        <f t="array" aca="1" ref="D5" ca="1">_FV(A5,"Price")</f>
        <v>169.12</v>
      </c>
      <c r="E5" s="71">
        <f t="array" aca="1" ref="E5" ca="1">_FV(A5,"Low")</f>
        <v>167.82</v>
      </c>
      <c r="F5" s="71">
        <f t="array" aca="1" ref="F5" ca="1">_FV(A5,"High")</f>
        <v>169.9</v>
      </c>
      <c r="G5" s="71">
        <f t="array" aca="1" ref="G5" ca="1">_FV(A5,"52 week low",TRUE)</f>
        <v>122.62</v>
      </c>
      <c r="H5" s="72">
        <f t="array" aca="1" ref="H5" ca="1">_FV(A5,"52 week high",TRUE)</f>
        <v>186.94</v>
      </c>
      <c r="I5" s="90">
        <f t="shared" ca="1" si="0"/>
        <v>9.5324703113298348</v>
      </c>
      <c r="J5" s="74" t="str">
        <f t="shared" ca="1" si="1"/>
        <v>WATCH</v>
      </c>
      <c r="K5" s="90">
        <f t="shared" ca="1" si="2"/>
        <v>-37.92203555700538</v>
      </c>
      <c r="L5" s="75">
        <f t="array" aca="1" ref="L5" ca="1">_FV(A5,"Market cap",TRUE)/10000000</f>
        <v>212307.4</v>
      </c>
      <c r="M5" s="76" t="str">
        <f t="shared" ca="1" si="3"/>
        <v>LC</v>
      </c>
      <c r="N5" s="96" t="str">
        <f t="array" aca="1" ref="N5" ca="1">_FV(A5,"Industry")</f>
        <v>Metals &amp; Mining</v>
      </c>
    </row>
    <row r="6" spans="1:14">
      <c r="A6" s="95" t="e" vm="150">
        <v>#VALUE!</v>
      </c>
      <c r="B6" s="89">
        <f t="array" aca="1" ref="B6" ca="1">_FV(A6,"Change (%)",TRUE)</f>
        <v>-8.8909999999999996E-3</v>
      </c>
      <c r="C6" s="71">
        <f t="array" aca="1" ref="C6" ca="1">_FV(A6,"Previous close",TRUE)</f>
        <v>2035.7</v>
      </c>
      <c r="D6" s="71">
        <f t="array" aca="1" ref="D6" ca="1">_FV(A6,"Price")</f>
        <v>2017.6</v>
      </c>
      <c r="E6" s="71">
        <f t="array" aca="1" ref="E6" ca="1">_FV(A6,"Low")</f>
        <v>2005.4</v>
      </c>
      <c r="F6" s="71">
        <f t="array" aca="1" ref="F6" ca="1">_FV(A6,"High")</f>
        <v>2035.7</v>
      </c>
      <c r="G6" s="71">
        <f t="array" aca="1" ref="G6" ca="1">_FV(A6,"52 week low",TRUE)</f>
        <v>1551.65</v>
      </c>
      <c r="H6" s="72">
        <f t="array" aca="1" ref="H6" ca="1">_FV(A6,"52 week high",TRUE)</f>
        <v>2195</v>
      </c>
      <c r="I6" s="90">
        <f t="shared" ca="1" si="0"/>
        <v>8.0820045558086591</v>
      </c>
      <c r="J6" s="74" t="str">
        <f t="shared" ca="1" si="1"/>
        <v>WATCH</v>
      </c>
      <c r="K6" s="90">
        <f t="shared" ca="1" si="2"/>
        <v>-30.029323623239765</v>
      </c>
      <c r="L6" s="75">
        <f t="array" aca="1" ref="L6" ca="1">_FV(A6,"Market cap",TRUE)/10000000</f>
        <v>325033.3</v>
      </c>
      <c r="M6" s="76" t="str">
        <f t="shared" ca="1" si="3"/>
        <v>LC</v>
      </c>
      <c r="N6" s="96" t="str">
        <f t="array" aca="1" ref="N6" ca="1">_FV(A6,"Industry")</f>
        <v>Banking Services</v>
      </c>
    </row>
    <row r="7" spans="1:14">
      <c r="A7" s="95" t="e" vm="151">
        <v>#VALUE!</v>
      </c>
      <c r="B7" s="89">
        <f t="array" aca="1" ref="B7" ca="1">_FV(A7,"Change (%)",TRUE)</f>
        <v>-9.134999999999999E-3</v>
      </c>
      <c r="C7" s="71">
        <f t="array" aca="1" ref="C7" ca="1">_FV(A7,"Previous close",TRUE)</f>
        <v>755.35</v>
      </c>
      <c r="D7" s="71">
        <f t="array" aca="1" ref="D7" ca="1">_FV(A7,"Price")</f>
        <v>748.45</v>
      </c>
      <c r="E7" s="71">
        <f t="array" aca="1" ref="E7" ca="1">_FV(A7,"Low")</f>
        <v>745.65</v>
      </c>
      <c r="F7" s="71">
        <f t="array" aca="1" ref="F7" ca="1">_FV(A7,"High")</f>
        <v>755</v>
      </c>
      <c r="G7" s="71">
        <f t="array" aca="1" ref="G7" ca="1">_FV(A7,"52 week low",TRUE)</f>
        <v>584.29999999999995</v>
      </c>
      <c r="H7" s="72">
        <f t="array" aca="1" ref="H7" ca="1">_FV(A7,"52 week high",TRUE)</f>
        <v>820.75</v>
      </c>
      <c r="I7" s="90">
        <f t="shared" ca="1" si="0"/>
        <v>8.8090161437709362</v>
      </c>
      <c r="J7" s="74" t="str">
        <f t="shared" ca="1" si="1"/>
        <v>WATCH</v>
      </c>
      <c r="K7" s="90">
        <f t="shared" ca="1" si="2"/>
        <v>-28.093445148040406</v>
      </c>
      <c r="L7" s="75">
        <f t="array" aca="1" ref="L7" ca="1">_FV(A7,"Market cap",TRUE)/10000000</f>
        <v>162934.70000000001</v>
      </c>
      <c r="M7" s="76" t="str">
        <f t="shared" ca="1" si="3"/>
        <v>LC</v>
      </c>
      <c r="N7" s="97" t="str">
        <f t="array" aca="1" ref="N7" ca="1">_FV(A7,"Industry")</f>
        <v>Insurance</v>
      </c>
    </row>
    <row r="8" spans="1:14">
      <c r="A8" s="95" t="e" vm="81">
        <v>#VALUE!</v>
      </c>
      <c r="B8" s="89">
        <f t="array" aca="1" ref="B8" ca="1">_FV(A8,"Change (%)",TRUE)</f>
        <v>-3.7399999999999998E-3</v>
      </c>
      <c r="C8" s="71">
        <f t="array" aca="1" ref="C8" ca="1">_FV(A8,"Previous close",TRUE)</f>
        <v>3636.7</v>
      </c>
      <c r="D8" s="71">
        <f t="array" aca="1" ref="D8" ca="1">_FV(A8,"Price")</f>
        <v>3623.1</v>
      </c>
      <c r="E8" s="71">
        <f t="array" aca="1" ref="E8" ca="1">_FV(A8,"Low")</f>
        <v>3614.6</v>
      </c>
      <c r="F8" s="71">
        <f t="array" aca="1" ref="F8" ca="1">_FV(A8,"High")</f>
        <v>3647</v>
      </c>
      <c r="G8" s="71">
        <f t="array" aca="1" ref="G8" ca="1">_FV(A8,"52 week low",TRUE)</f>
        <v>2425</v>
      </c>
      <c r="H8" s="72">
        <f t="array" aca="1" ref="H8" ca="1">_FV(A8,"52 week high",TRUE)</f>
        <v>3795</v>
      </c>
      <c r="I8" s="90">
        <f t="shared" ca="1" si="0"/>
        <v>4.5296442687747058</v>
      </c>
      <c r="J8" s="74" t="str">
        <f t="shared" ca="1" si="1"/>
        <v>WATCH</v>
      </c>
      <c r="K8" s="90">
        <f t="shared" ca="1" si="2"/>
        <v>-49.406185567010304</v>
      </c>
      <c r="L8" s="75">
        <f t="array" aca="1" ref="L8" ca="1">_FV(A8,"Market cap",TRUE)/10000000</f>
        <v>436420.9</v>
      </c>
      <c r="M8" s="76" t="str">
        <f t="shared" ca="1" si="3"/>
        <v>LC</v>
      </c>
      <c r="N8" s="96" t="str">
        <f t="array" aca="1" ref="N8" ca="1">_FV(A8,"Industry")</f>
        <v>Automobiles &amp; Auto Parts</v>
      </c>
    </row>
    <row r="9" spans="1:14">
      <c r="A9" s="95" t="e" vm="52">
        <v>#VALUE!</v>
      </c>
      <c r="B9" s="89">
        <f t="array" aca="1" ref="B9" ca="1">_FV(A9,"Change (%)",TRUE)</f>
        <v>-6.9129999999999999E-3</v>
      </c>
      <c r="C9" s="71">
        <f t="array" aca="1" ref="C9" ca="1">_FV(A9,"Previous close",TRUE)</f>
        <v>1359.8</v>
      </c>
      <c r="D9" s="71">
        <f t="array" aca="1" ref="D9" ca="1">_FV(A9,"Price")</f>
        <v>1350.4</v>
      </c>
      <c r="E9" s="71">
        <f t="array" aca="1" ref="E9" ca="1">_FV(A9,"Low")</f>
        <v>1348.5</v>
      </c>
      <c r="F9" s="71">
        <f t="array" aca="1" ref="F9" ca="1">_FV(A9,"High")</f>
        <v>1362</v>
      </c>
      <c r="G9" s="71">
        <f t="array" aca="1" ref="G9" ca="1">_FV(A9,"52 week low",TRUE)</f>
        <v>1186</v>
      </c>
      <c r="H9" s="72">
        <f t="array" aca="1" ref="H9" ca="1">_FV(A9,"52 week high",TRUE)</f>
        <v>1500</v>
      </c>
      <c r="I9" s="90">
        <f t="shared" ca="1" si="0"/>
        <v>9.9733333333333274</v>
      </c>
      <c r="J9" s="74" t="str">
        <f t="shared" ca="1" si="1"/>
        <v>FIRST HLC BUY</v>
      </c>
      <c r="K9" s="90">
        <f t="shared" ca="1" si="2"/>
        <v>-13.861720067453632</v>
      </c>
      <c r="L9" s="75">
        <f t="array" aca="1" ref="L9" ca="1">_FV(A9,"Market cap",TRUE)/10000000</f>
        <v>971901.1</v>
      </c>
      <c r="M9" s="76" t="str">
        <f t="shared" ca="1" si="3"/>
        <v>HLC</v>
      </c>
      <c r="N9" s="96" t="str">
        <f t="array" aca="1" ref="N9" ca="1">_FV(A9,"Industry")</f>
        <v>Banking Services</v>
      </c>
    </row>
    <row r="10" spans="1:14">
      <c r="A10" s="95" t="e" vm="103">
        <v>#VALUE!</v>
      </c>
      <c r="B10" s="89">
        <f t="array" aca="1" ref="B10" ca="1">_FV(A10,"Change (%)",TRUE)</f>
        <v>-3.1099999999999999E-3</v>
      </c>
      <c r="C10" s="71">
        <f t="array" aca="1" ref="C10" ca="1">_FV(A10,"Previous close",TRUE)</f>
        <v>2025.4</v>
      </c>
      <c r="D10" s="71">
        <f t="array" aca="1" ref="D10" ca="1">_FV(A10,"Price")</f>
        <v>2019.1</v>
      </c>
      <c r="E10" s="71">
        <f t="array" aca="1" ref="E10" ca="1">_FV(A10,"Low")</f>
        <v>2004.1</v>
      </c>
      <c r="F10" s="71">
        <f t="array" aca="1" ref="F10" ca="1">_FV(A10,"High")</f>
        <v>2034.9</v>
      </c>
      <c r="G10" s="71">
        <f t="array" aca="1" ref="G10" ca="1">_FV(A10,"52 week low",TRUE)</f>
        <v>1372.55</v>
      </c>
      <c r="H10" s="72">
        <f t="array" aca="1" ref="H10" ca="1">_FV(A10,"52 week high",TRUE)</f>
        <v>2086.6</v>
      </c>
      <c r="I10" s="90">
        <f t="shared" ca="1" si="0"/>
        <v>3.234927633470718</v>
      </c>
      <c r="J10" s="74" t="str">
        <f t="shared" ca="1" si="1"/>
        <v>WATCH</v>
      </c>
      <c r="K10" s="90">
        <f t="shared" ca="1" si="2"/>
        <v>-47.105752067319948</v>
      </c>
      <c r="L10" s="75">
        <f t="array" aca="1" ref="L10" ca="1">_FV(A10,"Market cap",TRUE)/10000000</f>
        <v>203113.2</v>
      </c>
      <c r="M10" s="76" t="str">
        <f t="shared" ca="1" si="3"/>
        <v>LC</v>
      </c>
      <c r="N10" s="97" t="str">
        <f t="array" aca="1" ref="N10" ca="1">_FV(A10,"Industry")</f>
        <v>Insurance</v>
      </c>
    </row>
    <row r="11" spans="1:14">
      <c r="A11" s="95" t="e" vm="152">
        <v>#VALUE!</v>
      </c>
      <c r="B11" s="89">
        <f t="array" aca="1" ref="B11" ca="1">_FV(A11,"Change (%)",TRUE)</f>
        <v>-3.875E-3</v>
      </c>
      <c r="C11" s="71">
        <f t="array" aca="1" ref="C11" ca="1">_FV(A11,"Previous close",TRUE)</f>
        <v>400</v>
      </c>
      <c r="D11" s="71">
        <f t="array" aca="1" ref="D11" ca="1">_FV(A11,"Price")</f>
        <v>398.45</v>
      </c>
      <c r="E11" s="71">
        <f t="array" aca="1" ref="E11" ca="1">_FV(A11,"Low")</f>
        <v>397.15</v>
      </c>
      <c r="F11" s="71">
        <f t="array" aca="1" ref="F11" ca="1">_FV(A11,"High")</f>
        <v>407.55</v>
      </c>
      <c r="G11" s="71">
        <f t="array" aca="1" ref="G11" ca="1">_FV(A11,"52 week low",TRUE)</f>
        <v>240.25</v>
      </c>
      <c r="H11" s="72">
        <f t="array" aca="1" ref="H11" ca="1">_FV(A11,"52 week high",TRUE)</f>
        <v>436</v>
      </c>
      <c r="I11" s="90">
        <f t="shared" ca="1" si="0"/>
        <v>8.6123853211009198</v>
      </c>
      <c r="J11" s="74" t="str">
        <f t="shared" ca="1" si="1"/>
        <v>WATCH</v>
      </c>
      <c r="K11" s="90">
        <f t="shared" ca="1" si="2"/>
        <v>-65.848074921956282</v>
      </c>
      <c r="L11" s="75">
        <f t="array" aca="1" ref="L11" ca="1">_FV(A11,"Market cap",TRUE)/10000000</f>
        <v>292391.2</v>
      </c>
      <c r="M11" s="76" t="str">
        <f t="shared" ca="1" si="3"/>
        <v>LC</v>
      </c>
      <c r="N11" s="96" t="str">
        <f t="array" aca="1" ref="N11" ca="1">_FV(A11,"Industry")</f>
        <v>Aerospace &amp; Defense</v>
      </c>
    </row>
    <row r="12" spans="1:14">
      <c r="A12" s="95" t="e" vm="153">
        <v>#VALUE!</v>
      </c>
      <c r="B12" s="89">
        <f t="array" aca="1" ref="B12" ca="1">_FV(A12,"Change (%)",TRUE)</f>
        <v>1.573E-3</v>
      </c>
      <c r="C12" s="71">
        <f t="array" aca="1" ref="C12" ca="1">_FV(A12,"Previous close",TRUE)</f>
        <v>7312.5</v>
      </c>
      <c r="D12" s="71">
        <f t="array" aca="1" ref="D12" ca="1">_FV(A12,"Price")</f>
        <v>7324</v>
      </c>
      <c r="E12" s="71">
        <f t="array" aca="1" ref="E12" ca="1">_FV(A12,"Low")</f>
        <v>7274</v>
      </c>
      <c r="F12" s="71">
        <f t="array" aca="1" ref="F12" ca="1">_FV(A12,"High")</f>
        <v>7360</v>
      </c>
      <c r="G12" s="71">
        <f t="array" aca="1" ref="G12" ca="1">_FV(A12,"52 week low",TRUE)</f>
        <v>4646</v>
      </c>
      <c r="H12" s="72">
        <f t="array" aca="1" ref="H12" ca="1">_FV(A12,"52 week high",TRUE)</f>
        <v>7360</v>
      </c>
      <c r="I12" s="90">
        <f t="shared" ca="1" si="0"/>
        <v>0.4891304347826087</v>
      </c>
      <c r="J12" s="74" t="str">
        <f t="shared" ca="1" si="1"/>
        <v>WATCH</v>
      </c>
      <c r="K12" s="90">
        <f t="shared" ca="1" si="2"/>
        <v>-57.640981489453296</v>
      </c>
      <c r="L12" s="75">
        <f t="array" aca="1" ref="L12" ca="1">_FV(A12,"Market cap",TRUE)/10000000</f>
        <v>200581.3</v>
      </c>
      <c r="M12" s="76" t="str">
        <f t="shared" ca="1" si="3"/>
        <v>LC</v>
      </c>
      <c r="N12" s="96" t="str">
        <f t="array" aca="1" ref="N12" ca="1">_FV(A12,"Industry")</f>
        <v>Automobiles &amp; Auto Parts</v>
      </c>
    </row>
    <row r="13" spans="1:14">
      <c r="A13" s="95" t="e" vm="154">
        <v>#VALUE!</v>
      </c>
      <c r="B13" s="89">
        <f t="array" aca="1" ref="B13" ca="1">_FV(A13,"Change (%)",TRUE)</f>
        <v>-6.5659999999999998E-3</v>
      </c>
      <c r="C13" s="71">
        <f t="array" aca="1" ref="C13" ca="1">_FV(A13,"Previous close",TRUE)</f>
        <v>1081.4000000000001</v>
      </c>
      <c r="D13" s="71">
        <f t="array" aca="1" ref="D13" ca="1">_FV(A13,"Price")</f>
        <v>1074.3</v>
      </c>
      <c r="E13" s="71">
        <f t="array" aca="1" ref="E13" ca="1">_FV(A13,"Low")</f>
        <v>1068.4000000000001</v>
      </c>
      <c r="F13" s="71">
        <f t="array" aca="1" ref="F13" ca="1">_FV(A13,"High")</f>
        <v>1083.3</v>
      </c>
      <c r="G13" s="71">
        <f t="array" aca="1" ref="G13" ca="1">_FV(A13,"52 week low",TRUE)</f>
        <v>940.05</v>
      </c>
      <c r="H13" s="72">
        <f t="array" aca="1" ref="H13" ca="1">_FV(A13,"52 week high",TRUE)</f>
        <v>1314.3</v>
      </c>
      <c r="I13" s="90">
        <f t="shared" ca="1" si="0"/>
        <v>18.260671079662178</v>
      </c>
      <c r="J13" s="74" t="str">
        <f t="shared" ca="1" si="1"/>
        <v>LC BUY</v>
      </c>
      <c r="K13" s="90">
        <f t="shared" ca="1" si="2"/>
        <v>-14.281155257699059</v>
      </c>
      <c r="L13" s="75">
        <f t="array" aca="1" ref="L13" ca="1">_FV(A13,"Market cap",TRUE)/10000000</f>
        <v>105195.3</v>
      </c>
      <c r="M13" s="76" t="str">
        <f t="shared" ca="1" si="3"/>
        <v>LC</v>
      </c>
      <c r="N13" s="97" t="str">
        <f t="array" aca="1" ref="N13" ca="1">_FV(A13,"Industry")</f>
        <v>Healthcare Providers &amp; Services</v>
      </c>
    </row>
    <row r="14" spans="1:14">
      <c r="A14" s="95" t="e" vm="155">
        <v>#VALUE!</v>
      </c>
      <c r="B14" s="89">
        <f t="array" aca="1" ref="B14" ca="1">_FV(A14,"Change (%)",TRUE)</f>
        <v>-3.2540000000000004E-3</v>
      </c>
      <c r="C14" s="71">
        <f t="array" aca="1" ref="C14" ca="1">_FV(A14,"Previous close",TRUE)</f>
        <v>2826.9</v>
      </c>
      <c r="D14" s="71">
        <f t="array" aca="1" ref="D14" ca="1">_FV(A14,"Price")</f>
        <v>2817.7</v>
      </c>
      <c r="E14" s="71">
        <f t="array" aca="1" ref="E14" ca="1">_FV(A14,"Low")</f>
        <v>2809.3</v>
      </c>
      <c r="F14" s="71">
        <f t="array" aca="1" ref="F14" ca="1">_FV(A14,"High")</f>
        <v>2840.4</v>
      </c>
      <c r="G14" s="71">
        <f t="array" aca="1" ref="G14" ca="1">_FV(A14,"52 week low",TRUE)</f>
        <v>2276.9499999999998</v>
      </c>
      <c r="H14" s="72">
        <f t="array" aca="1" ref="H14" ca="1">_FV(A14,"52 week high",TRUE)</f>
        <v>2977.8</v>
      </c>
      <c r="I14" s="90">
        <f t="shared" ca="1" si="0"/>
        <v>5.3764524145342314</v>
      </c>
      <c r="J14" s="74" t="str">
        <f t="shared" ca="1" si="1"/>
        <v>WATCH</v>
      </c>
      <c r="K14" s="90">
        <f t="shared" ca="1" si="2"/>
        <v>-23.748874591009905</v>
      </c>
      <c r="L14" s="75">
        <f t="array" aca="1" ref="L14" ca="1">_FV(A14,"Market cap",TRUE)/10000000</f>
        <v>191165.6</v>
      </c>
      <c r="M14" s="76" t="str">
        <f t="shared" ca="1" si="3"/>
        <v>LC</v>
      </c>
      <c r="N14" s="97" t="str">
        <f t="array" aca="1" ref="N14" ca="1">_FV(A14,"Industry")</f>
        <v>Construction Materials</v>
      </c>
    </row>
    <row r="15" spans="1:14">
      <c r="A15" s="95" t="e" vm="156">
        <v>#VALUE!</v>
      </c>
      <c r="B15" s="89">
        <f t="array" aca="1" ref="B15" ca="1">_FV(A15,"Change (%)",TRUE)</f>
        <v>-4.8180000000000002E-3</v>
      </c>
      <c r="C15" s="71">
        <f t="array" aca="1" ref="C15" ca="1">_FV(A15,"Previous close",TRUE)</f>
        <v>1494.3</v>
      </c>
      <c r="D15" s="71">
        <f t="array" aca="1" ref="D15" ca="1">_FV(A15,"Price")</f>
        <v>1487.1</v>
      </c>
      <c r="E15" s="71">
        <f t="array" aca="1" ref="E15" ca="1">_FV(A15,"Low")</f>
        <v>1485</v>
      </c>
      <c r="F15" s="71">
        <f t="array" aca="1" ref="F15" ca="1">_FV(A15,"High")</f>
        <v>1501.4</v>
      </c>
      <c r="G15" s="71">
        <f t="array" aca="1" ref="G15" ca="1">_FV(A15,"52 week low",TRUE)</f>
        <v>1010.75</v>
      </c>
      <c r="H15" s="72">
        <f t="array" aca="1" ref="H15" ca="1">_FV(A15,"52 week high",TRUE)</f>
        <v>1549</v>
      </c>
      <c r="I15" s="90">
        <f t="shared" ca="1" si="0"/>
        <v>3.9961265332472622</v>
      </c>
      <c r="J15" s="74" t="str">
        <f t="shared" ca="1" si="1"/>
        <v>WATCH</v>
      </c>
      <c r="K15" s="90">
        <f t="shared" ca="1" si="2"/>
        <v>-47.12837002226069</v>
      </c>
      <c r="L15" s="75">
        <f t="array" aca="1" ref="L15" ca="1">_FV(A15,"Market cap",TRUE)/10000000</f>
        <v>344280.6</v>
      </c>
      <c r="M15" s="76" t="str">
        <f t="shared" ca="1" si="3"/>
        <v>LC</v>
      </c>
      <c r="N15" s="97" t="str">
        <f t="array" aca="1" ref="N15" ca="1">_FV(A15,"Industry")</f>
        <v>Transport Infrastructure</v>
      </c>
    </row>
    <row r="16" spans="1:14">
      <c r="A16" s="95" t="e" vm="57">
        <v>#VALUE!</v>
      </c>
      <c r="B16" s="89">
        <f t="array" aca="1" ref="B16" ca="1">_FV(A16,"Change (%)",TRUE)</f>
        <v>-4.3890000000000005E-3</v>
      </c>
      <c r="C16" s="71">
        <f t="array" aca="1" ref="C16" ca="1">_FV(A16,"Previous close",TRUE)</f>
        <v>1663.4</v>
      </c>
      <c r="D16" s="71">
        <f t="array" aca="1" ref="D16" ca="1">_FV(A16,"Price")</f>
        <v>1656.1</v>
      </c>
      <c r="E16" s="71">
        <f t="array" aca="1" ref="E16" ca="1">_FV(A16,"Low")</f>
        <v>1651.7</v>
      </c>
      <c r="F16" s="71">
        <f t="array" aca="1" ref="F16" ca="1">_FV(A16,"High")</f>
        <v>1668.8</v>
      </c>
      <c r="G16" s="71">
        <f t="array" aca="1" ref="G16" ca="1">_FV(A16,"52 week low",TRUE)</f>
        <v>1307</v>
      </c>
      <c r="H16" s="72">
        <f t="array" aca="1" ref="H16" ca="1">_FV(A16,"52 week high",TRUE)</f>
        <v>1982.8</v>
      </c>
      <c r="I16" s="90">
        <f t="shared" ca="1" si="0"/>
        <v>16.476699616703655</v>
      </c>
      <c r="J16" s="74" t="str">
        <f t="shared" ca="1" si="1"/>
        <v>SURE HLC BUY</v>
      </c>
      <c r="K16" s="90">
        <f t="shared" ca="1" si="2"/>
        <v>-26.710022953328227</v>
      </c>
      <c r="L16" s="75">
        <f t="array" aca="1" ref="L16" ca="1">_FV(A16,"Market cap",TRUE)/10000000</f>
        <v>669987.9</v>
      </c>
      <c r="M16" s="76" t="str">
        <f t="shared" ca="1" si="3"/>
        <v>HLC</v>
      </c>
      <c r="N16" s="97" t="str">
        <f t="array" aca="1" ref="N16" ca="1">_FV(A16,"Industry")</f>
        <v>Software &amp; IT Services</v>
      </c>
    </row>
    <row r="17" spans="1:14">
      <c r="A17" s="95" t="e" vm="27">
        <v>#VALUE!</v>
      </c>
      <c r="B17" s="89">
        <f t="array" aca="1" ref="B17" ca="1">_FV(A17,"Change (%)",TRUE)</f>
        <v>-4.9709999999999999E-4</v>
      </c>
      <c r="C17" s="71">
        <f t="array" aca="1" ref="C17" ca="1">_FV(A17,"Previous close",TRUE)</f>
        <v>402.35</v>
      </c>
      <c r="D17" s="71">
        <f t="array" aca="1" ref="D17" ca="1">_FV(A17,"Price")</f>
        <v>402.15</v>
      </c>
      <c r="E17" s="71">
        <f t="array" aca="1" ref="E17" ca="1">_FV(A17,"Low")</f>
        <v>400.6</v>
      </c>
      <c r="F17" s="71">
        <f t="array" aca="1" ref="F17" ca="1">_FV(A17,"High")</f>
        <v>408.4</v>
      </c>
      <c r="G17" s="71">
        <f t="array" aca="1" ref="G17" ca="1">_FV(A17,"52 week low",TRUE)</f>
        <v>349.25</v>
      </c>
      <c r="H17" s="72">
        <f t="array" aca="1" ref="H17" ca="1">_FV(A17,"52 week high",TRUE)</f>
        <v>417.25</v>
      </c>
      <c r="I17" s="90">
        <f t="shared" ca="1" si="0"/>
        <v>3.618933493109652</v>
      </c>
      <c r="J17" s="74" t="str">
        <f t="shared" ca="1" si="1"/>
        <v>WATCH</v>
      </c>
      <c r="K17" s="90">
        <f t="shared" ca="1" si="2"/>
        <v>-15.146743020758764</v>
      </c>
      <c r="L17" s="75">
        <f t="array" aca="1" ref="L17" ca="1">_FV(A17,"Market cap",TRUE)/10000000</f>
        <v>247834.1</v>
      </c>
      <c r="M17" s="76" t="str">
        <f t="shared" ca="1" si="3"/>
        <v>LC</v>
      </c>
      <c r="N17" s="96" t="str">
        <f t="array" aca="1" ref="N17" ca="1">_FV(A17,"Industry")</f>
        <v>Coal</v>
      </c>
    </row>
    <row r="18" spans="1:14">
      <c r="A18" s="95" t="e" vm="157">
        <v>#VALUE!</v>
      </c>
      <c r="B18" s="89">
        <f t="array" aca="1" ref="B18" ca="1">_FV(A18,"Change (%)",TRUE)</f>
        <v>4.8050000000000002E-3</v>
      </c>
      <c r="C18" s="71">
        <f t="array" aca="1" ref="C18" ca="1">_FV(A18,"Previous close",TRUE)</f>
        <v>322.55</v>
      </c>
      <c r="D18" s="71">
        <f t="array" aca="1" ref="D18" ca="1">_FV(A18,"Price")</f>
        <v>324.10000000000002</v>
      </c>
      <c r="E18" s="71">
        <f t="array" aca="1" ref="E18" ca="1">_FV(A18,"Low")</f>
        <v>322.3</v>
      </c>
      <c r="F18" s="71">
        <f t="array" aca="1" ref="F18" ca="1">_FV(A18,"High")</f>
        <v>325.75</v>
      </c>
      <c r="G18" s="71">
        <f t="array" aca="1" ref="G18" ca="1">_FV(A18,"52 week low",TRUE)</f>
        <v>292.8</v>
      </c>
      <c r="H18" s="72">
        <f t="array" aca="1" ref="H18" ca="1">_FV(A18,"52 week high",TRUE)</f>
        <v>371.45</v>
      </c>
      <c r="I18" s="90">
        <f t="shared" ca="1" si="0"/>
        <v>12.747341499528863</v>
      </c>
      <c r="J18" s="74" t="str">
        <f t="shared" ca="1" si="1"/>
        <v>LC BUY</v>
      </c>
      <c r="K18" s="90">
        <f t="shared" ca="1" si="2"/>
        <v>-10.689890710382516</v>
      </c>
      <c r="L18" s="75">
        <f t="array" aca="1" ref="L18" ca="1">_FV(A18,"Market cap",TRUE)/10000000</f>
        <v>314269</v>
      </c>
      <c r="M18" s="76" t="str">
        <f t="shared" ca="1" si="3"/>
        <v>LC</v>
      </c>
      <c r="N18" s="96" t="str">
        <f t="array" aca="1" ref="N18" ca="1">_FV(A18,"Industry")</f>
        <v>Electrical Utilities &amp; IPPs</v>
      </c>
    </row>
    <row r="19" spans="1:14">
      <c r="A19" s="95" t="e" vm="158">
        <v>#VALUE!</v>
      </c>
      <c r="B19" s="89">
        <f t="array" aca="1" ref="B19" ca="1">_FV(A19,"Change (%)",TRUE)</f>
        <v>-9.7000000000000003E-3</v>
      </c>
      <c r="C19" s="71">
        <f t="array" aca="1" ref="C19" ca="1">_FV(A19,"Previous close",TRUE)</f>
        <v>268.05</v>
      </c>
      <c r="D19" s="71">
        <f t="array" aca="1" ref="D19" ca="1">_FV(A19,"Price")</f>
        <v>265.45</v>
      </c>
      <c r="E19" s="71">
        <f t="array" aca="1" ref="E19" ca="1">_FV(A19,"Low")</f>
        <v>264.85000000000002</v>
      </c>
      <c r="F19" s="71">
        <f t="array" aca="1" ref="F19" ca="1">_FV(A19,"High")</f>
        <v>269.3</v>
      </c>
      <c r="G19" s="71">
        <f t="array" aca="1" ref="G19" ca="1">_FV(A19,"52 week low",TRUE)</f>
        <v>247.3</v>
      </c>
      <c r="H19" s="72">
        <f t="array" aca="1" ref="H19" ca="1">_FV(A19,"52 week high",TRUE)</f>
        <v>322</v>
      </c>
      <c r="I19" s="90">
        <f t="shared" ca="1" si="0"/>
        <v>17.562111801242239</v>
      </c>
      <c r="J19" s="74" t="str">
        <f t="shared" ca="1" si="1"/>
        <v>LC BUY</v>
      </c>
      <c r="K19" s="90">
        <f t="shared" ca="1" si="2"/>
        <v>-7.3392640517589873</v>
      </c>
      <c r="L19" s="75">
        <f t="array" aca="1" ref="L19" ca="1">_FV(A19,"Market cap",TRUE)/10000000</f>
        <v>249302.7</v>
      </c>
      <c r="M19" s="76" t="str">
        <f t="shared" ca="1" si="3"/>
        <v>LC</v>
      </c>
      <c r="N19" s="96" t="str">
        <f t="array" aca="1" ref="N19" ca="1">_FV(A19,"Industry")</f>
        <v>Electrical Utilities &amp; IPPs</v>
      </c>
    </row>
    <row r="20" spans="1:14">
      <c r="A20" s="95" t="e" vm="159">
        <v>#VALUE!</v>
      </c>
      <c r="B20" s="89">
        <f t="array" aca="1" ref="B20" ca="1">_FV(A20,"Change (%)",TRUE)</f>
        <v>6.483E-3</v>
      </c>
      <c r="C20" s="71">
        <f t="array" aca="1" ref="C20" ca="1">_FV(A20,"Previous close",TRUE)</f>
        <v>1496.3</v>
      </c>
      <c r="D20" s="71">
        <f t="array" aca="1" ref="D20" ca="1">_FV(A20,"Price")</f>
        <v>1506</v>
      </c>
      <c r="E20" s="71">
        <f t="array" aca="1" ref="E20" ca="1">_FV(A20,"Low")</f>
        <v>1494</v>
      </c>
      <c r="F20" s="71">
        <f t="array" aca="1" ref="F20" ca="1">_FV(A20,"High")</f>
        <v>1510.9</v>
      </c>
      <c r="G20" s="71">
        <f t="array" aca="1" ref="G20" ca="1">_FV(A20,"52 week low",TRUE)</f>
        <v>1332.35</v>
      </c>
      <c r="H20" s="72">
        <f t="array" aca="1" ref="H20" ca="1">_FV(A20,"52 week high",TRUE)</f>
        <v>1673</v>
      </c>
      <c r="I20" s="90">
        <f t="shared" ca="1" si="0"/>
        <v>9.9820681410639569</v>
      </c>
      <c r="J20" s="74" t="str">
        <f t="shared" ca="1" si="1"/>
        <v>WATCH</v>
      </c>
      <c r="K20" s="90">
        <f t="shared" ca="1" si="2"/>
        <v>-13.033362104552113</v>
      </c>
      <c r="L20" s="75">
        <f t="array" aca="1" ref="L20" ca="1">_FV(A20,"Market cap",TRUE)/10000000</f>
        <v>120866.9</v>
      </c>
      <c r="M20" s="76" t="str">
        <f t="shared" ca="1" si="3"/>
        <v>LC</v>
      </c>
      <c r="N20" s="96" t="str">
        <f t="array" aca="1" ref="N20" ca="1">_FV(A20,"Industry")</f>
        <v>Pharmaceuticals</v>
      </c>
    </row>
    <row r="21" spans="1:14">
      <c r="A21" s="95" t="e" vm="67">
        <v>#VALUE!</v>
      </c>
      <c r="B21" s="89">
        <f t="array" aca="1" ref="B21" ca="1">_FV(A21,"Change (%)",TRUE)</f>
        <v>-6.5239999999999994E-3</v>
      </c>
      <c r="C21" s="71">
        <f t="array" aca="1" ref="C21" ca="1">_FV(A21,"Previous close",TRUE)</f>
        <v>298.89999999999998</v>
      </c>
      <c r="D21" s="71">
        <f t="array" aca="1" ref="D21" ca="1">_FV(A21,"Price")</f>
        <v>296.95</v>
      </c>
      <c r="E21" s="71">
        <f t="array" aca="1" ref="E21" ca="1">_FV(A21,"Low")</f>
        <v>296.14999999999998</v>
      </c>
      <c r="F21" s="71">
        <f t="array" aca="1" ref="F21" ca="1">_FV(A21,"High")</f>
        <v>299.8</v>
      </c>
      <c r="G21" s="71">
        <f t="array" aca="1" ref="G21" ca="1">_FV(A21,"52 week low",TRUE)</f>
        <v>198.65</v>
      </c>
      <c r="H21" s="72">
        <f t="array" aca="1" ref="H21" ca="1">_FV(A21,"52 week high",TRUE)</f>
        <v>338.6</v>
      </c>
      <c r="I21" s="90">
        <f t="shared" ca="1" si="0"/>
        <v>12.300649734199656</v>
      </c>
      <c r="J21" s="74" t="str">
        <f t="shared" ca="1" si="1"/>
        <v>LC BUY</v>
      </c>
      <c r="K21" s="90">
        <f t="shared" ca="1" si="2"/>
        <v>-49.484017115529817</v>
      </c>
      <c r="L21" s="75">
        <f t="array" aca="1" ref="L21" ca="1">_FV(A21,"Market cap",TRUE)/10000000</f>
        <v>189895.4</v>
      </c>
      <c r="M21" s="76" t="str">
        <f t="shared" ca="1" si="3"/>
        <v>LC</v>
      </c>
      <c r="N21" s="96" t="str">
        <f t="array" aca="1" ref="N21" ca="1">_FV(A21,"Industry")</f>
        <v>Banking Services</v>
      </c>
    </row>
    <row r="22" spans="1:14">
      <c r="A22" s="95" t="e" vm="160">
        <v>#VALUE!</v>
      </c>
      <c r="B22" s="89">
        <f t="array" aca="1" ref="B22" ca="1">_FV(A22,"Change (%)",TRUE)</f>
        <v>2.8410000000000002E-3</v>
      </c>
      <c r="C22" s="71">
        <f t="array" aca="1" ref="C22" ca="1">_FV(A22,"Previous close",TRUE)</f>
        <v>1091.3</v>
      </c>
      <c r="D22" s="71">
        <f t="array" aca="1" ref="D22" ca="1">_FV(A22,"Price")</f>
        <v>1094.4000000000001</v>
      </c>
      <c r="E22" s="71">
        <f t="array" aca="1" ref="E22" ca="1">_FV(A22,"Low")</f>
        <v>1082</v>
      </c>
      <c r="F22" s="71">
        <f t="array" aca="1" ref="F22" ca="1">_FV(A22,"High")</f>
        <v>1099.7</v>
      </c>
      <c r="G22" s="71">
        <f t="array" aca="1" ref="G22" ca="1">_FV(A22,"52 week low",TRUE)</f>
        <v>880</v>
      </c>
      <c r="H22" s="72">
        <f t="array" aca="1" ref="H22" ca="1">_FV(A22,"52 week high",TRUE)</f>
        <v>1223.9000000000001</v>
      </c>
      <c r="I22" s="90">
        <f t="shared" ca="1" si="0"/>
        <v>10.58092981452733</v>
      </c>
      <c r="J22" s="74" t="str">
        <f t="shared" ca="1" si="1"/>
        <v>LC BUY</v>
      </c>
      <c r="K22" s="90">
        <f t="shared" ca="1" si="2"/>
        <v>-24.36363636363637</v>
      </c>
      <c r="L22" s="75">
        <f t="array" aca="1" ref="L22" ca="1">_FV(A22,"Market cap",TRUE)/10000000</f>
        <v>266555.2</v>
      </c>
      <c r="M22" s="76" t="str">
        <f t="shared" ca="1" si="3"/>
        <v>LC</v>
      </c>
      <c r="N22" s="96" t="str">
        <f t="array" aca="1" ref="N22" ca="1">_FV(A22,"Industry")</f>
        <v>Metals &amp; Mining</v>
      </c>
    </row>
    <row r="23" spans="1:14">
      <c r="A23" s="95" t="e" vm="161">
        <v>#VALUE!</v>
      </c>
      <c r="B23" s="89">
        <f t="array" aca="1" ref="B23" ca="1">_FV(A23,"Change (%)",TRUE)</f>
        <v>-1.0075000000000001E-2</v>
      </c>
      <c r="C23" s="71">
        <f t="array" aca="1" ref="C23" ca="1">_FV(A23,"Previous close",TRUE)</f>
        <v>1737</v>
      </c>
      <c r="D23" s="71">
        <f t="array" aca="1" ref="D23" ca="1">_FV(A23,"Price")</f>
        <v>1719.5</v>
      </c>
      <c r="E23" s="71">
        <f t="array" aca="1" ref="E23" ca="1">_FV(A23,"Low")</f>
        <v>1708</v>
      </c>
      <c r="F23" s="71">
        <f t="array" aca="1" ref="F23" ca="1">_FV(A23,"High")</f>
        <v>1737</v>
      </c>
      <c r="G23" s="71">
        <f t="array" aca="1" ref="G23" ca="1">_FV(A23,"52 week low",TRUE)</f>
        <v>1548</v>
      </c>
      <c r="H23" s="72">
        <f t="array" aca="1" ref="H23" ca="1">_FV(A23,"52 week high",TRUE)</f>
        <v>1910</v>
      </c>
      <c r="I23" s="90">
        <f t="shared" ca="1" si="0"/>
        <v>9.9738219895287958</v>
      </c>
      <c r="J23" s="74" t="str">
        <f t="shared" ca="1" si="1"/>
        <v>WATCH</v>
      </c>
      <c r="K23" s="90">
        <f t="shared" ca="1" si="2"/>
        <v>-11.078811369509044</v>
      </c>
      <c r="L23" s="75">
        <f t="array" aca="1" ref="L23" ca="1">_FV(A23,"Market cap",TRUE)/10000000</f>
        <v>416764.5</v>
      </c>
      <c r="M23" s="76" t="str">
        <f t="shared" ca="1" si="3"/>
        <v>LC</v>
      </c>
      <c r="N23" s="97" t="str">
        <f t="array" aca="1" ref="N23" ca="1">_FV(A23,"Industry")</f>
        <v>Pharmaceuticals</v>
      </c>
    </row>
    <row r="24" spans="1:14">
      <c r="A24" s="95" t="e" vm="90">
        <v>#VALUE!</v>
      </c>
      <c r="B24" s="89">
        <f t="array" aca="1" ref="B24" ca="1">_FV(A24,"Change (%)",TRUE)</f>
        <v>3.251E-3</v>
      </c>
      <c r="C24" s="71">
        <f t="array" aca="1" ref="C24" ca="1">_FV(A24,"Previous close",TRUE)</f>
        <v>233.77</v>
      </c>
      <c r="D24" s="71">
        <f t="array" aca="1" ref="D24" ca="1">_FV(A24,"Price")</f>
        <v>234.53</v>
      </c>
      <c r="E24" s="71">
        <f t="array" aca="1" ref="E24" ca="1">_FV(A24,"Low")</f>
        <v>233.05</v>
      </c>
      <c r="F24" s="71">
        <f t="array" aca="1" ref="F24" ca="1">_FV(A24,"High")</f>
        <v>235.28</v>
      </c>
      <c r="G24" s="71">
        <f t="array" aca="1" ref="G24" ca="1">_FV(A24,"52 week low",TRUE)</f>
        <v>205</v>
      </c>
      <c r="H24" s="72">
        <f t="array" aca="1" ref="H24" ca="1">_FV(A24,"52 week high",TRUE)</f>
        <v>273.5</v>
      </c>
      <c r="I24" s="90">
        <f t="shared" ca="1" si="0"/>
        <v>14.248628884826326</v>
      </c>
      <c r="J24" s="74" t="str">
        <f t="shared" ca="1" si="1"/>
        <v>LC BUY</v>
      </c>
      <c r="K24" s="90">
        <f t="shared" ca="1" si="2"/>
        <v>-14.404878048780487</v>
      </c>
      <c r="L24" s="75">
        <f t="array" aca="1" ref="L24" ca="1">_FV(A24,"Market cap",TRUE)/10000000</f>
        <v>295045.3</v>
      </c>
      <c r="M24" s="76" t="str">
        <f t="shared" ca="1" si="3"/>
        <v>LC</v>
      </c>
      <c r="N24" s="97" t="str">
        <f t="array" aca="1" ref="N24" ca="1">_FV(A24,"Industry")</f>
        <v>Oil &amp; Gas</v>
      </c>
    </row>
    <row r="25" spans="1:14">
      <c r="A25" s="95" t="e" vm="10">
        <v>#VALUE!</v>
      </c>
      <c r="B25" s="89">
        <f t="array" aca="1" ref="B25" ca="1">_FV(A25,"Change (%)",TRUE)</f>
        <v>-1.4001E-2</v>
      </c>
      <c r="C25" s="71">
        <f t="array" aca="1" ref="C25" ca="1">_FV(A25,"Previous close",TRUE)</f>
        <v>2785.5</v>
      </c>
      <c r="D25" s="71">
        <f t="array" aca="1" ref="D25" ca="1">_FV(A25,"Price")</f>
        <v>2746.5</v>
      </c>
      <c r="E25" s="71">
        <f t="array" aca="1" ref="E25" ca="1">_FV(A25,"Low")</f>
        <v>2743</v>
      </c>
      <c r="F25" s="71">
        <f t="array" aca="1" ref="F25" ca="1">_FV(A25,"High")</f>
        <v>2794.4</v>
      </c>
      <c r="G25" s="71">
        <f t="array" aca="1" ref="G25" ca="1">_FV(A25,"52 week low",TRUE)</f>
        <v>2124.75</v>
      </c>
      <c r="H25" s="72">
        <f t="array" aca="1" ref="H25" ca="1">_FV(A25,"52 week high",TRUE)</f>
        <v>2985.7</v>
      </c>
      <c r="I25" s="90">
        <f t="shared" ca="1" si="0"/>
        <v>8.0115215862276798</v>
      </c>
      <c r="J25" s="74" t="str">
        <f t="shared" ca="1" si="1"/>
        <v>WATCH</v>
      </c>
      <c r="K25" s="90">
        <f t="shared" ca="1" si="2"/>
        <v>-29.262266148958702</v>
      </c>
      <c r="L25" s="75">
        <f t="array" aca="1" ref="L25" ca="1">_FV(A25,"Market cap",TRUE)/10000000</f>
        <v>263273.5</v>
      </c>
      <c r="M25" s="76" t="str">
        <f t="shared" ca="1" si="3"/>
        <v>LC</v>
      </c>
      <c r="N25" s="96" t="str">
        <f t="array" aca="1" ref="N25" ca="1">_FV(A25,"Industry")</f>
        <v>Chemicals</v>
      </c>
    </row>
    <row r="26" spans="1:14">
      <c r="A26" s="95" t="e" vm="70">
        <v>#VALUE!</v>
      </c>
      <c r="B26" s="89">
        <f t="array" aca="1" ref="B26" ca="1">_FV(A26,"Change (%)",TRUE)</f>
        <v>2.3109999999999998E-4</v>
      </c>
      <c r="C26" s="71">
        <f t="array" aca="1" ref="C26" ca="1">_FV(A26,"Previous close",TRUE)</f>
        <v>2163.6999999999998</v>
      </c>
      <c r="D26" s="71">
        <f t="array" aca="1" ref="D26" ca="1">_FV(A26,"Price")</f>
        <v>2164.1999999999998</v>
      </c>
      <c r="E26" s="71">
        <f t="array" aca="1" ref="E26" ca="1">_FV(A26,"Low")</f>
        <v>2152.9</v>
      </c>
      <c r="F26" s="71">
        <f t="array" aca="1" ref="F26" ca="1">_FV(A26,"High")</f>
        <v>2173.6</v>
      </c>
      <c r="G26" s="71">
        <f t="array" aca="1" ref="G26" ca="1">_FV(A26,"52 week low",TRUE)</f>
        <v>1723.75</v>
      </c>
      <c r="H26" s="72">
        <f t="array" aca="1" ref="H26" ca="1">_FV(A26,"52 week high",TRUE)</f>
        <v>2301.9</v>
      </c>
      <c r="I26" s="90">
        <f t="shared" ca="1" si="0"/>
        <v>5.9820148572918139</v>
      </c>
      <c r="J26" s="74" t="str">
        <f t="shared" ca="1" si="1"/>
        <v>WATCH</v>
      </c>
      <c r="K26" s="90">
        <f t="shared" ca="1" si="2"/>
        <v>-25.551849166062354</v>
      </c>
      <c r="L26" s="75">
        <f t="array" aca="1" ref="L26" ca="1">_FV(A26,"Market cap",TRUE)/10000000</f>
        <v>430381.3</v>
      </c>
      <c r="M26" s="76" t="str">
        <f t="shared" ca="1" si="3"/>
        <v>LC</v>
      </c>
      <c r="N26" s="97" t="str">
        <f t="array" aca="1" ref="N26" ca="1">_FV(A26,"Industry")</f>
        <v>Banking Services</v>
      </c>
    </row>
    <row r="27" spans="1:14">
      <c r="A27" s="95" t="e" vm="50">
        <v>#VALUE!</v>
      </c>
      <c r="B27" s="89">
        <f t="array" aca="1" ref="B27" ca="1">_FV(A27,"Change (%)",TRUE)</f>
        <v>9.7750000000000007E-3</v>
      </c>
      <c r="C27" s="71">
        <f t="array" aca="1" ref="C27" ca="1">_FV(A27,"Previous close",TRUE)</f>
        <v>864.45</v>
      </c>
      <c r="D27" s="71">
        <f t="array" aca="1" ref="D27" ca="1">_FV(A27,"Price")</f>
        <v>872.9</v>
      </c>
      <c r="E27" s="71">
        <f t="array" aca="1" ref="E27" ca="1">_FV(A27,"Low")</f>
        <v>861</v>
      </c>
      <c r="F27" s="71">
        <f t="array" aca="1" ref="F27" ca="1">_FV(A27,"High")</f>
        <v>874.75</v>
      </c>
      <c r="G27" s="71">
        <f t="array" aca="1" ref="G27" ca="1">_FV(A27,"52 week low",TRUE)</f>
        <v>546.45000000000005</v>
      </c>
      <c r="H27" s="72">
        <f t="array" aca="1" ref="H27" ca="1">_FV(A27,"52 week high",TRUE)</f>
        <v>882.3</v>
      </c>
      <c r="I27" s="90">
        <f t="shared" ca="1" si="0"/>
        <v>1.0653972571687609</v>
      </c>
      <c r="J27" s="74" t="str">
        <f t="shared" ca="1" si="1"/>
        <v>WATCH</v>
      </c>
      <c r="K27" s="90">
        <f t="shared" ca="1" si="2"/>
        <v>-59.740140909506799</v>
      </c>
      <c r="L27" s="75">
        <f t="array" aca="1" ref="L27" ca="1">_FV(A27,"Market cap",TRUE)/10000000</f>
        <v>195104.3</v>
      </c>
      <c r="M27" s="76" t="str">
        <f t="shared" ca="1" si="3"/>
        <v>LC</v>
      </c>
      <c r="N27" s="97" t="str">
        <f t="array" aca="1" ref="N27" ca="1">_FV(A27,"Industry")</f>
        <v>Metals &amp; Mining</v>
      </c>
    </row>
    <row r="28" spans="1:14">
      <c r="A28" s="95" t="e" vm="79">
        <v>#VALUE!</v>
      </c>
      <c r="B28" s="89">
        <f t="array" aca="1" ref="B28" ca="1">_FV(A28,"Change (%)",TRUE)</f>
        <v>-6.4059999999999994E-3</v>
      </c>
      <c r="C28" s="71">
        <f t="array" aca="1" ref="C28" ca="1">_FV(A28,"Previous close",TRUE)</f>
        <v>16703</v>
      </c>
      <c r="D28" s="71">
        <f t="array" aca="1" ref="D28" ca="1">_FV(A28,"Price")</f>
        <v>16596</v>
      </c>
      <c r="E28" s="71">
        <f t="array" aca="1" ref="E28" ca="1">_FV(A28,"Low")</f>
        <v>16516</v>
      </c>
      <c r="F28" s="71">
        <f t="array" aca="1" ref="F28" ca="1">_FV(A28,"High")</f>
        <v>16703</v>
      </c>
      <c r="G28" s="71">
        <f t="array" aca="1" ref="G28" ca="1">_FV(A28,"52 week low",TRUE)</f>
        <v>10725</v>
      </c>
      <c r="H28" s="72">
        <f t="array" aca="1" ref="H28" ca="1">_FV(A28,"52 week high",TRUE)</f>
        <v>16720</v>
      </c>
      <c r="I28" s="90">
        <f t="shared" ca="1" si="0"/>
        <v>0.74162679425837319</v>
      </c>
      <c r="J28" s="74" t="str">
        <f t="shared" ca="1" si="1"/>
        <v>WATCH</v>
      </c>
      <c r="K28" s="90">
        <f t="shared" ca="1" si="2"/>
        <v>-54.74125874125874</v>
      </c>
      <c r="L28" s="75">
        <f t="array" aca="1" ref="L28" ca="1">_FV(A28,"Market cap",TRUE)/10000000</f>
        <v>521782.5</v>
      </c>
      <c r="M28" s="76" t="str">
        <f t="shared" ca="1" si="3"/>
        <v>HLC</v>
      </c>
      <c r="N28" s="97" t="str">
        <f t="array" aca="1" ref="N28" ca="1">_FV(A28,"Industry")</f>
        <v>Automobiles &amp; Auto Parts</v>
      </c>
    </row>
    <row r="29" spans="1:14">
      <c r="A29" s="95" t="e" vm="36">
        <v>#VALUE!</v>
      </c>
      <c r="B29" s="89">
        <f t="array" aca="1" ref="B29" ca="1">_FV(A29,"Change (%)",TRUE)</f>
        <v>2.7650000000000001E-3</v>
      </c>
      <c r="C29" s="71">
        <f t="array" aca="1" ref="C29" ca="1">_FV(A29,"Previous close",TRUE)</f>
        <v>1265.8</v>
      </c>
      <c r="D29" s="71">
        <f t="array" aca="1" ref="D29" ca="1">_FV(A29,"Price")</f>
        <v>1269.3</v>
      </c>
      <c r="E29" s="71">
        <f t="array" aca="1" ref="E29" ca="1">_FV(A29,"Low")</f>
        <v>1261.0999999999999</v>
      </c>
      <c r="F29" s="71">
        <f t="array" aca="1" ref="F29" ca="1">_FV(A29,"High")</f>
        <v>1275</v>
      </c>
      <c r="G29" s="71">
        <f t="array" aca="1" ref="G29" ca="1">_FV(A29,"52 week low",TRUE)</f>
        <v>1020</v>
      </c>
      <c r="H29" s="72">
        <f t="array" aca="1" ref="H29" ca="1">_FV(A29,"52 week high",TRUE)</f>
        <v>1405.9</v>
      </c>
      <c r="I29" s="90">
        <f t="shared" ca="1" si="0"/>
        <v>9.7161960310121724</v>
      </c>
      <c r="J29" s="74" t="str">
        <f t="shared" ca="1" si="1"/>
        <v>WATCH</v>
      </c>
      <c r="K29" s="90">
        <f t="shared" ca="1" si="2"/>
        <v>-24.441176470588232</v>
      </c>
      <c r="L29" s="75">
        <f t="array" aca="1" ref="L29" ca="1">_FV(A29,"Market cap",TRUE)/10000000</f>
        <v>105381.9</v>
      </c>
      <c r="M29" s="76" t="str">
        <f t="shared" ca="1" si="3"/>
        <v>LC</v>
      </c>
      <c r="N29" s="97" t="str">
        <f t="array" aca="1" ref="N29" ca="1">_FV(A29,"Industry")</f>
        <v>Pharmaceuticals</v>
      </c>
    </row>
    <row r="30" spans="1:14">
      <c r="A30" s="95" t="e" vm="39">
        <v>#VALUE!</v>
      </c>
      <c r="B30" s="89">
        <f t="array" aca="1" ref="B30" ca="1">_FV(A30,"Change (%)",TRUE)</f>
        <v>-1.0883E-2</v>
      </c>
      <c r="C30" s="71">
        <f t="array" aca="1" ref="C30" ca="1">_FV(A30,"Previous close",TRUE)</f>
        <v>284.85000000000002</v>
      </c>
      <c r="D30" s="71">
        <f t="array" aca="1" ref="D30" ca="1">_FV(A30,"Price")</f>
        <v>281.75</v>
      </c>
      <c r="E30" s="71">
        <f t="array" aca="1" ref="E30" ca="1">_FV(A30,"Low")</f>
        <v>279.7</v>
      </c>
      <c r="F30" s="71">
        <f t="array" aca="1" ref="F30" ca="1">_FV(A30,"High")</f>
        <v>284.64999999999998</v>
      </c>
      <c r="G30" s="71">
        <f t="array" aca="1" ref="G30" ca="1">_FV(A30,"52 week low",TRUE)</f>
        <v>194.8</v>
      </c>
      <c r="H30" s="72">
        <f t="array" aca="1" ref="H30" ca="1">_FV(A30,"52 week high",TRUE)</f>
        <v>368.45</v>
      </c>
      <c r="I30" s="90">
        <f t="shared" ca="1" si="0"/>
        <v>23.531008277921018</v>
      </c>
      <c r="J30" s="74" t="str">
        <f t="shared" ca="1" si="1"/>
        <v>SURE LC BUY</v>
      </c>
      <c r="K30" s="90">
        <f t="shared" ca="1" si="2"/>
        <v>-44.635523613963024</v>
      </c>
      <c r="L30" s="75">
        <f t="array" aca="1" ref="L30" ca="1">_FV(A30,"Market cap",TRUE)/10000000</f>
        <v>256360.6</v>
      </c>
      <c r="M30" s="76" t="str">
        <f t="shared" ca="1" si="3"/>
        <v>LC</v>
      </c>
      <c r="N30" s="97" t="str">
        <f t="array" aca="1" ref="N30" ca="1">_FV(A30,"Industry")</f>
        <v>Software &amp; IT Services</v>
      </c>
    </row>
    <row r="31" spans="1:14">
      <c r="A31" s="95" t="e" vm="76">
        <v>#VALUE!</v>
      </c>
      <c r="B31" s="89">
        <f t="array" aca="1" ref="B31" ca="1">_FV(A31,"Change (%)",TRUE)</f>
        <v>-1.554E-3</v>
      </c>
      <c r="C31" s="71">
        <f t="array" aca="1" ref="C31" ca="1">_FV(A31,"Previous close",TRUE)</f>
        <v>4053.6</v>
      </c>
      <c r="D31" s="71">
        <f t="array" aca="1" ref="D31" ca="1">_FV(A31,"Price")</f>
        <v>4047.3</v>
      </c>
      <c r="E31" s="71">
        <f t="array" aca="1" ref="E31" ca="1">_FV(A31,"Low")</f>
        <v>4030.2</v>
      </c>
      <c r="F31" s="71">
        <f t="array" aca="1" ref="F31" ca="1">_FV(A31,"High")</f>
        <v>4061.5</v>
      </c>
      <c r="G31" s="71">
        <f t="array" aca="1" ref="G31" ca="1">_FV(A31,"52 week low",TRUE)</f>
        <v>2965.3</v>
      </c>
      <c r="H31" s="72">
        <f t="array" aca="1" ref="H31" ca="1">_FV(A31,"52 week high",TRUE)</f>
        <v>4140</v>
      </c>
      <c r="I31" s="90">
        <f t="shared" ca="1" si="0"/>
        <v>2.2391304347826044</v>
      </c>
      <c r="J31" s="74" t="str">
        <f t="shared" ca="1" si="1"/>
        <v>WATCH</v>
      </c>
      <c r="K31" s="90">
        <f t="shared" ca="1" si="2"/>
        <v>-36.488719522476643</v>
      </c>
      <c r="L31" s="75">
        <f t="array" aca="1" ref="L31" ca="1">_FV(A31,"Market cap",TRUE)/10000000</f>
        <v>556738.9</v>
      </c>
      <c r="M31" s="76" t="str">
        <f t="shared" ca="1" si="3"/>
        <v>HLC</v>
      </c>
      <c r="N31" s="97" t="str">
        <f t="array" aca="1" ref="N31" ca="1">_FV(A31,"Industry")</f>
        <v>Construction &amp; Engineering</v>
      </c>
    </row>
    <row r="32" spans="1:14">
      <c r="A32" s="95" t="e" vm="51">
        <v>#VALUE!</v>
      </c>
      <c r="B32" s="89">
        <f t="array" aca="1" ref="B32" ca="1">_FV(A32,"Change (%)",TRUE)</f>
        <v>1.4019999999999998E-3</v>
      </c>
      <c r="C32" s="71">
        <f t="array" aca="1" ref="C32" ca="1">_FV(A32,"Previous close",TRUE)</f>
        <v>2282.1999999999998</v>
      </c>
      <c r="D32" s="71">
        <f t="array" aca="1" ref="D32" ca="1">_FV(A32,"Price")</f>
        <v>2285.4</v>
      </c>
      <c r="E32" s="71">
        <f t="array" aca="1" ref="E32" ca="1">_FV(A32,"Low")</f>
        <v>2275</v>
      </c>
      <c r="F32" s="71">
        <f t="array" aca="1" ref="F32" ca="1">_FV(A32,"High")</f>
        <v>2290</v>
      </c>
      <c r="G32" s="71">
        <f t="array" aca="1" ref="G32" ca="1">_FV(A32,"52 week low",TRUE)</f>
        <v>2101.13</v>
      </c>
      <c r="H32" s="72">
        <f t="array" aca="1" ref="H32" ca="1">_FV(A32,"52 week high",TRUE)</f>
        <v>2705.1</v>
      </c>
      <c r="I32" s="90">
        <f t="shared" ca="1" si="0"/>
        <v>15.515138072529661</v>
      </c>
      <c r="J32" s="74" t="str">
        <f t="shared" ca="1" si="1"/>
        <v>SURE HLC BUY</v>
      </c>
      <c r="K32" s="90">
        <f t="shared" ca="1" si="2"/>
        <v>-8.7700427865005963</v>
      </c>
      <c r="L32" s="75">
        <f t="array" aca="1" ref="L32" ca="1">_FV(A32,"Market cap",TRUE)/10000000</f>
        <v>536223.69999999995</v>
      </c>
      <c r="M32" s="76" t="str">
        <f t="shared" ca="1" si="3"/>
        <v>HLC</v>
      </c>
      <c r="N32" s="97" t="str">
        <f t="array" aca="1" ref="N32" ca="1">_FV(A32,"Instrument type",TRUE)</f>
        <v>Stock</v>
      </c>
    </row>
    <row r="33" spans="1:14">
      <c r="A33" s="95" t="e" vm="46">
        <v>#VALUE!</v>
      </c>
      <c r="B33" s="89">
        <f t="array" aca="1" ref="B33" ca="1">_FV(A33,"Change (%)",TRUE)</f>
        <v>-5.1139999999999996E-3</v>
      </c>
      <c r="C33" s="71">
        <f t="array" aca="1" ref="C33" ca="1">_FV(A33,"Previous close",TRUE)</f>
        <v>997.2</v>
      </c>
      <c r="D33" s="71">
        <f t="array" aca="1" ref="D33" ca="1">_FV(A33,"Price")</f>
        <v>992.1</v>
      </c>
      <c r="E33" s="71">
        <f t="array" aca="1" ref="E33" ca="1">_FV(A33,"Low")</f>
        <v>987.7</v>
      </c>
      <c r="F33" s="71">
        <f t="array" aca="1" ref="F33" ca="1">_FV(A33,"High")</f>
        <v>997.2</v>
      </c>
      <c r="G33" s="71">
        <f t="array" aca="1" ref="G33" ca="1">_FV(A33,"52 week low",TRUE)</f>
        <v>810.13</v>
      </c>
      <c r="H33" s="72">
        <f t="array" aca="1" ref="H33" ca="1">_FV(A33,"52 week high",TRUE)</f>
        <v>1020.5</v>
      </c>
      <c r="I33" s="90">
        <f t="shared" ca="1" si="0"/>
        <v>2.7829495345418889</v>
      </c>
      <c r="J33" s="74" t="str">
        <f t="shared" ca="1" si="1"/>
        <v>WATCH</v>
      </c>
      <c r="K33" s="90">
        <f t="shared" ca="1" si="2"/>
        <v>-22.461827114166866</v>
      </c>
      <c r="L33" s="75">
        <f t="array" aca="1" ref="L33" ca="1">_FV(A33,"Market cap",TRUE)/10000000</f>
        <v>1534146</v>
      </c>
      <c r="M33" s="76" t="str">
        <f t="shared" ca="1" si="3"/>
        <v>HLC</v>
      </c>
      <c r="N33" s="97" t="str">
        <f t="array" aca="1" ref="N33" ca="1">_FV(A33,"Industry")</f>
        <v>Banking Services</v>
      </c>
    </row>
    <row r="34" spans="1:14">
      <c r="A34" s="95" t="e" vm="16">
        <v>#VALUE!</v>
      </c>
      <c r="B34" s="89">
        <f t="array" aca="1" ref="B34" ca="1">_FV(A34,"Change (%)",TRUE)</f>
        <v>-1.1505000000000001E-2</v>
      </c>
      <c r="C34" s="71">
        <f t="array" aca="1" ref="C34" ca="1">_FV(A34,"Previous close",TRUE)</f>
        <v>9170</v>
      </c>
      <c r="D34" s="71">
        <f t="array" aca="1" ref="D34" ca="1">_FV(A34,"Price")</f>
        <v>9064.5</v>
      </c>
      <c r="E34" s="71">
        <f t="array" aca="1" ref="E34" ca="1">_FV(A34,"Low")</f>
        <v>9052</v>
      </c>
      <c r="F34" s="71">
        <f t="array" aca="1" ref="F34" ca="1">_FV(A34,"High")</f>
        <v>9185.5</v>
      </c>
      <c r="G34" s="71">
        <f t="array" aca="1" ref="G34" ca="1">_FV(A34,"52 week low",TRUE)</f>
        <v>7089.35</v>
      </c>
      <c r="H34" s="72">
        <f t="array" aca="1" ref="H34" ca="1">_FV(A34,"52 week high",TRUE)</f>
        <v>9490</v>
      </c>
      <c r="I34" s="90">
        <f t="shared" ref="I34:I65" ca="1" si="4">(H34-D34)*100/H34</f>
        <v>4.4836670179135929</v>
      </c>
      <c r="J34" s="74" t="str">
        <f t="shared" ref="J34:J65" ca="1" si="5">IF(AND(M34="HLC", I34&gt;12), "SURE HLC BUY",IF(AND(M34="HLC", I34&gt;7), "FIRST HLC BUY",IF(AND(M34="LC", I34&gt;20), "SURE LC BUY",IF(AND(M34="LC", I34&gt;10), "LC BUY",IF(AND(M34="HMC", I34&gt;30), "SURE HMC BUY",IF(AND(M34="HMC", I34&gt;20), "HMC BUY",IF(AND(M34="HMC", I34&gt;15), "FIRST HMC BUY",IF(AND(M34="MC", I34&gt;40), "SURE MC BUY",IF(AND(M34="MC", I34&gt;30), "MC BUY",IF(AND(M34="MC", I34&gt;20), "FIRST MC BUY",IF(AND(M34="HSC", I34&gt;60), "SURE HSC BUY",IF(AND(M34="HSC", I34&gt;50), "HSC BUY",IF(AND(M34="HSC", I34&gt;40), "FIRST HSC BUY",IF(AND(M34="SC", I34&gt;70), "SURE SC BUY",IF(AND(M34="SC", I34&gt;60), "SC BUY",IF(AND(M34="SC", I34&gt;50), "FIRST SC BUY",IF(AND(M34="VSC", I34&gt;80), "SURE VSC BUY",IF(AND(M34="VSC", I34&gt;70), "VSC BUY",IF(AND(M34="VSC", I34&gt;60), "FIRST VSC BUY","WATCH")))))))))))))))))))</f>
        <v>WATCH</v>
      </c>
      <c r="K34" s="90">
        <f t="shared" ref="K34:K51" ca="1" si="6">(G34-D34)*100/G34</f>
        <v>-27.860805292445704</v>
      </c>
      <c r="L34" s="75">
        <f t="array" aca="1" ref="L34" ca="1">_FV(A34,"Market cap",TRUE)/10000000</f>
        <v>256267.2</v>
      </c>
      <c r="M34" s="76" t="str">
        <f t="shared" ref="M34:M65" ca="1" si="7">IF(L34&gt;500000,"HLC",IF(L34 &gt;100000,"LC",IF(L34 &gt;40000,"HMC",IF(L34 &gt;10000,"MC",IF(L34 &gt;=5000,"HSC",IF(L34 &gt;1000,"SC","VSC"))))))</f>
        <v>LC</v>
      </c>
      <c r="N34" s="96" t="str">
        <f t="array" aca="1" ref="N34" ca="1">_FV(A34,"Industry")</f>
        <v>Automobiles &amp; Auto Parts</v>
      </c>
    </row>
    <row r="35" spans="1:14">
      <c r="A35" s="95" t="e" vm="124">
        <v>#VALUE!</v>
      </c>
      <c r="B35" s="89">
        <f t="array" aca="1" ref="B35" ca="1">_FV(A35,"Change (%)",TRUE)</f>
        <v>2.1155E-2</v>
      </c>
      <c r="C35" s="71">
        <f t="array" aca="1" ref="C35" ca="1">_FV(A35,"Previous close",TRUE)</f>
        <v>3909.3</v>
      </c>
      <c r="D35" s="71">
        <f t="array" aca="1" ref="D35" ca="1">_FV(A35,"Price")</f>
        <v>3992</v>
      </c>
      <c r="E35" s="71">
        <f t="array" aca="1" ref="E35" ca="1">_FV(A35,"Low")</f>
        <v>3900</v>
      </c>
      <c r="F35" s="71">
        <f t="array" aca="1" ref="F35" ca="1">_FV(A35,"High")</f>
        <v>4006.9</v>
      </c>
      <c r="G35" s="71">
        <f t="array" aca="1" ref="G35" ca="1">_FV(A35,"52 week low",TRUE)</f>
        <v>2925</v>
      </c>
      <c r="H35" s="72">
        <f t="array" aca="1" ref="H35" ca="1">_FV(A35,"52 week high",TRUE)</f>
        <v>4006.9</v>
      </c>
      <c r="I35" s="90">
        <f t="shared" ca="1" si="4"/>
        <v>0.3718585440115823</v>
      </c>
      <c r="J35" s="74" t="str">
        <f t="shared" ca="1" si="5"/>
        <v>WATCH</v>
      </c>
      <c r="K35" s="90">
        <f t="shared" ca="1" si="6"/>
        <v>-36.478632478632477</v>
      </c>
      <c r="L35" s="75">
        <f t="array" aca="1" ref="L35" ca="1">_FV(A35,"Market cap",TRUE)/10000000</f>
        <v>346772.6</v>
      </c>
      <c r="M35" s="76" t="str">
        <f t="shared" ca="1" si="7"/>
        <v>LC</v>
      </c>
      <c r="N35" s="96" t="str">
        <f t="array" aca="1" ref="N35" ca="1">_FV(A35,"Industry")</f>
        <v>Textiles &amp; Apparel</v>
      </c>
    </row>
    <row r="36" spans="1:14">
      <c r="A36" s="95" t="e" vm="87">
        <v>#VALUE!</v>
      </c>
      <c r="B36" s="89">
        <f t="array" aca="1" ref="B36" ca="1">_FV(A36,"Change (%)",TRUE)</f>
        <v>1.0241E-2</v>
      </c>
      <c r="C36" s="71">
        <f t="array" aca="1" ref="C36" ca="1">_FV(A36,"Previous close",TRUE)</f>
        <v>1259.7</v>
      </c>
      <c r="D36" s="71">
        <f t="array" aca="1" ref="D36" ca="1">_FV(A36,"Price")</f>
        <v>1272.5999999999999</v>
      </c>
      <c r="E36" s="71">
        <f t="array" aca="1" ref="E36" ca="1">_FV(A36,"Low")</f>
        <v>1251.4000000000001</v>
      </c>
      <c r="F36" s="71">
        <f t="array" aca="1" ref="F36" ca="1">_FV(A36,"High")</f>
        <v>1277</v>
      </c>
      <c r="G36" s="71">
        <f t="array" aca="1" ref="G36" ca="1">_FV(A36,"52 week low",TRUE)</f>
        <v>1055</v>
      </c>
      <c r="H36" s="72">
        <f t="array" aca="1" ref="H36" ca="1">_FV(A36,"52 week high",TRUE)</f>
        <v>1311.6</v>
      </c>
      <c r="I36" s="90">
        <f t="shared" ca="1" si="4"/>
        <v>2.9734675205855448</v>
      </c>
      <c r="J36" s="74" t="str">
        <f t="shared" ca="1" si="5"/>
        <v>WATCH</v>
      </c>
      <c r="K36" s="90">
        <f t="shared" ca="1" si="6"/>
        <v>-20.625592417061604</v>
      </c>
      <c r="L36" s="75">
        <f t="array" aca="1" ref="L36" ca="1">_FV(A36,"Market cap",TRUE)/10000000</f>
        <v>242909.8</v>
      </c>
      <c r="M36" s="76" t="str">
        <f t="shared" ca="1" si="7"/>
        <v>LC</v>
      </c>
      <c r="N36" s="97" t="str">
        <f t="array" aca="1" ref="N36" ca="1">_FV(A36,"Industry")</f>
        <v>Food &amp; Tobacco</v>
      </c>
    </row>
    <row r="37" spans="1:14">
      <c r="A37" s="95" t="e" vm="162">
        <v>#VALUE!</v>
      </c>
      <c r="B37" s="89">
        <f t="array" aca="1" ref="B37" ca="1">_FV(A37,"Change (%)",TRUE)</f>
        <v>1.549E-3</v>
      </c>
      <c r="C37" s="71">
        <f t="array" aca="1" ref="C37" ca="1">_FV(A37,"Previous close",TRUE)</f>
        <v>1226.3</v>
      </c>
      <c r="D37" s="71">
        <f t="array" aca="1" ref="D37" ca="1">_FV(A37,"Price")</f>
        <v>1228.2</v>
      </c>
      <c r="E37" s="71">
        <f t="array" aca="1" ref="E37" ca="1">_FV(A37,"Low")</f>
        <v>1222</v>
      </c>
      <c r="F37" s="71">
        <f t="array" aca="1" ref="F37" ca="1">_FV(A37,"High")</f>
        <v>1229.9000000000001</v>
      </c>
      <c r="G37" s="71">
        <f t="array" aca="1" ref="G37" ca="1">_FV(A37,"52 week low",TRUE)</f>
        <v>933.5</v>
      </c>
      <c r="H37" s="72">
        <f t="array" aca="1" ref="H37" ca="1">_FV(A37,"52 week high",TRUE)</f>
        <v>1304</v>
      </c>
      <c r="I37" s="90">
        <f t="shared" ca="1" si="4"/>
        <v>5.8128834355828189</v>
      </c>
      <c r="J37" s="74" t="str">
        <f t="shared" ca="1" si="5"/>
        <v>WATCH</v>
      </c>
      <c r="K37" s="90">
        <f t="shared" ca="1" si="6"/>
        <v>-31.569362613818964</v>
      </c>
      <c r="L37" s="75">
        <f t="array" aca="1" ref="L37" ca="1">_FV(A37,"Market cap",TRUE)/10000000</f>
        <v>381355</v>
      </c>
      <c r="M37" s="76" t="str">
        <f t="shared" ca="1" si="7"/>
        <v>LC</v>
      </c>
      <c r="N37" s="97" t="str">
        <f t="array" aca="1" ref="N37" ca="1">_FV(A37,"Industry")</f>
        <v>Banking Services</v>
      </c>
    </row>
    <row r="38" spans="1:14">
      <c r="A38" s="95" t="e" vm="129">
        <v>#VALUE!</v>
      </c>
      <c r="B38" s="89">
        <f t="array" aca="1" ref="B38" ca="1">_FV(A38,"Change (%)",TRUE)</f>
        <v>2.5500000000000002E-3</v>
      </c>
      <c r="C38" s="71">
        <f t="array" aca="1" ref="C38" ca="1">_FV(A38,"Previous close",TRUE)</f>
        <v>11764</v>
      </c>
      <c r="D38" s="71">
        <f t="array" aca="1" ref="D38" ca="1">_FV(A38,"Price")</f>
        <v>11794</v>
      </c>
      <c r="E38" s="71">
        <f t="array" aca="1" ref="E38" ca="1">_FV(A38,"Low")</f>
        <v>11743</v>
      </c>
      <c r="F38" s="71">
        <f t="array" aca="1" ref="F38" ca="1">_FV(A38,"High")</f>
        <v>11855</v>
      </c>
      <c r="G38" s="71">
        <f t="array" aca="1" ref="G38" ca="1">_FV(A38,"52 week low",TRUE)</f>
        <v>10047.85</v>
      </c>
      <c r="H38" s="72">
        <f t="array" aca="1" ref="H38" ca="1">_FV(A38,"52 week high",TRUE)</f>
        <v>13097</v>
      </c>
      <c r="I38" s="90">
        <f t="shared" ca="1" si="4"/>
        <v>9.9488432465450103</v>
      </c>
      <c r="J38" s="74" t="str">
        <f t="shared" ca="1" si="5"/>
        <v>WATCH</v>
      </c>
      <c r="K38" s="90">
        <f t="shared" ca="1" si="6"/>
        <v>-17.378344620988567</v>
      </c>
      <c r="L38" s="75">
        <f t="array" aca="1" ref="L38" ca="1">_FV(A38,"Market cap",TRUE)/10000000</f>
        <v>346848.3</v>
      </c>
      <c r="M38" s="76" t="str">
        <f t="shared" ca="1" si="7"/>
        <v>LC</v>
      </c>
      <c r="N38" s="96" t="str">
        <f t="array" aca="1" ref="N38" ca="1">_FV(A38,"Industry")</f>
        <v>Construction Materials</v>
      </c>
    </row>
    <row r="39" spans="1:14">
      <c r="A39" s="95" t="e" vm="163">
        <v>#VALUE!</v>
      </c>
      <c r="B39" s="89">
        <f t="array" aca="1" ref="B39" ca="1">_FV(A39,"Change (%)",TRUE)</f>
        <v>-1.392E-3</v>
      </c>
      <c r="C39" s="71">
        <f t="array" aca="1" ref="C39" ca="1">_FV(A39,"Previous close",TRUE)</f>
        <v>359.3</v>
      </c>
      <c r="D39" s="71">
        <f t="array" aca="1" ref="D39" ca="1">_FV(A39,"Price")</f>
        <v>358.8</v>
      </c>
      <c r="E39" s="71">
        <f t="array" aca="1" ref="E39" ca="1">_FV(A39,"Low")</f>
        <v>354.45</v>
      </c>
      <c r="F39" s="71">
        <f t="array" aca="1" ref="F39" ca="1">_FV(A39,"High")</f>
        <v>360.45</v>
      </c>
      <c r="G39" s="71">
        <f t="array" aca="1" ref="G39" ca="1">_FV(A39,"52 week low",TRUE)</f>
        <v>327.55</v>
      </c>
      <c r="H39" s="72">
        <f t="array" aca="1" ref="H39" ca="1">_FV(A39,"52 week high",TRUE)</f>
        <v>488.98</v>
      </c>
      <c r="I39" s="90">
        <f t="shared" ca="1" si="4"/>
        <v>26.622765757290686</v>
      </c>
      <c r="J39" s="74" t="str">
        <f t="shared" ca="1" si="5"/>
        <v>SURE LC BUY</v>
      </c>
      <c r="K39" s="90">
        <f t="shared" ca="1" si="6"/>
        <v>-9.5405281636391379</v>
      </c>
      <c r="L39" s="75">
        <f t="array" aca="1" ref="L39" ca="1">_FV(A39,"Market cap",TRUE)/10000000</f>
        <v>132122.1</v>
      </c>
      <c r="M39" s="76" t="str">
        <f t="shared" ca="1" si="7"/>
        <v>LC</v>
      </c>
      <c r="N39" s="97" t="str">
        <f t="array" aca="1" ref="N39" ca="1">_FV(A39,"Industry")</f>
        <v>Automobiles &amp; Auto Parts</v>
      </c>
    </row>
    <row r="40" spans="1:14">
      <c r="A40" s="95" t="e" vm="121">
        <v>#VALUE!</v>
      </c>
      <c r="B40" s="89">
        <f t="array" aca="1" ref="B40" ca="1">_FV(A40,"Change (%)",TRUE)</f>
        <v>-1.1751000000000001E-2</v>
      </c>
      <c r="C40" s="71">
        <f t="array" aca="1" ref="C40" ca="1">_FV(A40,"Previous close",TRUE)</f>
        <v>3319</v>
      </c>
      <c r="D40" s="71">
        <f t="array" aca="1" ref="D40" ca="1">_FV(A40,"Price")</f>
        <v>3280</v>
      </c>
      <c r="E40" s="71">
        <f t="array" aca="1" ref="E40" ca="1">_FV(A40,"Low")</f>
        <v>3271.8</v>
      </c>
      <c r="F40" s="71">
        <f t="array" aca="1" ref="F40" ca="1">_FV(A40,"High")</f>
        <v>3320</v>
      </c>
      <c r="G40" s="71">
        <f t="array" aca="1" ref="G40" ca="1">_FV(A40,"52 week low",TRUE)</f>
        <v>2866.6</v>
      </c>
      <c r="H40" s="72">
        <f t="array" aca="1" ref="H40" ca="1">_FV(A40,"52 week high",TRUE)</f>
        <v>4255.12</v>
      </c>
      <c r="I40" s="90">
        <f t="shared" ca="1" si="4"/>
        <v>22.916392487168398</v>
      </c>
      <c r="J40" s="74" t="str">
        <f t="shared" ca="1" si="5"/>
        <v>SURE HLC BUY</v>
      </c>
      <c r="K40" s="90">
        <f t="shared" ca="1" si="6"/>
        <v>-14.421265610828161</v>
      </c>
      <c r="L40" s="75">
        <f t="array" aca="1" ref="L40" ca="1">_FV(A40,"Market cap",TRUE)/10000000</f>
        <v>1186733</v>
      </c>
      <c r="M40" s="76" t="str">
        <f t="shared" ca="1" si="7"/>
        <v>HLC</v>
      </c>
      <c r="N40" s="97" t="str">
        <f t="array" aca="1" ref="N40" ca="1">_FV(A40,"Industry")</f>
        <v>Software &amp; IT Services</v>
      </c>
    </row>
    <row r="41" spans="1:14">
      <c r="A41" s="95" t="e" vm="104">
        <v>#VALUE!</v>
      </c>
      <c r="B41" s="89">
        <f t="array" aca="1" ref="B41" ca="1">_FV(A41,"Change (%)",TRUE)</f>
        <v>-2.735E-3</v>
      </c>
      <c r="C41" s="71">
        <f t="array" aca="1" ref="C41" ca="1">_FV(A41,"Previous close",TRUE)</f>
        <v>968.95</v>
      </c>
      <c r="D41" s="71">
        <f t="array" aca="1" ref="D41" ca="1">_FV(A41,"Price")</f>
        <v>966.3</v>
      </c>
      <c r="E41" s="71">
        <f t="array" aca="1" ref="E41" ca="1">_FV(A41,"Low")</f>
        <v>964.75</v>
      </c>
      <c r="F41" s="71">
        <f t="array" aca="1" ref="F41" ca="1">_FV(A41,"High")</f>
        <v>971</v>
      </c>
      <c r="G41" s="71">
        <f t="array" aca="1" ref="G41" ca="1">_FV(A41,"52 week low",TRUE)</f>
        <v>680</v>
      </c>
      <c r="H41" s="72">
        <f t="array" aca="1" ref="H41" ca="1">_FV(A41,"52 week high",TRUE)</f>
        <v>999</v>
      </c>
      <c r="I41" s="90">
        <f t="shared" ca="1" si="4"/>
        <v>3.2732732732732779</v>
      </c>
      <c r="J41" s="74" t="str">
        <f t="shared" ca="1" si="5"/>
        <v>WATCH</v>
      </c>
      <c r="K41" s="90">
        <f t="shared" ca="1" si="6"/>
        <v>-42.10294117647058</v>
      </c>
      <c r="L41" s="75">
        <f t="array" aca="1" ref="L41" ca="1">_FV(A41,"Market cap",TRUE)/10000000</f>
        <v>891954.6</v>
      </c>
      <c r="M41" s="76" t="str">
        <f t="shared" ca="1" si="7"/>
        <v>HLC</v>
      </c>
      <c r="N41" s="96" t="str">
        <f t="array" aca="1" ref="N41" ca="1">_FV(A41,"Industry")</f>
        <v>Banking Services</v>
      </c>
    </row>
    <row r="42" spans="1:14">
      <c r="A42" s="95" t="e" vm="65">
        <v>#VALUE!</v>
      </c>
      <c r="B42" s="89">
        <f t="array" aca="1" ref="B42" ca="1">_FV(A42,"Change (%)",TRUE)</f>
        <v>-6.0260000000000001E-3</v>
      </c>
      <c r="C42" s="71">
        <f t="array" aca="1" ref="C42" ca="1">_FV(A42,"Previous close",TRUE)</f>
        <v>406.6</v>
      </c>
      <c r="D42" s="71">
        <f t="array" aca="1" ref="D42" ca="1">_FV(A42,"Price")</f>
        <v>404.15</v>
      </c>
      <c r="E42" s="71">
        <f t="array" aca="1" ref="E42" ca="1">_FV(A42,"Low")</f>
        <v>403.85</v>
      </c>
      <c r="F42" s="71">
        <f t="array" aca="1" ref="F42" ca="1">_FV(A42,"High")</f>
        <v>407.15</v>
      </c>
      <c r="G42" s="71">
        <f t="array" aca="1" ref="G42" ca="1">_FV(A42,"52 week low",TRUE)</f>
        <v>390.15</v>
      </c>
      <c r="H42" s="72">
        <f t="array" aca="1" ref="H42" ca="1">_FV(A42,"52 week high",TRUE)</f>
        <v>471.5</v>
      </c>
      <c r="I42" s="90">
        <f t="shared" ca="1" si="4"/>
        <v>14.284199363732771</v>
      </c>
      <c r="J42" s="74" t="str">
        <f t="shared" ca="1" si="5"/>
        <v>SURE HLC BUY</v>
      </c>
      <c r="K42" s="90">
        <f t="shared" ca="1" si="6"/>
        <v>-3.5883634499551458</v>
      </c>
      <c r="L42" s="75">
        <f t="array" aca="1" ref="L42" ca="1">_FV(A42,"Market cap",TRUE)/10000000</f>
        <v>509427.5</v>
      </c>
      <c r="M42" s="76" t="str">
        <f t="shared" ca="1" si="7"/>
        <v>HLC</v>
      </c>
      <c r="N42" s="96" t="str">
        <f t="array" aca="1" ref="N42" ca="1">_FV(A42,"Industry")</f>
        <v>Food &amp; Tobacco</v>
      </c>
    </row>
    <row r="43" spans="1:14">
      <c r="A43" s="95" t="e" vm="45">
        <v>#VALUE!</v>
      </c>
      <c r="B43" s="89">
        <f t="array" aca="1" ref="B43" ca="1">_FV(A43,"Change (%)",TRUE)</f>
        <v>-8.2399999999999991E-3</v>
      </c>
      <c r="C43" s="71">
        <f t="array" aca="1" ref="C43" ca="1">_FV(A43,"Previous close",TRUE)</f>
        <v>1674.7</v>
      </c>
      <c r="D43" s="71">
        <f t="array" aca="1" ref="D43" ca="1">_FV(A43,"Price")</f>
        <v>1660.9</v>
      </c>
      <c r="E43" s="71">
        <f t="array" aca="1" ref="E43" ca="1">_FV(A43,"Low")</f>
        <v>1650.5</v>
      </c>
      <c r="F43" s="71">
        <f t="array" aca="1" ref="F43" ca="1">_FV(A43,"High")</f>
        <v>1676.4</v>
      </c>
      <c r="G43" s="71">
        <f t="array" aca="1" ref="G43" ca="1">_FV(A43,"52 week low",TRUE)</f>
        <v>1302.75</v>
      </c>
      <c r="H43" s="72">
        <f t="array" aca="1" ref="H43" ca="1">_FV(A43,"52 week high",TRUE)</f>
        <v>2005.46</v>
      </c>
      <c r="I43" s="90">
        <f t="shared" ca="1" si="4"/>
        <v>17.181095608987459</v>
      </c>
      <c r="J43" s="74" t="str">
        <f t="shared" ca="1" si="5"/>
        <v>LC BUY</v>
      </c>
      <c r="K43" s="90">
        <f t="shared" ca="1" si="6"/>
        <v>-27.491844175782006</v>
      </c>
      <c r="L43" s="75">
        <f t="array" aca="1" ref="L43" ca="1">_FV(A43,"Market cap",TRUE)/10000000</f>
        <v>453091.8</v>
      </c>
      <c r="M43" s="76" t="str">
        <f t="shared" ca="1" si="7"/>
        <v>LC</v>
      </c>
      <c r="N43" s="96" t="str">
        <f t="array" aca="1" ref="N43" ca="1">_FV(A43,"Industry")</f>
        <v>Software &amp; IT Services</v>
      </c>
    </row>
    <row r="44" spans="1:14">
      <c r="A44" s="95" t="e" vm="98">
        <v>#VALUE!</v>
      </c>
      <c r="B44" s="89">
        <f t="array" aca="1" ref="B44" ca="1">_FV(A44,"Change (%)",TRUE)</f>
        <v>6.4179999999999999E-4</v>
      </c>
      <c r="C44" s="71">
        <f t="array" aca="1" ref="C44" ca="1">_FV(A44,"Previous close",TRUE)</f>
        <v>1558.2</v>
      </c>
      <c r="D44" s="71">
        <f t="array" aca="1" ref="D44" ca="1">_FV(A44,"Price")</f>
        <v>1559.2</v>
      </c>
      <c r="E44" s="71">
        <f t="array" aca="1" ref="E44" ca="1">_FV(A44,"Low")</f>
        <v>1554.3</v>
      </c>
      <c r="F44" s="71">
        <f t="array" aca="1" ref="F44" ca="1">_FV(A44,"High")</f>
        <v>1561</v>
      </c>
      <c r="G44" s="71">
        <f t="array" aca="1" ref="G44" ca="1">_FV(A44,"52 week low",TRUE)</f>
        <v>1114.8499999999999</v>
      </c>
      <c r="H44" s="72">
        <f t="array" aca="1" ref="H44" ca="1">_FV(A44,"52 week high",TRUE)</f>
        <v>1581.3</v>
      </c>
      <c r="I44" s="90">
        <f t="shared" ca="1" si="4"/>
        <v>1.3975842661101567</v>
      </c>
      <c r="J44" s="74" t="str">
        <f t="shared" ca="1" si="5"/>
        <v>WATCH</v>
      </c>
      <c r="K44" s="90">
        <f t="shared" ca="1" si="6"/>
        <v>-39.857379916580719</v>
      </c>
      <c r="L44" s="75">
        <f t="array" aca="1" ref="L44" ca="1">_FV(A44,"Market cap",TRUE)/10000000</f>
        <v>2109983</v>
      </c>
      <c r="M44" s="76" t="str">
        <f t="shared" ca="1" si="7"/>
        <v>HLC</v>
      </c>
      <c r="N44" s="96" t="str">
        <f t="array" aca="1" ref="N44" ca="1">_FV(A44,"Industry")</f>
        <v>Oil &amp; Gas</v>
      </c>
    </row>
    <row r="45" spans="1:14">
      <c r="A45" s="95" t="e" vm="127">
        <v>#VALUE!</v>
      </c>
      <c r="B45" s="89">
        <f t="array" aca="1" ref="B45" ca="1">_FV(A45,"Change (%)",TRUE)</f>
        <v>-1.0020000000000001E-3</v>
      </c>
      <c r="C45" s="71">
        <f t="array" aca="1" ref="C45" ca="1">_FV(A45,"Previous close",TRUE)</f>
        <v>4289.6000000000004</v>
      </c>
      <c r="D45" s="71">
        <f t="array" aca="1" ref="D45" ca="1">_FV(A45,"Price")</f>
        <v>4285.3</v>
      </c>
      <c r="E45" s="71">
        <f t="array" aca="1" ref="E45" ca="1">_FV(A45,"Low")</f>
        <v>4263</v>
      </c>
      <c r="F45" s="71">
        <f t="array" aca="1" ref="F45" ca="1">_FV(A45,"High")</f>
        <v>4338.3999999999996</v>
      </c>
      <c r="G45" s="71">
        <f t="array" aca="1" ref="G45" ca="1">_FV(A45,"52 week low",TRUE)</f>
        <v>3930.1</v>
      </c>
      <c r="H45" s="72">
        <f t="array" aca="1" ref="H45" ca="1">_FV(A45,"52 week high",TRUE)</f>
        <v>7493.05</v>
      </c>
      <c r="I45" s="90">
        <f t="shared" ca="1" si="4"/>
        <v>42.80967029447288</v>
      </c>
      <c r="J45" s="74" t="str">
        <f t="shared" ca="1" si="5"/>
        <v>SURE LC BUY</v>
      </c>
      <c r="K45" s="90">
        <f t="shared" ca="1" si="6"/>
        <v>-9.0379379659550718</v>
      </c>
      <c r="L45" s="75">
        <f t="array" aca="1" ref="L45" ca="1">_FV(A45,"Market cap",TRUE)/10000000</f>
        <v>152489.9</v>
      </c>
      <c r="M45" s="76" t="str">
        <f t="shared" ca="1" si="7"/>
        <v>LC</v>
      </c>
      <c r="N45" s="97" t="str">
        <f t="array" aca="1" ref="N45" ca="1">_FV(A45,"Industry")</f>
        <v>Diversified Retail</v>
      </c>
    </row>
    <row r="46" spans="1:14">
      <c r="A46" s="95" t="e" vm="133">
        <v>#VALUE!</v>
      </c>
      <c r="B46" s="89">
        <f t="array" aca="1" ref="B46" ca="1">_FV(A46,"Change (%)",TRUE)</f>
        <v>-6.5659999999999998E-3</v>
      </c>
      <c r="C46" s="71">
        <f t="array" aca="1" ref="C46" ca="1">_FV(A46,"Previous close",TRUE)</f>
        <v>268.06</v>
      </c>
      <c r="D46" s="71">
        <f t="array" aca="1" ref="D46" ca="1">_FV(A46,"Price")</f>
        <v>266.3</v>
      </c>
      <c r="E46" s="71">
        <f t="array" aca="1" ref="E46" ca="1">_FV(A46,"Low")</f>
        <v>265.74</v>
      </c>
      <c r="F46" s="71">
        <f t="array" aca="1" ref="F46" ca="1">_FV(A46,"High")</f>
        <v>268.88</v>
      </c>
      <c r="G46" s="71">
        <f t="array" aca="1" ref="G46" ca="1">_FV(A46,"52 week low",TRUE)</f>
        <v>228</v>
      </c>
      <c r="H46" s="72">
        <f t="array" aca="1" ref="H46" ca="1">_FV(A46,"52 week high",TRUE)</f>
        <v>324.60000000000002</v>
      </c>
      <c r="I46" s="90">
        <f t="shared" ca="1" si="4"/>
        <v>17.960566851509551</v>
      </c>
      <c r="J46" s="74" t="str">
        <f t="shared" ca="1" si="5"/>
        <v>LC BUY</v>
      </c>
      <c r="K46" s="90">
        <f t="shared" ca="1" si="6"/>
        <v>-16.798245614035093</v>
      </c>
      <c r="L46" s="75">
        <f t="array" aca="1" ref="L46" ca="1">_FV(A46,"Market cap",TRUE)/10000000</f>
        <v>280790.40000000002</v>
      </c>
      <c r="M46" s="76" t="str">
        <f t="shared" ca="1" si="7"/>
        <v>LC</v>
      </c>
      <c r="N46" s="97" t="str">
        <f t="array" aca="1" ref="N46" ca="1">_FV(A46,"Industry")</f>
        <v>Software &amp; IT Services</v>
      </c>
    </row>
    <row r="47" spans="1:14">
      <c r="A47" s="95" t="e" vm="56">
        <v>#VALUE!</v>
      </c>
      <c r="B47" s="89">
        <f t="array" aca="1" ref="B47" ca="1">_FV(A47,"Change (%)",TRUE)</f>
        <v>-1.4760000000000001E-3</v>
      </c>
      <c r="C47" s="71">
        <f t="array" aca="1" ref="C47" ca="1">_FV(A47,"Previous close",TRUE)</f>
        <v>5081.5</v>
      </c>
      <c r="D47" s="71">
        <f t="array" aca="1" ref="D47" ca="1">_FV(A47,"Price")</f>
        <v>5074</v>
      </c>
      <c r="E47" s="71">
        <f t="array" aca="1" ref="E47" ca="1">_FV(A47,"Low")</f>
        <v>5031</v>
      </c>
      <c r="F47" s="71">
        <f t="array" aca="1" ref="F47" ca="1">_FV(A47,"High")</f>
        <v>5098</v>
      </c>
      <c r="G47" s="71">
        <f t="array" aca="1" ref="G47" ca="1">_FV(A47,"52 week low",TRUE)</f>
        <v>3945</v>
      </c>
      <c r="H47" s="72">
        <f t="array" aca="1" ref="H47" ca="1">_FV(A47,"52 week high",TRUE)</f>
        <v>6232.5</v>
      </c>
      <c r="I47" s="90">
        <f t="shared" ca="1" si="4"/>
        <v>18.588046530284796</v>
      </c>
      <c r="J47" s="74" t="str">
        <f t="shared" ca="1" si="5"/>
        <v>LC BUY</v>
      </c>
      <c r="K47" s="90">
        <f t="shared" ca="1" si="6"/>
        <v>-28.618504435994929</v>
      </c>
      <c r="L47" s="75">
        <f t="array" aca="1" ref="L47" ca="1">_FV(A47,"Market cap",TRUE)/10000000</f>
        <v>196156.1</v>
      </c>
      <c r="M47" s="76" t="str">
        <f t="shared" ca="1" si="7"/>
        <v>LC</v>
      </c>
      <c r="N47" s="97" t="str">
        <f t="array" aca="1" ref="N47" ca="1">_FV(A47,"Industry")</f>
        <v>Passenger Transportation Services</v>
      </c>
    </row>
    <row r="48" spans="1:14">
      <c r="A48" s="95" t="e" vm="164">
        <v>#VALUE!</v>
      </c>
      <c r="B48" s="89">
        <f t="array" aca="1" ref="B48" ca="1">_FV(A48,"Change (%)",TRUE)</f>
        <v>-2.2309999999999999E-3</v>
      </c>
      <c r="C48" s="71">
        <f t="array" aca="1" ref="C48" ca="1">_FV(A48,"Previous close",TRUE)</f>
        <v>7172</v>
      </c>
      <c r="D48" s="71">
        <f t="array" aca="1" ref="D48" ca="1">_FV(A48,"Price")</f>
        <v>7156</v>
      </c>
      <c r="E48" s="71">
        <f t="array" aca="1" ref="E48" ca="1">_FV(A48,"Low")</f>
        <v>7131.5</v>
      </c>
      <c r="F48" s="71">
        <f t="array" aca="1" ref="F48" ca="1">_FV(A48,"High")</f>
        <v>7202</v>
      </c>
      <c r="G48" s="71">
        <f t="array" aca="1" ref="G48" ca="1">_FV(A48,"52 week low",TRUE)</f>
        <v>6001</v>
      </c>
      <c r="H48" s="72">
        <f t="array" aca="1" ref="H48" ca="1">_FV(A48,"52 week high",TRUE)</f>
        <v>8099.5</v>
      </c>
      <c r="I48" s="90">
        <f t="shared" ca="1" si="4"/>
        <v>11.648867214025557</v>
      </c>
      <c r="J48" s="74" t="str">
        <f t="shared" ca="1" si="5"/>
        <v>LC BUY</v>
      </c>
      <c r="K48" s="90">
        <f t="shared" ca="1" si="6"/>
        <v>-19.246792201299783</v>
      </c>
      <c r="L48" s="75">
        <f t="array" aca="1" ref="L48" ca="1">_FV(A48,"Market cap",TRUE)/10000000</f>
        <v>103122.4</v>
      </c>
      <c r="M48" s="76" t="str">
        <f t="shared" ca="1" si="7"/>
        <v>LC</v>
      </c>
      <c r="N48" s="96" t="str">
        <f t="array" aca="1" ref="N48" ca="1">_FV(A48,"Industry")</f>
        <v>Healthcare Providers &amp; Services</v>
      </c>
    </row>
    <row r="49" spans="1:14">
      <c r="A49" s="95" t="e" vm="122">
        <v>#VALUE!</v>
      </c>
      <c r="B49" s="89">
        <f t="array" aca="1" ref="B49" ca="1">_FV(A49,"Change (%)",TRUE)</f>
        <v>-1.1768000000000001E-2</v>
      </c>
      <c r="C49" s="71">
        <f t="array" aca="1" ref="C49" ca="1">_FV(A49,"Previous close",TRUE)</f>
        <v>1631.5</v>
      </c>
      <c r="D49" s="71">
        <f t="array" aca="1" ref="D49" ca="1">_FV(A49,"Price")</f>
        <v>1612.3</v>
      </c>
      <c r="E49" s="71">
        <f t="array" aca="1" ref="E49" ca="1">_FV(A49,"Low")</f>
        <v>1608</v>
      </c>
      <c r="F49" s="71">
        <f t="array" aca="1" ref="F49" ca="1">_FV(A49,"High")</f>
        <v>1633.7</v>
      </c>
      <c r="G49" s="71">
        <f t="array" aca="1" ref="G49" ca="1">_FV(A49,"52 week low",TRUE)</f>
        <v>1209.4000000000001</v>
      </c>
      <c r="H49" s="72">
        <f t="array" aca="1" ref="H49" ca="1">_FV(A49,"52 week high",TRUE)</f>
        <v>1773.6</v>
      </c>
      <c r="I49" s="90">
        <f t="shared" ca="1" si="4"/>
        <v>9.0944970681100568</v>
      </c>
      <c r="J49" s="74" t="str">
        <f t="shared" ca="1" si="5"/>
        <v>WATCH</v>
      </c>
      <c r="K49" s="90">
        <f t="shared" ca="1" si="6"/>
        <v>-33.314040019844533</v>
      </c>
      <c r="L49" s="75">
        <f t="array" aca="1" ref="L49" ca="1">_FV(A49,"Market cap",TRUE)/10000000</f>
        <v>159841.5</v>
      </c>
      <c r="M49" s="76" t="str">
        <f t="shared" ca="1" si="7"/>
        <v>LC</v>
      </c>
      <c r="N49" s="96" t="str">
        <f t="array" aca="1" ref="N49" ca="1">_FV(A49,"Industry")</f>
        <v>Software &amp; IT Services</v>
      </c>
    </row>
    <row r="50" spans="1:14">
      <c r="A50" s="95" t="e" vm="116">
        <v>#VALUE!</v>
      </c>
      <c r="B50" s="89">
        <f t="array" aca="1" ref="B50" ca="1">_FV(A50,"Change (%)",TRUE)</f>
        <v>-2.9680000000000002E-3</v>
      </c>
      <c r="C50" s="71">
        <f t="array" aca="1" ref="C50" ca="1">_FV(A50,"Previous close",TRUE)</f>
        <v>1179.2</v>
      </c>
      <c r="D50" s="71">
        <f t="array" aca="1" ref="D50" ca="1">_FV(A50,"Price")</f>
        <v>1175.7</v>
      </c>
      <c r="E50" s="71">
        <f t="array" aca="1" ref="E50" ca="1">_FV(A50,"Low")</f>
        <v>1172</v>
      </c>
      <c r="F50" s="71">
        <f t="array" aca="1" ref="F50" ca="1">_FV(A50,"High")</f>
        <v>1179.8</v>
      </c>
      <c r="G50" s="71">
        <f t="array" aca="1" ref="G50" ca="1">_FV(A50,"52 week low",TRUE)</f>
        <v>890</v>
      </c>
      <c r="H50" s="72">
        <f t="array" aca="1" ref="H50" ca="1">_FV(A50,"52 week high",TRUE)</f>
        <v>1202.8</v>
      </c>
      <c r="I50" s="90">
        <f t="shared" ca="1" si="4"/>
        <v>2.2530761556368399</v>
      </c>
      <c r="J50" s="74" t="str">
        <f t="shared" ca="1" si="5"/>
        <v>WATCH</v>
      </c>
      <c r="K50" s="90">
        <f t="shared" ca="1" si="6"/>
        <v>-32.101123595505619</v>
      </c>
      <c r="L50" s="75">
        <f t="array" aca="1" ref="L50" ca="1">_FV(A50,"Market cap",TRUE)/10000000</f>
        <v>116687.3</v>
      </c>
      <c r="M50" s="76" t="str">
        <f t="shared" ca="1" si="7"/>
        <v>LC</v>
      </c>
      <c r="N50" s="97" t="str">
        <f t="array" aca="1" ref="N50" ca="1">_FV(A50,"Industry")</f>
        <v>Food &amp; Tobacco</v>
      </c>
    </row>
    <row r="51" spans="1:14">
      <c r="A51" s="98" t="e" vm="23">
        <v>#VALUE!</v>
      </c>
      <c r="B51" s="99">
        <f t="array" aca="1" ref="B51" ca="1">_FV(A51,"Change (%)",TRUE)</f>
        <v>-8.6169999999999997E-3</v>
      </c>
      <c r="C51" s="100">
        <f t="array" aca="1" ref="C51" ca="1">_FV(A51,"Previous close",TRUE)</f>
        <v>2123.6999999999998</v>
      </c>
      <c r="D51" s="100">
        <f t="array" aca="1" ref="D51" ca="1">_FV(A51,"Price")</f>
        <v>2105.4</v>
      </c>
      <c r="E51" s="100">
        <f t="array" aca="1" ref="E51" ca="1">_FV(A51,"Low")</f>
        <v>2101.8000000000002</v>
      </c>
      <c r="F51" s="100">
        <f t="array" aca="1" ref="F51" ca="1">_FV(A51,"High")</f>
        <v>2123</v>
      </c>
      <c r="G51" s="100">
        <f t="array" aca="1" ref="G51" ca="1">_FV(A51,"52 week low",TRUE)</f>
        <v>1559.5</v>
      </c>
      <c r="H51" s="101">
        <f t="array" aca="1" ref="H51" ca="1">_FV(A51,"52 week high",TRUE)</f>
        <v>2174.5</v>
      </c>
      <c r="I51" s="102">
        <f t="shared" ca="1" si="4"/>
        <v>3.1777420096573885</v>
      </c>
      <c r="J51" s="103" t="str">
        <f t="shared" ca="1" si="5"/>
        <v>WATCH</v>
      </c>
      <c r="K51" s="102">
        <f t="shared" ca="1" si="6"/>
        <v>-35.004809233728764</v>
      </c>
      <c r="L51" s="104">
        <f t="array" aca="1" ref="L51" ca="1">_FV(A51,"Market cap",TRUE)/10000000</f>
        <v>1277086</v>
      </c>
      <c r="M51" s="105" t="str">
        <f t="shared" ca="1" si="7"/>
        <v>HLC</v>
      </c>
      <c r="N51" s="106" t="str">
        <f t="array" aca="1" ref="N51" ca="1">_FV(A51,"Industry")</f>
        <v>Telecommunications Services</v>
      </c>
    </row>
  </sheetData>
  <autoFilter ref="A1:N51" xr:uid="{00000000-0001-0000-0800-000000000000}"/>
  <conditionalFormatting sqref="K1:K1048576">
    <cfRule type="dataBar" priority="2">
      <dataBar>
        <cfvo type="min"/>
        <cfvo type="max"/>
        <color rgb="FF638EC6"/>
      </dataBar>
      <extLst>
        <ext xmlns:x14="http://schemas.microsoft.com/office/spreadsheetml/2009/9/main" uri="{B025F937-C7B1-47D3-B67F-A62EFF666E3E}">
          <x14:id>{BEB54B53-D280-46B9-BC01-6BBFB44C1199}</x14:id>
        </ext>
      </extLst>
    </cfRule>
  </conditionalFormatting>
  <conditionalFormatting sqref="I2:I51">
    <cfRule type="dataBar" priority="1">
      <dataBar>
        <cfvo type="min"/>
        <cfvo type="max"/>
        <color rgb="FF638EC6"/>
      </dataBar>
      <extLst>
        <ext xmlns:x14="http://schemas.microsoft.com/office/spreadsheetml/2009/9/main" uri="{B025F937-C7B1-47D3-B67F-A62EFF666E3E}">
          <x14:id>{566CCC47-26EB-45CA-AE6C-9940AEE6C7A0}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EB54B53-D280-46B9-BC01-6BBFB44C1199}">
            <x14:dataBar minLength="0" maxLength="100" border="1" negativeBarBorderColorSameAsPositive="0">
              <x14:cfvo type="autoMin"/>
              <x14:cfvo type="autoMax"/>
              <x14:borderColor rgb="FF638EC6"/>
              <x14:negativeFillColor rgb="FFFF0000"/>
              <x14:negativeBorderColor rgb="FFFF0000"/>
              <x14:axisColor rgb="FF000000"/>
            </x14:dataBar>
          </x14:cfRule>
          <xm:sqref>K1:K1048576</xm:sqref>
        </x14:conditionalFormatting>
        <x14:conditionalFormatting xmlns:xm="http://schemas.microsoft.com/office/excel/2006/main">
          <x14:cfRule type="dataBar" id="{566CCC47-26EB-45CA-AE6C-9940AEE6C7A0}">
            <x14:dataBar minLength="0" maxLength="100" border="1" negativeBarBorderColorSameAsPositive="0">
              <x14:cfvo type="autoMin"/>
              <x14:cfvo type="autoMax"/>
              <x14:borderColor rgb="FF638EC6"/>
              <x14:negativeFillColor rgb="FFFF0000"/>
              <x14:negativeBorderColor rgb="FFFF0000"/>
              <x14:axisColor rgb="FF000000"/>
            </x14:dataBar>
          </x14:cfRule>
          <xm:sqref>I2:I51</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filterMode="1"/>
  <dimension ref="A1:O52"/>
  <sheetViews>
    <sheetView workbookViewId="0">
      <selection activeCell="A25" sqref="A25"/>
    </sheetView>
  </sheetViews>
  <sheetFormatPr defaultColWidth="36.140625" defaultRowHeight="15"/>
  <cols>
    <col min="1" max="1" width="78" bestFit="1" customWidth="1"/>
    <col min="2" max="2" width="13.140625" customWidth="1"/>
    <col min="3" max="8" width="12.140625" bestFit="1" customWidth="1"/>
    <col min="9" max="9" width="22.5703125" customWidth="1"/>
    <col min="10" max="10" width="16.28515625" bestFit="1" customWidth="1"/>
    <col min="11" max="11" width="13.7109375" customWidth="1"/>
    <col min="12" max="12" width="16.42578125" bestFit="1" customWidth="1"/>
    <col min="13" max="13" width="10.140625" bestFit="1" customWidth="1"/>
    <col min="14" max="14" width="31.140625" bestFit="1" customWidth="1"/>
    <col min="15" max="15" width="37.85546875" bestFit="1" customWidth="1"/>
  </cols>
  <sheetData>
    <row r="1" spans="1:15" ht="23.25">
      <c r="A1" s="42" t="s">
        <v>0</v>
      </c>
      <c r="B1" s="43" t="s">
        <v>1</v>
      </c>
      <c r="C1" s="43" t="s">
        <v>2</v>
      </c>
      <c r="D1" s="43" t="s">
        <v>3</v>
      </c>
      <c r="E1" s="43" t="s">
        <v>4</v>
      </c>
      <c r="F1" s="43" t="s">
        <v>5</v>
      </c>
      <c r="G1" s="43" t="s">
        <v>6</v>
      </c>
      <c r="H1" s="43" t="s">
        <v>7</v>
      </c>
      <c r="I1" s="43" t="s">
        <v>8</v>
      </c>
      <c r="J1" s="43" t="s">
        <v>9</v>
      </c>
      <c r="K1" s="43" t="s">
        <v>37</v>
      </c>
      <c r="L1" s="43" t="s">
        <v>10</v>
      </c>
      <c r="M1" s="43" t="s">
        <v>11</v>
      </c>
      <c r="N1" s="43" t="s">
        <v>29</v>
      </c>
      <c r="O1" s="44" t="s">
        <v>12</v>
      </c>
    </row>
    <row r="2" spans="1:15" hidden="1">
      <c r="A2" s="65" t="e" vm="165">
        <v>#VALUE!</v>
      </c>
      <c r="B2" s="33">
        <f t="array" aca="1" ref="B2" ca="1">_FV(A2,"Change (%)",TRUE)</f>
        <v>5.5110000000000006E-5</v>
      </c>
      <c r="C2" s="35">
        <f t="array" aca="1" ref="C2" ca="1">_FV(A2,"Previous close",TRUE)</f>
        <v>68957.25</v>
      </c>
      <c r="D2" s="35">
        <f t="array" aca="1" ref="D2" ca="1">_FV(A2,"Price")</f>
        <v>68961.05</v>
      </c>
      <c r="E2" s="35">
        <f t="array" aca="1" ref="E2" ca="1">_FV(A2,"Low")</f>
        <v>68810.8</v>
      </c>
      <c r="F2" s="35">
        <f t="array" aca="1" ref="F2" ca="1">_FV(A2,"High")</f>
        <v>69301.55</v>
      </c>
      <c r="G2" s="35">
        <f t="array" aca="1" ref="G2" ca="1">_FV(A2,"52 week low",TRUE)</f>
        <v>56192.45</v>
      </c>
      <c r="H2" s="36">
        <f t="array" aca="1" ref="H2" ca="1">_FV(A2,"52 week high",TRUE)</f>
        <v>70551.149999999994</v>
      </c>
      <c r="I2" s="40">
        <f t="shared" ref="I2:I33" ca="1" si="0">(H2-D2)*100/H2</f>
        <v>2.2538257703807685</v>
      </c>
      <c r="J2" s="39" t="e" vm="135">
        <f t="shared" ref="J2:J33" ca="1" si="1">IF(AND(M2="HLC", I2&gt;12), "SURE HLC BUY",IF(AND(M2="HLC", I2&gt;7), "FIRST HLC BUY",IF(AND(M2="LC", I2&gt;20), "SURE LC BUY",IF(AND(M2="LC", I2&gt;10), "LC BUY",IF(AND(M2="HMC", I2&gt;30), "SURE HMC BUY",IF(AND(M2="HMC", I2&gt;20), "HMC BUY",IF(AND(M2="HMC", I2&gt;15), "FIRST HMC BUY",IF(AND(M2="MC", I2&gt;40), "SURE MC BUY",IF(AND(M2="MC", I2&gt;30), "MC BUY",IF(AND(M2="MC", I2&gt;20), "FIRST MC BUY",IF(AND(M2="HSC", I2&gt;60), "SURE HSC BUY",IF(AND(M2="HSC", I2&gt;50), "HSC BUY",IF(AND(M2="HSC", I2&gt;40), "FIRST HSC BUY",IF(AND(M2="SC", I2&gt;70), "SURE SC BUY",IF(AND(M2="SC", I2&gt;60), "SC BUY",IF(AND(M2="SC", I2&gt;50), "FIRST SC BUY",IF(AND(M2="VSC", I2&gt;80), "SURE VSC BUY",IF(AND(M2="VSC", I2&gt;70), "VSC BUY",IF(AND(M2="VSC", I2&gt;60), "FIRST VSC BUY","WATCH")))))))))))))))))))</f>
        <v>#VALUE!</v>
      </c>
      <c r="K2" s="54">
        <f t="shared" ref="K2:K33" ca="1" si="2">(G2-D2)*100/G2</f>
        <v>-22.72298146815098</v>
      </c>
      <c r="L2" s="20" t="e" vm="143">
        <f t="array" ref="L2">_FV(A2,"Market cap",TRUE)/10000000</f>
        <v>#VALUE!</v>
      </c>
      <c r="M2" s="21" t="e" vm="135">
        <f t="shared" ref="M2:M33" si="3">IF(L2&gt;500000,"HLC",IF(L2 &gt;100000,"LC",IF(L2 &gt;40000,"HMC",IF(L2 &gt;10000,"MC",IF(L2 &gt;=5000,"HSC",IF(L2 &gt;1000,"SC","VSC"))))))</f>
        <v>#VALUE!</v>
      </c>
      <c r="N2" s="56" t="s">
        <v>38</v>
      </c>
      <c r="O2" s="46" t="e" vm="48">
        <f t="array" ref="O2">_FV(A2,"Industry")</f>
        <v>#VALUE!</v>
      </c>
    </row>
    <row r="3" spans="1:15">
      <c r="A3" s="65" t="e" vm="74">
        <v>#VALUE!</v>
      </c>
      <c r="B3" s="33">
        <f t="array" aca="1" ref="B3" ca="1">_FV(A3,"Change (%)",TRUE)</f>
        <v>-4.8599999999999997E-3</v>
      </c>
      <c r="C3" s="35">
        <f t="array" aca="1" ref="C3" ca="1">_FV(A3,"Previous close",TRUE)</f>
        <v>853.9</v>
      </c>
      <c r="D3" s="35">
        <f t="array" aca="1" ref="D3" ca="1">_FV(A3,"Price")</f>
        <v>849.75</v>
      </c>
      <c r="E3" s="35">
        <f t="array" aca="1" ref="E3" ca="1">_FV(A3,"Low")</f>
        <v>844.8</v>
      </c>
      <c r="F3" s="35">
        <f t="array" aca="1" ref="F3" ca="1">_FV(A3,"High")</f>
        <v>851.4</v>
      </c>
      <c r="G3" s="35">
        <f t="array" aca="1" ref="G3" ca="1">_FV(A3,"52 week low",TRUE)</f>
        <v>715.3</v>
      </c>
      <c r="H3" s="36">
        <f t="array" aca="1" ref="H3" ca="1">_FV(A3,"52 week high",TRUE)</f>
        <v>980</v>
      </c>
      <c r="I3" s="40">
        <f t="shared" ca="1" si="0"/>
        <v>13.290816326530612</v>
      </c>
      <c r="J3" s="39" t="str">
        <f t="shared" ca="1" si="1"/>
        <v>SURE HLC BUY</v>
      </c>
      <c r="K3" s="54">
        <f t="shared" ca="1" si="2"/>
        <v>-18.79630924087796</v>
      </c>
      <c r="L3" s="20">
        <f t="array" aca="1" ref="L3" ca="1">_FV(A3,"Market cap",TRUE)/10000000</f>
        <v>540091.6</v>
      </c>
      <c r="M3" s="21" t="str">
        <f t="shared" ca="1" si="3"/>
        <v>HLC</v>
      </c>
      <c r="N3" s="56" t="s">
        <v>38</v>
      </c>
      <c r="O3" s="46" t="str">
        <f t="array" aca="1" ref="O3" ca="1">_FV(A3,"Industry")</f>
        <v>Insurance</v>
      </c>
    </row>
    <row r="4" spans="1:15" hidden="1">
      <c r="A4" s="65" t="e" vm="166">
        <v>#VALUE!</v>
      </c>
      <c r="B4" s="33">
        <f t="array" aca="1" ref="B4" ca="1">_FV(A4,"Change (%)",TRUE)</f>
        <v>4.1459999999999999E-4</v>
      </c>
      <c r="C4" s="35">
        <f t="array" aca="1" ref="C4" ca="1">_FV(A4,"Previous close",TRUE)</f>
        <v>6030</v>
      </c>
      <c r="D4" s="35">
        <f t="array" aca="1" ref="D4" ca="1">_FV(A4,"Price")</f>
        <v>6032.5</v>
      </c>
      <c r="E4" s="35">
        <f t="array" aca="1" ref="E4" ca="1">_FV(A4,"Low")</f>
        <v>6002</v>
      </c>
      <c r="F4" s="35">
        <f t="array" aca="1" ref="F4" ca="1">_FV(A4,"High")</f>
        <v>6069.5</v>
      </c>
      <c r="G4" s="35">
        <f t="array" aca="1" ref="G4" ca="1">_FV(A4,"52 week low",TRUE)</f>
        <v>4506</v>
      </c>
      <c r="H4" s="36">
        <f t="array" aca="1" ref="H4" ca="1">_FV(A4,"52 week high",TRUE)</f>
        <v>6336</v>
      </c>
      <c r="I4" s="40">
        <f t="shared" ca="1" si="0"/>
        <v>4.7900883838383841</v>
      </c>
      <c r="J4" s="39" t="str">
        <f t="shared" ca="1" si="1"/>
        <v>WATCH</v>
      </c>
      <c r="K4" s="54">
        <f t="shared" ca="1" si="2"/>
        <v>-33.877052818464271</v>
      </c>
      <c r="L4" s="20">
        <f t="array" aca="1" ref="L4" ca="1">_FV(A4,"Market cap",TRUE)/10000000</f>
        <v>145243.6</v>
      </c>
      <c r="M4" s="21" t="str">
        <f t="shared" ca="1" si="3"/>
        <v>LC</v>
      </c>
      <c r="N4" s="56" t="s">
        <v>30</v>
      </c>
      <c r="O4" s="46" t="str">
        <f t="array" aca="1" ref="O4" ca="1">_FV(A4,"Industry")</f>
        <v>Food &amp; Tobacco</v>
      </c>
    </row>
    <row r="5" spans="1:15" hidden="1">
      <c r="A5" s="65" t="e" vm="167">
        <v>#VALUE!</v>
      </c>
      <c r="B5" s="33">
        <f t="array" aca="1" ref="B5" ca="1">_FV(A5,"Change (%)",TRUE)</f>
        <v>-1.2513000000000002E-2</v>
      </c>
      <c r="C5" s="35">
        <f t="array" aca="1" ref="C5" ca="1">_FV(A5,"Previous close",TRUE)</f>
        <v>999</v>
      </c>
      <c r="D5" s="35">
        <f t="array" aca="1" ref="D5" ca="1">_FV(A5,"Price")</f>
        <v>986.5</v>
      </c>
      <c r="E5" s="35">
        <f t="array" aca="1" ref="E5" ca="1">_FV(A5,"Low")</f>
        <v>985.4</v>
      </c>
      <c r="F5" s="35">
        <f t="array" aca="1" ref="F5" ca="1">_FV(A5,"High")</f>
        <v>999</v>
      </c>
      <c r="G5" s="35">
        <f t="array" aca="1" ref="G5" ca="1">_FV(A5,"52 week low",TRUE)</f>
        <v>723.35</v>
      </c>
      <c r="H5" s="36">
        <f t="array" aca="1" ref="H5" ca="1">_FV(A5,"52 week high",TRUE)</f>
        <v>1098</v>
      </c>
      <c r="I5" s="40">
        <f t="shared" ca="1" si="0"/>
        <v>10.154826958105646</v>
      </c>
      <c r="J5" s="39" t="str">
        <f t="shared" ca="1" si="1"/>
        <v>LC BUY</v>
      </c>
      <c r="K5" s="54">
        <f t="shared" ca="1" si="2"/>
        <v>-36.379346098016171</v>
      </c>
      <c r="L5" s="20">
        <f t="array" aca="1" ref="L5" ca="1">_FV(A5,"Market cap",TRUE)/10000000</f>
        <v>101647.1</v>
      </c>
      <c r="M5" s="21" t="str">
        <f t="shared" ca="1" si="3"/>
        <v>LC</v>
      </c>
      <c r="N5" s="56" t="s">
        <v>39</v>
      </c>
      <c r="O5" s="46" t="str">
        <f t="array" aca="1" ref="O5" ca="1">_FV(A5,"Industry")</f>
        <v>Metals &amp; Mining</v>
      </c>
    </row>
    <row r="6" spans="1:15" hidden="1">
      <c r="A6" s="65" t="e" vm="168">
        <v>#VALUE!</v>
      </c>
      <c r="B6" s="33">
        <f t="array" aca="1" ref="B6" ca="1">_FV(A6,"Change (%)",TRUE)</f>
        <v>4.6810000000000003E-3</v>
      </c>
      <c r="C6" s="35">
        <f t="array" aca="1" ref="C6" ca="1">_FV(A6,"Previous close",TRUE)</f>
        <v>598.15</v>
      </c>
      <c r="D6" s="35">
        <f t="array" aca="1" ref="D6" ca="1">_FV(A6,"Price")</f>
        <v>600.95000000000005</v>
      </c>
      <c r="E6" s="35">
        <f t="array" aca="1" ref="E6" ca="1">_FV(A6,"Low")</f>
        <v>596.95000000000005</v>
      </c>
      <c r="F6" s="35">
        <f t="array" aca="1" ref="F6" ca="1">_FV(A6,"High")</f>
        <v>607.9</v>
      </c>
      <c r="G6" s="35">
        <f t="array" aca="1" ref="G6" ca="1">_FV(A6,"52 week low",TRUE)</f>
        <v>363</v>
      </c>
      <c r="H6" s="36">
        <f t="array" aca="1" ref="H6" ca="1">_FV(A6,"52 week high",TRUE)</f>
        <v>607.9</v>
      </c>
      <c r="I6" s="40">
        <f t="shared" ca="1" si="0"/>
        <v>1.1432801447606402</v>
      </c>
      <c r="J6" s="39" t="str">
        <f t="shared" ca="1" si="1"/>
        <v>WATCH</v>
      </c>
      <c r="K6" s="54">
        <f t="shared" ca="1" si="2"/>
        <v>-65.550964187327835</v>
      </c>
      <c r="L6" s="20">
        <f t="array" aca="1" ref="L6" ca="1">_FV(A6,"Market cap",TRUE)/10000000</f>
        <v>233606</v>
      </c>
      <c r="M6" s="21" t="str">
        <f t="shared" ca="1" si="3"/>
        <v>LC</v>
      </c>
      <c r="N6" s="56" t="s">
        <v>40</v>
      </c>
      <c r="O6" s="45" t="str">
        <f t="array" aca="1" ref="O6" ca="1">_FV(A6,"Industry")</f>
        <v>Metals &amp; Mining</v>
      </c>
    </row>
    <row r="7" spans="1:15" hidden="1">
      <c r="A7" s="65" t="e" vm="169">
        <v>#VALUE!</v>
      </c>
      <c r="B7" s="33">
        <f t="array" aca="1" ref="B7" ca="1">_FV(A7,"Change (%)",TRUE)</f>
        <v>2.7329999999999998E-4</v>
      </c>
      <c r="C7" s="35">
        <f t="array" aca="1" ref="C7" ca="1">_FV(A7,"Previous close",TRUE)</f>
        <v>365.9</v>
      </c>
      <c r="D7" s="35">
        <f t="array" aca="1" ref="D7" ca="1">_FV(A7,"Price")</f>
        <v>366</v>
      </c>
      <c r="E7" s="35">
        <f t="array" aca="1" ref="E7" ca="1">_FV(A7,"Low")</f>
        <v>361.7</v>
      </c>
      <c r="F7" s="35">
        <f t="array" aca="1" ref="F7" ca="1">_FV(A7,"High")</f>
        <v>368.2</v>
      </c>
      <c r="G7" s="35">
        <f t="array" aca="1" ref="G7" ca="1">_FV(A7,"52 week low",TRUE)</f>
        <v>234.01</v>
      </c>
      <c r="H7" s="36">
        <f t="array" aca="1" ref="H7" ca="1">_FV(A7,"52 week high",TRUE)</f>
        <v>381.55</v>
      </c>
      <c r="I7" s="40">
        <f t="shared" ca="1" si="0"/>
        <v>4.0754815882584223</v>
      </c>
      <c r="J7" s="39" t="str">
        <f t="shared" ca="1" si="1"/>
        <v>WATCH</v>
      </c>
      <c r="K7" s="54">
        <f t="shared" ca="1" si="2"/>
        <v>-56.403572496901845</v>
      </c>
      <c r="L7" s="20">
        <f t="array" aca="1" ref="L7" ca="1">_FV(A7,"Market cap",TRUE)/10000000</f>
        <v>158789.29999999999</v>
      </c>
      <c r="M7" s="21" t="str">
        <f t="shared" ca="1" si="3"/>
        <v>LC</v>
      </c>
      <c r="N7" s="56" t="s">
        <v>41</v>
      </c>
      <c r="O7" s="46" t="str">
        <f t="array" aca="1" ref="O7" ca="1">_FV(A7,"Industry")</f>
        <v>Oil &amp; Gas</v>
      </c>
    </row>
    <row r="8" spans="1:15">
      <c r="A8" s="65" t="e" vm="170">
        <v>#VALUE!</v>
      </c>
      <c r="B8" s="33">
        <f t="array" aca="1" ref="B8" ca="1">_FV(A8,"Change (%)",TRUE)</f>
        <v>1.9205E-2</v>
      </c>
      <c r="C8" s="35">
        <f t="array" aca="1" ref="C8" ca="1">_FV(A8,"Previous close",TRUE)</f>
        <v>624.85</v>
      </c>
      <c r="D8" s="35">
        <f t="array" aca="1" ref="D8" ca="1">_FV(A8,"Price")</f>
        <v>636.85</v>
      </c>
      <c r="E8" s="35">
        <f t="array" aca="1" ref="E8" ca="1">_FV(A8,"Low")</f>
        <v>634</v>
      </c>
      <c r="F8" s="35">
        <f t="array" aca="1" ref="F8" ca="1">_FV(A8,"High")</f>
        <v>646.5</v>
      </c>
      <c r="G8" s="35">
        <f t="array" aca="1" ref="G8" ca="1">_FV(A8,"52 week low",TRUE)</f>
        <v>378.15</v>
      </c>
      <c r="H8" s="36">
        <f t="array" aca="1" ref="H8" ca="1">_FV(A8,"52 week high",TRUE)</f>
        <v>646.5</v>
      </c>
      <c r="I8" s="40">
        <f t="shared" ca="1" si="0"/>
        <v>1.4926527455529741</v>
      </c>
      <c r="J8" s="39" t="str">
        <f t="shared" ca="1" si="1"/>
        <v>WATCH</v>
      </c>
      <c r="K8" s="54">
        <f t="shared" ca="1" si="2"/>
        <v>-68.41200581779718</v>
      </c>
      <c r="L8" s="20">
        <f t="array" aca="1" ref="L8" ca="1">_FV(A8,"Market cap",TRUE)/10000000</f>
        <v>269089.5</v>
      </c>
      <c r="M8" s="21" t="str">
        <f t="shared" ca="1" si="3"/>
        <v>LC</v>
      </c>
      <c r="N8" s="56" t="s">
        <v>42</v>
      </c>
      <c r="O8" s="46" t="str">
        <f t="array" aca="1" ref="O8" ca="1">_FV(A8,"Industry")</f>
        <v>Metals &amp; Mining</v>
      </c>
    </row>
    <row r="9" spans="1:15">
      <c r="A9" s="65" t="e" vm="110">
        <v>#VALUE!</v>
      </c>
      <c r="B9" s="33">
        <f t="array" aca="1" ref="B9" ca="1">_FV(A9,"Change (%)",TRUE)</f>
        <v>-3.8449999999999999E-3</v>
      </c>
      <c r="C9" s="35">
        <f t="array" aca="1" ref="C9" ca="1">_FV(A9,"Previous close",TRUE)</f>
        <v>12485</v>
      </c>
      <c r="D9" s="35">
        <f t="array" aca="1" ref="D9" ca="1">_FV(A9,"Price")</f>
        <v>12437</v>
      </c>
      <c r="E9" s="35">
        <f t="array" aca="1" ref="E9" ca="1">_FV(A9,"Low")</f>
        <v>12410</v>
      </c>
      <c r="F9" s="35">
        <f t="array" aca="1" ref="F9" ca="1">_FV(A9,"High")</f>
        <v>12736</v>
      </c>
      <c r="G9" s="35">
        <f t="array" aca="1" ref="G9" ca="1">_FV(A9,"52 week low",TRUE)</f>
        <v>8482.5</v>
      </c>
      <c r="H9" s="36">
        <f t="array" aca="1" ref="H9" ca="1">_FV(A9,"52 week high",TRUE)</f>
        <v>17820</v>
      </c>
      <c r="I9" s="40">
        <f t="shared" ca="1" si="0"/>
        <v>30.207631874298542</v>
      </c>
      <c r="J9" s="39" t="str">
        <f t="shared" ca="1" si="1"/>
        <v>SURE LC BUY</v>
      </c>
      <c r="K9" s="54">
        <f t="shared" ca="1" si="2"/>
        <v>-46.619510757441795</v>
      </c>
      <c r="L9" s="20">
        <f t="array" aca="1" ref="L9" ca="1">_FV(A9,"Market cap",TRUE)/10000000</f>
        <v>112976.8</v>
      </c>
      <c r="M9" s="21" t="str">
        <f t="shared" ca="1" si="3"/>
        <v>LC</v>
      </c>
      <c r="N9" s="56" t="s">
        <v>43</v>
      </c>
      <c r="O9" s="46" t="str">
        <f t="array" aca="1" ref="O9" ca="1">_FV(A9,"Industry")</f>
        <v>Chemicals</v>
      </c>
    </row>
    <row r="10" spans="1:15" hidden="1">
      <c r="A10" s="65" t="e" vm="171">
        <v>#VALUE!</v>
      </c>
      <c r="B10" s="33">
        <f t="array" aca="1" ref="B10" ca="1">_FV(A10,"Change (%)",TRUE)</f>
        <v>-4.6309999999999997E-3</v>
      </c>
      <c r="C10" s="35">
        <f t="array" aca="1" ref="C10" ca="1">_FV(A10,"Previous close",TRUE)</f>
        <v>120.93</v>
      </c>
      <c r="D10" s="35">
        <f t="array" aca="1" ref="D10" ca="1">_FV(A10,"Price")</f>
        <v>120.37</v>
      </c>
      <c r="E10" s="35">
        <f t="array" aca="1" ref="E10" ca="1">_FV(A10,"Low")</f>
        <v>119.45</v>
      </c>
      <c r="F10" s="35">
        <f t="array" aca="1" ref="F10" ca="1">_FV(A10,"High")</f>
        <v>120.98</v>
      </c>
      <c r="G10" s="35">
        <f t="array" aca="1" ref="G10" ca="1">_FV(A10,"52 week low",TRUE)</f>
        <v>85.46</v>
      </c>
      <c r="H10" s="36">
        <f t="array" aca="1" ref="H10" ca="1">_FV(A10,"52 week high",TRUE)</f>
        <v>127.8</v>
      </c>
      <c r="I10" s="40">
        <f t="shared" ca="1" si="0"/>
        <v>5.813771517996865</v>
      </c>
      <c r="J10" s="39" t="str">
        <f t="shared" ca="1" si="1"/>
        <v>WATCH</v>
      </c>
      <c r="K10" s="54">
        <f t="shared" ca="1" si="2"/>
        <v>-40.849520243388731</v>
      </c>
      <c r="L10" s="20">
        <f t="array" aca="1" ref="L10" ca="1">_FV(A10,"Market cap",TRUE)/10000000</f>
        <v>138984.20000000001</v>
      </c>
      <c r="M10" s="21" t="str">
        <f t="shared" ca="1" si="3"/>
        <v>LC</v>
      </c>
      <c r="N10" s="56" t="s">
        <v>44</v>
      </c>
      <c r="O10" s="46" t="str">
        <f t="array" aca="1" ref="O10" ca="1">_FV(A10,"Industry")</f>
        <v>Banking Services</v>
      </c>
    </row>
    <row r="11" spans="1:15">
      <c r="A11" s="65" t="e" vm="172">
        <v>#VALUE!</v>
      </c>
      <c r="B11" s="33">
        <f t="array" aca="1" ref="B11" ca="1">_FV(A11,"Change (%)",TRUE)</f>
        <v>4.3300000000000001E-4</v>
      </c>
      <c r="C11" s="35">
        <f t="array" aca="1" ref="C11" ca="1">_FV(A11,"Previous close",TRUE)</f>
        <v>2540.3000000000002</v>
      </c>
      <c r="D11" s="35">
        <f t="array" aca="1" ref="D11" ca="1">_FV(A11,"Price")</f>
        <v>2541.4</v>
      </c>
      <c r="E11" s="35">
        <f t="array" aca="1" ref="E11" ca="1">_FV(A11,"Low")</f>
        <v>2526.1999999999998</v>
      </c>
      <c r="F11" s="35">
        <f t="array" aca="1" ref="F11" ca="1">_FV(A11,"High")</f>
        <v>2628.7</v>
      </c>
      <c r="G11" s="35">
        <f t="array" aca="1" ref="G11" ca="1">_FV(A11,"52 week low",TRUE)</f>
        <v>1918.05</v>
      </c>
      <c r="H11" s="36">
        <f t="array" aca="1" ref="H11" ca="1">_FV(A11,"52 week high",TRUE)</f>
        <v>3775</v>
      </c>
      <c r="I11" s="40">
        <f t="shared" ca="1" si="0"/>
        <v>32.678145695364236</v>
      </c>
      <c r="J11" s="39" t="str">
        <f t="shared" ca="1" si="1"/>
        <v>SURE LC BUY</v>
      </c>
      <c r="K11" s="54">
        <f t="shared" ca="1" si="2"/>
        <v>-32.499152785380993</v>
      </c>
      <c r="L11" s="20">
        <f t="array" aca="1" ref="L11" ca="1">_FV(A11,"Market cap",TRUE)/10000000</f>
        <v>102470.6</v>
      </c>
      <c r="M11" s="21" t="str">
        <f t="shared" ca="1" si="3"/>
        <v>LC</v>
      </c>
      <c r="N11" s="56" t="s">
        <v>42</v>
      </c>
      <c r="O11" s="45" t="str">
        <f t="array" aca="1" ref="O11" ca="1">_FV(A11,"Industry")</f>
        <v>Aerospace &amp; Defense</v>
      </c>
    </row>
    <row r="12" spans="1:15">
      <c r="A12" s="65" t="e" vm="109">
        <v>#VALUE!</v>
      </c>
      <c r="B12" s="33">
        <f t="array" aca="1" ref="B12" ca="1">_FV(A12,"Change (%)",TRUE)</f>
        <v>9.3610000000000004E-4</v>
      </c>
      <c r="C12" s="35">
        <f t="array" aca="1" ref="C12" ca="1">_FV(A12,"Previous close",TRUE)</f>
        <v>3098</v>
      </c>
      <c r="D12" s="35">
        <f t="array" aca="1" ref="D12" ca="1">_FV(A12,"Price")</f>
        <v>3100.9</v>
      </c>
      <c r="E12" s="35">
        <f t="array" aca="1" ref="E12" ca="1">_FV(A12,"Low")</f>
        <v>3088.4</v>
      </c>
      <c r="F12" s="35">
        <f t="array" aca="1" ref="F12" ca="1">_FV(A12,"High")</f>
        <v>3123</v>
      </c>
      <c r="G12" s="35">
        <f t="array" aca="1" ref="G12" ca="1">_FV(A12,"52 week low",TRUE)</f>
        <v>2376.4499999999998</v>
      </c>
      <c r="H12" s="36">
        <f t="array" aca="1" ref="H12" ca="1">_FV(A12,"52 week high",TRUE)</f>
        <v>3596.32</v>
      </c>
      <c r="I12" s="40">
        <f t="shared" ca="1" si="0"/>
        <v>13.775748542955021</v>
      </c>
      <c r="J12" s="39" t="str">
        <f t="shared" ca="1" si="1"/>
        <v>LC BUY</v>
      </c>
      <c r="K12" s="54">
        <f t="shared" ca="1" si="2"/>
        <v>-30.484546277009841</v>
      </c>
      <c r="L12" s="20">
        <f t="array" aca="1" ref="L12" ca="1">_FV(A12,"Market cap",TRUE)/10000000</f>
        <v>110326.1</v>
      </c>
      <c r="M12" s="21" t="str">
        <f t="shared" ca="1" si="3"/>
        <v>LC</v>
      </c>
      <c r="N12" s="56" t="s">
        <v>30</v>
      </c>
      <c r="O12" s="46" t="str">
        <f t="array" aca="1" ref="O12" ca="1">_FV(A12,"Industry")</f>
        <v>Machinery, Equipment &amp; Components</v>
      </c>
    </row>
    <row r="13" spans="1:15">
      <c r="A13" s="65" t="e" vm="173">
        <v>#VALUE!</v>
      </c>
      <c r="B13" s="33">
        <f t="array" aca="1" ref="B13" ca="1">_FV(A13,"Change (%)",TRUE)</f>
        <v>-7.316E-4</v>
      </c>
      <c r="C13" s="35">
        <f t="array" aca="1" ref="C13" ca="1">_FV(A13,"Previous close",TRUE)</f>
        <v>1366.8</v>
      </c>
      <c r="D13" s="35">
        <f t="array" aca="1" ref="D13" ca="1">_FV(A13,"Price")</f>
        <v>1365.8</v>
      </c>
      <c r="E13" s="35">
        <f t="array" aca="1" ref="E13" ca="1">_FV(A13,"Low")</f>
        <v>1359.5</v>
      </c>
      <c r="F13" s="35">
        <f t="array" aca="1" ref="F13" ca="1">_FV(A13,"High")</f>
        <v>1374</v>
      </c>
      <c r="G13" s="35">
        <f t="array" aca="1" ref="G13" ca="1">_FV(A13,"52 week low",TRUE)</f>
        <v>1157</v>
      </c>
      <c r="H13" s="36">
        <f t="array" aca="1" ref="H13" ca="1">_FV(A13,"52 week high",TRUE)</f>
        <v>1825.78</v>
      </c>
      <c r="I13" s="40">
        <f t="shared" ca="1" si="0"/>
        <v>25.193615879240653</v>
      </c>
      <c r="J13" s="39" t="str">
        <f t="shared" ca="1" si="1"/>
        <v>HMC BUY</v>
      </c>
      <c r="K13" s="54">
        <f t="shared" ca="1" si="2"/>
        <v>-18.046672428694897</v>
      </c>
      <c r="L13" s="20">
        <f t="array" aca="1" ref="L13" ca="1">_FV(A13,"Market cap",TRUE)/10000000</f>
        <v>88490.76</v>
      </c>
      <c r="M13" s="21" t="str">
        <f t="shared" ca="1" si="3"/>
        <v>HMC</v>
      </c>
      <c r="N13" s="56" t="s">
        <v>42</v>
      </c>
      <c r="O13" s="46" t="str">
        <f t="array" aca="1" ref="O13" ca="1">_FV(A13,"Industry")</f>
        <v>Software &amp; IT Services</v>
      </c>
    </row>
    <row r="14" spans="1:15" hidden="1">
      <c r="A14" s="65" t="e" vm="174">
        <v>#VALUE!</v>
      </c>
      <c r="B14" s="33">
        <f t="array" aca="1" ref="B14" ca="1">_FV(A14,"Change (%)",TRUE)</f>
        <v>2.673E-3</v>
      </c>
      <c r="C14" s="35">
        <f t="array" aca="1" ref="C14" ca="1">_FV(A14,"Previous close",TRUE)</f>
        <v>149.66999999999999</v>
      </c>
      <c r="D14" s="35">
        <f t="array" aca="1" ref="D14" ca="1">_FV(A14,"Price")</f>
        <v>150.07</v>
      </c>
      <c r="E14" s="35">
        <f t="array" aca="1" ref="E14" ca="1">_FV(A14,"Low")</f>
        <v>148.96</v>
      </c>
      <c r="F14" s="35">
        <f t="array" aca="1" ref="F14" ca="1">_FV(A14,"High")</f>
        <v>150.85</v>
      </c>
      <c r="G14" s="35">
        <f t="array" aca="1" ref="G14" ca="1">_FV(A14,"52 week low",TRUE)</f>
        <v>78.599999999999994</v>
      </c>
      <c r="H14" s="36">
        <f t="array" aca="1" ref="H14" ca="1">_FV(A14,"52 week high",TRUE)</f>
        <v>154.21</v>
      </c>
      <c r="I14" s="40">
        <f t="shared" ca="1" si="0"/>
        <v>2.6846508008559851</v>
      </c>
      <c r="J14" s="39" t="str">
        <f t="shared" ca="1" si="1"/>
        <v>WATCH</v>
      </c>
      <c r="K14" s="54">
        <f t="shared" ca="1" si="2"/>
        <v>-90.928753180661587</v>
      </c>
      <c r="L14" s="20">
        <f t="array" aca="1" ref="L14" ca="1">_FV(A14,"Market cap",TRUE)/10000000</f>
        <v>136123.29999999999</v>
      </c>
      <c r="M14" s="21" t="str">
        <f t="shared" ca="1" si="3"/>
        <v>LC</v>
      </c>
      <c r="N14" s="56" t="s">
        <v>44</v>
      </c>
      <c r="O14" s="46" t="str">
        <f t="array" aca="1" ref="O14" ca="1">_FV(A14,"Industry")</f>
        <v>Banking Services</v>
      </c>
    </row>
    <row r="15" spans="1:15">
      <c r="A15" s="65" t="e" vm="63">
        <v>#VALUE!</v>
      </c>
      <c r="B15" s="33">
        <f t="array" aca="1" ref="B15" ca="1">_FV(A15,"Change (%)",TRUE)</f>
        <v>0.100008</v>
      </c>
      <c r="C15" s="35">
        <f t="array" aca="1" ref="C15" ca="1">_FV(A15,"Previous close",TRUE)</f>
        <v>121.49</v>
      </c>
      <c r="D15" s="35">
        <f t="array" aca="1" ref="D15" ca="1">_FV(A15,"Price")</f>
        <v>133.63999999999999</v>
      </c>
      <c r="E15" s="35">
        <f t="array" aca="1" ref="E15" ca="1">_FV(A15,"Low")</f>
        <v>121.86</v>
      </c>
      <c r="F15" s="35">
        <f t="array" aca="1" ref="F15" ca="1">_FV(A15,"High")</f>
        <v>134.59</v>
      </c>
      <c r="G15" s="35">
        <f t="array" aca="1" ref="G15" ca="1">_FV(A15,"52 week low",TRUE)</f>
        <v>108.04</v>
      </c>
      <c r="H15" s="36">
        <f t="array" aca="1" ref="H15" ca="1">_FV(A15,"52 week high",TRUE)</f>
        <v>158</v>
      </c>
      <c r="I15" s="40">
        <f t="shared" ca="1" si="0"/>
        <v>15.417721518987351</v>
      </c>
      <c r="J15" s="39" t="str">
        <f t="shared" ca="1" si="1"/>
        <v>LC BUY</v>
      </c>
      <c r="K15" s="54">
        <f t="shared" ca="1" si="2"/>
        <v>-23.694927804516826</v>
      </c>
      <c r="L15" s="20">
        <f t="array" aca="1" ref="L15" ca="1">_FV(A15,"Market cap",TRUE)/10000000</f>
        <v>158769.29999999999</v>
      </c>
      <c r="M15" s="21" t="str">
        <f t="shared" ca="1" si="3"/>
        <v>LC</v>
      </c>
      <c r="N15" s="56" t="s">
        <v>45</v>
      </c>
      <c r="O15" s="46" t="str">
        <f t="array" aca="1" ref="O15" ca="1">_FV(A15,"Industry")</f>
        <v>Banking Services</v>
      </c>
    </row>
    <row r="16" spans="1:15">
      <c r="A16" s="65" t="e" vm="175">
        <v>#VALUE!</v>
      </c>
      <c r="B16" s="33">
        <f t="array" aca="1" ref="B16" ca="1">_FV(A16,"Change (%)",TRUE)</f>
        <v>1.17E-4</v>
      </c>
      <c r="C16" s="35">
        <f t="array" aca="1" ref="C16" ca="1">_FV(A16,"Previous close",TRUE)</f>
        <v>171</v>
      </c>
      <c r="D16" s="35">
        <f t="array" aca="1" ref="D16" ca="1">_FV(A16,"Price")</f>
        <v>171.02</v>
      </c>
      <c r="E16" s="35">
        <f t="array" aca="1" ref="E16" ca="1">_FV(A16,"Low")</f>
        <v>170.38</v>
      </c>
      <c r="F16" s="35">
        <f t="array" aca="1" ref="F16" ca="1">_FV(A16,"High")</f>
        <v>171.98</v>
      </c>
      <c r="G16" s="35">
        <f t="array" aca="1" ref="G16" ca="1">_FV(A16,"52 week low",TRUE)</f>
        <v>150.52000000000001</v>
      </c>
      <c r="H16" s="36">
        <f t="array" aca="1" ref="H16" ca="1">_FV(A16,"52 week high",TRUE)</f>
        <v>202.79</v>
      </c>
      <c r="I16" s="40">
        <f t="shared" ca="1" si="0"/>
        <v>15.66645298091621</v>
      </c>
      <c r="J16" s="39" t="str">
        <f t="shared" ca="1" si="1"/>
        <v>LC BUY</v>
      </c>
      <c r="K16" s="54">
        <f t="shared" ca="1" si="2"/>
        <v>-13.619452564443263</v>
      </c>
      <c r="L16" s="20">
        <f t="array" aca="1" ref="L16" ca="1">_FV(A16,"Market cap",TRUE)/10000000</f>
        <v>112433.9</v>
      </c>
      <c r="M16" s="21" t="str">
        <f t="shared" ca="1" si="3"/>
        <v>LC</v>
      </c>
      <c r="N16" s="56" t="s">
        <v>46</v>
      </c>
      <c r="O16" s="45" t="str">
        <f t="array" aca="1" ref="O16" ca="1">_FV(A16,"Industry")</f>
        <v>Natural Gas Utilities</v>
      </c>
    </row>
    <row r="17" spans="1:15" hidden="1">
      <c r="A17" s="65" t="e" vm="176">
        <v>#VALUE!</v>
      </c>
      <c r="B17" s="33">
        <f t="array" aca="1" ref="B17" ca="1">_FV(A17,"Change (%)",TRUE)</f>
        <v>-8.0879999999999997E-3</v>
      </c>
      <c r="C17" s="35">
        <f t="array" aca="1" ref="C17" ca="1">_FV(A17,"Previous close",TRUE)</f>
        <v>290.55</v>
      </c>
      <c r="D17" s="35">
        <f t="array" aca="1" ref="D17" ca="1">_FV(A17,"Price")</f>
        <v>288.2</v>
      </c>
      <c r="E17" s="35">
        <f t="array" aca="1" ref="E17" ca="1">_FV(A17,"Low")</f>
        <v>287.5</v>
      </c>
      <c r="F17" s="35">
        <f t="array" aca="1" ref="F17" ca="1">_FV(A17,"High")</f>
        <v>291.75</v>
      </c>
      <c r="G17" s="35">
        <f t="array" aca="1" ref="G17" ca="1">_FV(A17,"52 week low",TRUE)</f>
        <v>190.7</v>
      </c>
      <c r="H17" s="36">
        <f t="array" aca="1" ref="H17" ca="1">_FV(A17,"52 week high",TRUE)</f>
        <v>303.95</v>
      </c>
      <c r="I17" s="40">
        <f t="shared" ca="1" si="0"/>
        <v>5.181773317979931</v>
      </c>
      <c r="J17" s="39" t="str">
        <f t="shared" ca="1" si="1"/>
        <v>WATCH</v>
      </c>
      <c r="K17" s="54">
        <f t="shared" ca="1" si="2"/>
        <v>-51.127425275301526</v>
      </c>
      <c r="L17" s="20">
        <f t="array" aca="1" ref="L17" ca="1">_FV(A17,"Market cap",TRUE)/10000000</f>
        <v>150253.9</v>
      </c>
      <c r="M17" s="21" t="str">
        <f t="shared" ca="1" si="3"/>
        <v>LC</v>
      </c>
      <c r="N17" s="56" t="s">
        <v>43</v>
      </c>
      <c r="O17" s="45" t="str">
        <f t="array" aca="1" ref="O17" ca="1">_FV(A17,"Industry")</f>
        <v>Banking Services</v>
      </c>
    </row>
    <row r="18" spans="1:15" hidden="1">
      <c r="A18" s="65" t="e" vm="177">
        <v>#VALUE!</v>
      </c>
      <c r="B18" s="33">
        <f t="array" aca="1" ref="B18" ca="1">_FV(A18,"Change (%)",TRUE)</f>
        <v>1.178E-4</v>
      </c>
      <c r="C18" s="35">
        <f t="array" aca="1" ref="C18" ca="1">_FV(A18,"Previous close",TRUE)</f>
        <v>1697.8</v>
      </c>
      <c r="D18" s="35">
        <f t="array" aca="1" ref="D18" ca="1">_FV(A18,"Price")</f>
        <v>1698</v>
      </c>
      <c r="E18" s="35">
        <f t="array" aca="1" ref="E18" ca="1">_FV(A18,"Low")</f>
        <v>1694.8</v>
      </c>
      <c r="F18" s="35">
        <f t="array" aca="1" ref="F18" ca="1">_FV(A18,"High")</f>
        <v>1712.4</v>
      </c>
      <c r="G18" s="35">
        <f t="array" aca="1" ref="G18" ca="1">_FV(A18,"52 week low",TRUE)</f>
        <v>1168</v>
      </c>
      <c r="H18" s="36">
        <f t="array" aca="1" ref="H18" ca="1">_FV(A18,"52 week high",TRUE)</f>
        <v>1782</v>
      </c>
      <c r="I18" s="40">
        <f t="shared" ca="1" si="0"/>
        <v>4.7138047138047137</v>
      </c>
      <c r="J18" s="39" t="str">
        <f t="shared" ca="1" si="1"/>
        <v>WATCH</v>
      </c>
      <c r="K18" s="54">
        <f t="shared" ca="1" si="2"/>
        <v>-45.376712328767127</v>
      </c>
      <c r="L18" s="20">
        <f t="array" aca="1" ref="L18" ca="1">_FV(A18,"Market cap",TRUE)/10000000</f>
        <v>143286.29999999999</v>
      </c>
      <c r="M18" s="21" t="str">
        <f t="shared" ca="1" si="3"/>
        <v>LC</v>
      </c>
      <c r="N18" s="56" t="s">
        <v>46</v>
      </c>
      <c r="O18" s="45" t="str">
        <f t="array" aca="1" ref="O18" ca="1">_FV(A18,"Industry")</f>
        <v>Banking Services</v>
      </c>
    </row>
    <row r="19" spans="1:15" hidden="1">
      <c r="A19" s="65" t="e" vm="178">
        <v>#VALUE!</v>
      </c>
      <c r="B19" s="33">
        <f t="array" aca="1" ref="B19" ca="1">_FV(A19,"Change (%)",TRUE)</f>
        <v>-6.8100000000000001E-3</v>
      </c>
      <c r="C19" s="35">
        <f t="array" aca="1" ref="C19" ca="1">_FV(A19,"Previous close",TRUE)</f>
        <v>917.8</v>
      </c>
      <c r="D19" s="35">
        <f t="array" aca="1" ref="D19" ca="1">_FV(A19,"Price")</f>
        <v>911.55</v>
      </c>
      <c r="E19" s="35">
        <f t="array" aca="1" ref="E19" ca="1">_FV(A19,"Low")</f>
        <v>909</v>
      </c>
      <c r="F19" s="35">
        <f t="array" aca="1" ref="F19" ca="1">_FV(A19,"High")</f>
        <v>920</v>
      </c>
      <c r="G19" s="35">
        <f t="array" aca="1" ref="G19" ca="1">_FV(A19,"52 week low",TRUE)</f>
        <v>795</v>
      </c>
      <c r="H19" s="36">
        <f t="array" aca="1" ref="H19" ca="1">_FV(A19,"52 week high",TRUE)</f>
        <v>1059.05</v>
      </c>
      <c r="I19" s="40">
        <f t="shared" ca="1" si="0"/>
        <v>13.92757660167131</v>
      </c>
      <c r="J19" s="39" t="str">
        <f t="shared" ca="1" si="1"/>
        <v>WATCH</v>
      </c>
      <c r="K19" s="54">
        <f t="shared" ca="1" si="2"/>
        <v>-14.660377358490562</v>
      </c>
      <c r="L19" s="20">
        <f t="array" aca="1" ref="L19" ca="1">_FV(A19,"Market cap",TRUE)/10000000</f>
        <v>92352.16</v>
      </c>
      <c r="M19" s="21" t="str">
        <f t="shared" ca="1" si="3"/>
        <v>HMC</v>
      </c>
      <c r="N19" s="56" t="s">
        <v>30</v>
      </c>
      <c r="O19" s="45" t="str">
        <f t="array" aca="1" ref="O19" ca="1">_FV(A19,"Industry")</f>
        <v>Pharmaceuticals</v>
      </c>
    </row>
    <row r="20" spans="1:15">
      <c r="A20" s="65" t="e" vm="179">
        <v>#VALUE!</v>
      </c>
      <c r="B20" s="33">
        <f t="array" aca="1" ref="B20" ca="1">_FV(A20,"Change (%)",TRUE)</f>
        <v>4.4299999999999999E-3</v>
      </c>
      <c r="C20" s="35">
        <f t="array" aca="1" ref="C20" ca="1">_FV(A20,"Previous close",TRUE)</f>
        <v>1422.1</v>
      </c>
      <c r="D20" s="35">
        <f t="array" aca="1" ref="D20" ca="1">_FV(A20,"Price")</f>
        <v>1428.4</v>
      </c>
      <c r="E20" s="35">
        <f t="array" aca="1" ref="E20" ca="1">_FV(A20,"Low")</f>
        <v>1416.1</v>
      </c>
      <c r="F20" s="35">
        <f t="array" aca="1" ref="F20" ca="1">_FV(A20,"High")</f>
        <v>1434</v>
      </c>
      <c r="G20" s="35">
        <f t="array" aca="1" ref="G20" ca="1">_FV(A20,"52 week low",TRUE)</f>
        <v>1271.0999999999999</v>
      </c>
      <c r="H20" s="36">
        <f t="array" aca="1" ref="H20" ca="1">_FV(A20,"52 week high",TRUE)</f>
        <v>1700</v>
      </c>
      <c r="I20" s="40">
        <f t="shared" ca="1" si="0"/>
        <v>15.976470588235291</v>
      </c>
      <c r="J20" s="39" t="str">
        <f t="shared" ca="1" si="1"/>
        <v>LC BUY</v>
      </c>
      <c r="K20" s="54">
        <f t="shared" ca="1" si="2"/>
        <v>-12.375108174022515</v>
      </c>
      <c r="L20" s="20">
        <f t="array" aca="1" ref="L20" ca="1">_FV(A20,"Market cap",TRUE)/10000000</f>
        <v>103436.6</v>
      </c>
      <c r="M20" s="21" t="str">
        <f t="shared" ca="1" si="3"/>
        <v>LC</v>
      </c>
      <c r="N20" s="56" t="s">
        <v>30</v>
      </c>
      <c r="O20" s="45" t="str">
        <f t="array" aca="1" ref="O20" ca="1">_FV(A20,"Industry")</f>
        <v>Beverages</v>
      </c>
    </row>
    <row r="21" spans="1:15">
      <c r="A21" s="65" t="e" vm="42">
        <v>#VALUE!</v>
      </c>
      <c r="B21" s="33">
        <f t="array" aca="1" ref="B21" ca="1">_FV(A21,"Change (%)",TRUE)</f>
        <v>-2.7369999999999998E-3</v>
      </c>
      <c r="C21" s="35">
        <f t="array" aca="1" ref="C21" ca="1">_FV(A21,"Previous close",TRUE)</f>
        <v>4421.3</v>
      </c>
      <c r="D21" s="35">
        <f t="array" aca="1" ref="D21" ca="1">_FV(A21,"Price")</f>
        <v>4409.2</v>
      </c>
      <c r="E21" s="35">
        <f t="array" aca="1" ref="E21" ca="1">_FV(A21,"Low")</f>
        <v>4401.1000000000004</v>
      </c>
      <c r="F21" s="35">
        <f t="array" aca="1" ref="F21" ca="1">_FV(A21,"High")</f>
        <v>4476</v>
      </c>
      <c r="G21" s="35">
        <f t="array" aca="1" ref="G21" ca="1">_FV(A21,"52 week low",TRUE)</f>
        <v>3046.05</v>
      </c>
      <c r="H21" s="36">
        <f t="array" aca="1" ref="H21" ca="1">_FV(A21,"52 week high",TRUE)</f>
        <v>5165</v>
      </c>
      <c r="I21" s="40">
        <f t="shared" ca="1" si="0"/>
        <v>14.633107454017427</v>
      </c>
      <c r="J21" s="39" t="str">
        <f t="shared" ca="1" si="1"/>
        <v>LC BUY</v>
      </c>
      <c r="K21" s="54">
        <f t="shared" ca="1" si="2"/>
        <v>-44.751399353260766</v>
      </c>
      <c r="L21" s="20">
        <f t="array" aca="1" ref="L21" ca="1">_FV(A21,"Market cap",TRUE)/10000000</f>
        <v>295685.5</v>
      </c>
      <c r="M21" s="21" t="str">
        <f t="shared" ca="1" si="3"/>
        <v>LC</v>
      </c>
      <c r="N21" s="56" t="s">
        <v>42</v>
      </c>
      <c r="O21" s="46" t="str">
        <f t="array" aca="1" ref="O21" ca="1">_FV(A21,"Industry")</f>
        <v>Aerospace &amp; Defense</v>
      </c>
    </row>
    <row r="22" spans="1:15" hidden="1">
      <c r="A22" s="65" t="e" vm="180">
        <v>#VALUE!</v>
      </c>
      <c r="B22" s="33">
        <f t="array" aca="1" ref="B22" ca="1">_FV(A22,"Change (%)",TRUE)</f>
        <v>-4.7470000000000004E-3</v>
      </c>
      <c r="C22" s="35">
        <f t="array" aca="1" ref="C22" ca="1">_FV(A22,"Previous close",TRUE)</f>
        <v>1959.3</v>
      </c>
      <c r="D22" s="35">
        <f t="array" aca="1" ref="D22" ca="1">_FV(A22,"Price")</f>
        <v>1950</v>
      </c>
      <c r="E22" s="35">
        <f t="array" aca="1" ref="E22" ca="1">_FV(A22,"Low")</f>
        <v>1939.6</v>
      </c>
      <c r="F22" s="35">
        <f t="array" aca="1" ref="F22" ca="1">_FV(A22,"High")</f>
        <v>1962.4</v>
      </c>
      <c r="G22" s="35">
        <f t="array" aca="1" ref="G22" ca="1">_FV(A22,"52 week low",TRUE)</f>
        <v>1613.7</v>
      </c>
      <c r="H22" s="36">
        <f t="array" aca="1" ref="H22" ca="1">_FV(A22,"52 week high",TRUE)</f>
        <v>2068.6999999999998</v>
      </c>
      <c r="I22" s="40">
        <f t="shared" ca="1" si="0"/>
        <v>5.7379030308889556</v>
      </c>
      <c r="J22" s="39" t="str">
        <f t="shared" ca="1" si="1"/>
        <v>WATCH</v>
      </c>
      <c r="K22" s="54">
        <f t="shared" ca="1" si="2"/>
        <v>-20.84030488938464</v>
      </c>
      <c r="L22" s="20">
        <f t="array" aca="1" ref="L22" ca="1">_FV(A22,"Market cap",TRUE)/10000000</f>
        <v>97118.74</v>
      </c>
      <c r="M22" s="21" t="str">
        <f t="shared" ca="1" si="3"/>
        <v>HMC</v>
      </c>
      <c r="N22" s="56" t="s">
        <v>47</v>
      </c>
      <c r="O22" s="45" t="str">
        <f t="array" aca="1" ref="O22" ca="1">_FV(A22,"Industry")</f>
        <v>Insurance</v>
      </c>
    </row>
    <row r="23" spans="1:15" hidden="1">
      <c r="A23" s="65" t="e" vm="181">
        <v>#VALUE!</v>
      </c>
      <c r="B23" s="33">
        <f t="array" aca="1" ref="B23" ca="1">_FV(A23,"Change (%)",TRUE)</f>
        <v>-4.6160000000000003E-3</v>
      </c>
      <c r="C23" s="35">
        <f t="array" aca="1" ref="C23" ca="1">_FV(A23,"Previous close",TRUE)</f>
        <v>3834.3</v>
      </c>
      <c r="D23" s="35">
        <f t="array" aca="1" ref="D23" ca="1">_FV(A23,"Price")</f>
        <v>3816.6</v>
      </c>
      <c r="E23" s="35">
        <f t="array" aca="1" ref="E23" ca="1">_FV(A23,"Low")</f>
        <v>3802.5</v>
      </c>
      <c r="F23" s="35">
        <f t="array" aca="1" ref="F23" ca="1">_FV(A23,"High")</f>
        <v>3846.1</v>
      </c>
      <c r="G23" s="35">
        <f t="array" aca="1" ref="G23" ca="1">_FV(A23,"52 week low",TRUE)</f>
        <v>2886.45</v>
      </c>
      <c r="H23" s="36">
        <f t="array" aca="1" ref="H23" ca="1">_FV(A23,"52 week high",TRUE)</f>
        <v>3882.2</v>
      </c>
      <c r="I23" s="40">
        <f t="shared" ca="1" si="0"/>
        <v>1.6897635361393002</v>
      </c>
      <c r="J23" s="39" t="str">
        <f t="shared" ca="1" si="1"/>
        <v>WATCH</v>
      </c>
      <c r="K23" s="54">
        <f t="shared" ca="1" si="2"/>
        <v>-32.224705087564317</v>
      </c>
      <c r="L23" s="20">
        <f t="array" aca="1" ref="L23" ca="1">_FV(A23,"Market cap",TRUE)/10000000</f>
        <v>129770.1</v>
      </c>
      <c r="M23" s="21" t="str">
        <f t="shared" ca="1" si="3"/>
        <v>LC</v>
      </c>
      <c r="N23" s="56" t="s">
        <v>48</v>
      </c>
      <c r="O23" s="45" t="str">
        <f t="array" aca="1" ref="O23" ca="1">_FV(A23,"Industry")</f>
        <v>Pharmaceuticals</v>
      </c>
    </row>
    <row r="24" spans="1:15" hidden="1">
      <c r="A24" s="65" t="e" vm="182">
        <v>#VALUE!</v>
      </c>
      <c r="B24" s="33">
        <f t="array" aca="1" ref="B24" ca="1">_FV(A24,"Change (%)",TRUE)</f>
        <v>-8.4849999999999995E-3</v>
      </c>
      <c r="C24" s="35">
        <f t="array" aca="1" ref="C24" ca="1">_FV(A24,"Previous close",TRUE)</f>
        <v>3665.2</v>
      </c>
      <c r="D24" s="35">
        <f t="array" aca="1" ref="D24" ca="1">_FV(A24,"Price")</f>
        <v>3634.1</v>
      </c>
      <c r="E24" s="35">
        <f t="array" aca="1" ref="E24" ca="1">_FV(A24,"Low")</f>
        <v>3626.4</v>
      </c>
      <c r="F24" s="35">
        <f t="array" aca="1" ref="F24" ca="1">_FV(A24,"High")</f>
        <v>3675.1</v>
      </c>
      <c r="G24" s="35">
        <f t="array" aca="1" ref="G24" ca="1">_FV(A24,"52 week low",TRUE)</f>
        <v>2171.4</v>
      </c>
      <c r="H24" s="36">
        <f t="array" aca="1" ref="H24" ca="1">_FV(A24,"52 week high",TRUE)</f>
        <v>3734.9</v>
      </c>
      <c r="I24" s="40">
        <f t="shared" ca="1" si="0"/>
        <v>2.6988674395566195</v>
      </c>
      <c r="J24" s="39" t="str">
        <f t="shared" ca="1" si="1"/>
        <v>WATCH</v>
      </c>
      <c r="K24" s="54">
        <f t="shared" ca="1" si="2"/>
        <v>-67.362070553559903</v>
      </c>
      <c r="L24" s="20">
        <f t="array" aca="1" ref="L24" ca="1">_FV(A24,"Market cap",TRUE)/10000000</f>
        <v>174067.4</v>
      </c>
      <c r="M24" s="21" t="str">
        <f t="shared" ca="1" si="3"/>
        <v>LC</v>
      </c>
      <c r="N24" s="56" t="s">
        <v>30</v>
      </c>
      <c r="O24" s="46" t="str">
        <f t="array" aca="1" ref="O24" ca="1">_FV(A24,"Industry")</f>
        <v>Automobiles &amp; Auto Parts</v>
      </c>
    </row>
    <row r="25" spans="1:15">
      <c r="A25" s="65" t="e" vm="97">
        <v>#VALUE!</v>
      </c>
      <c r="B25" s="33">
        <f t="array" aca="1" ref="B25" ca="1">_FV(A25,"Change (%)",TRUE)</f>
        <v>6.6239999999999997E-3</v>
      </c>
      <c r="C25" s="35">
        <f t="array" aca="1" ref="C25" ca="1">_FV(A25,"Previous close",TRUE)</f>
        <v>354.75</v>
      </c>
      <c r="D25" s="35">
        <f t="array" aca="1" ref="D25" ca="1">_FV(A25,"Price")</f>
        <v>357.1</v>
      </c>
      <c r="E25" s="35">
        <f t="array" aca="1" ref="E25" ca="1">_FV(A25,"Low")</f>
        <v>353.55</v>
      </c>
      <c r="F25" s="35">
        <f t="array" aca="1" ref="F25" ca="1">_FV(A25,"High")</f>
        <v>360.45</v>
      </c>
      <c r="G25" s="35">
        <f t="array" aca="1" ref="G25" ca="1">_FV(A25,"52 week low",TRUE)</f>
        <v>330.95</v>
      </c>
      <c r="H25" s="36">
        <f t="array" aca="1" ref="H25" ca="1">_FV(A25,"52 week high",TRUE)</f>
        <v>544.70000000000005</v>
      </c>
      <c r="I25" s="40">
        <f t="shared" ca="1" si="0"/>
        <v>34.440976684413442</v>
      </c>
      <c r="J25" s="39" t="str">
        <f t="shared" ca="1" si="1"/>
        <v>SURE HMC BUY</v>
      </c>
      <c r="K25" s="54">
        <f t="shared" ca="1" si="2"/>
        <v>-7.9014956942136383</v>
      </c>
      <c r="L25" s="20">
        <f t="array" aca="1" ref="L25" ca="1">_FV(A25,"Market cap",TRUE)/10000000</f>
        <v>93413.62</v>
      </c>
      <c r="M25" s="21" t="str">
        <f t="shared" ca="1" si="3"/>
        <v>HMC</v>
      </c>
      <c r="N25" s="56" t="s">
        <v>49</v>
      </c>
      <c r="O25" s="45" t="str">
        <f t="array" aca="1" ref="O25" ca="1">_FV(A25,"Industry")</f>
        <v>Banking Services</v>
      </c>
    </row>
    <row r="26" spans="1:15">
      <c r="A26" s="65" t="e" vm="118">
        <v>#VALUE!</v>
      </c>
      <c r="B26" s="33">
        <f t="array" aca="1" ref="B26" ca="1">_FV(A26,"Change (%)",TRUE)</f>
        <v>-3.9500000000000001E-4</v>
      </c>
      <c r="C26" s="35">
        <f t="array" aca="1" ref="C26" ca="1">_FV(A26,"Previous close",TRUE)</f>
        <v>379.7</v>
      </c>
      <c r="D26" s="35">
        <f t="array" aca="1" ref="D26" ca="1">_FV(A26,"Price")</f>
        <v>379.55</v>
      </c>
      <c r="E26" s="35">
        <f t="array" aca="1" ref="E26" ca="1">_FV(A26,"Low")</f>
        <v>378.1</v>
      </c>
      <c r="F26" s="35">
        <f t="array" aca="1" ref="F26" ca="1">_FV(A26,"High")</f>
        <v>381.9</v>
      </c>
      <c r="G26" s="35">
        <f t="array" aca="1" ref="G26" ca="1">_FV(A26,"52 week low",TRUE)</f>
        <v>326.35000000000002</v>
      </c>
      <c r="H26" s="36">
        <f t="array" aca="1" ref="H26" ca="1">_FV(A26,"52 week high",TRUE)</f>
        <v>416.8</v>
      </c>
      <c r="I26" s="40">
        <f t="shared" ca="1" si="0"/>
        <v>8.9371401151631478</v>
      </c>
      <c r="J26" s="39" t="str">
        <f t="shared" ca="1" si="1"/>
        <v>WATCH</v>
      </c>
      <c r="K26" s="54">
        <f t="shared" ca="1" si="2"/>
        <v>-16.301516776466979</v>
      </c>
      <c r="L26" s="20">
        <f t="array" aca="1" ref="L26" ca="1">_FV(A26,"Market cap",TRUE)/10000000</f>
        <v>121327</v>
      </c>
      <c r="M26" s="21" t="str">
        <f t="shared" ca="1" si="3"/>
        <v>LC</v>
      </c>
      <c r="N26" s="56" t="s">
        <v>30</v>
      </c>
      <c r="O26" s="46" t="str">
        <f t="array" aca="1" ref="O26" ca="1">_FV(A26,"Industry")</f>
        <v>Electrical Utilities &amp; IPPs</v>
      </c>
    </row>
    <row r="27" spans="1:15">
      <c r="A27" s="65" t="e" vm="183">
        <v>#VALUE!</v>
      </c>
      <c r="B27" s="33">
        <f t="array" aca="1" ref="B27" ca="1">_FV(A27,"Change (%)",TRUE)</f>
        <v>-4.3530000000000001E-3</v>
      </c>
      <c r="C27" s="35">
        <f t="array" aca="1" ref="C27" ca="1">_FV(A27,"Previous close",TRUE)</f>
        <v>1424.4</v>
      </c>
      <c r="D27" s="35">
        <f t="array" aca="1" ref="D27" ca="1">_FV(A27,"Price")</f>
        <v>1418.2</v>
      </c>
      <c r="E27" s="35">
        <f t="array" aca="1" ref="E27" ca="1">_FV(A27,"Low")</f>
        <v>1415.1</v>
      </c>
      <c r="F27" s="35">
        <f t="array" aca="1" ref="F27" ca="1">_FV(A27,"High")</f>
        <v>1435.8</v>
      </c>
      <c r="G27" s="35">
        <f t="array" aca="1" ref="G27" ca="1">_FV(A27,"52 week low",TRUE)</f>
        <v>1380</v>
      </c>
      <c r="H27" s="36">
        <f t="array" aca="1" ref="H27" ca="1">_FV(A27,"52 week high",TRUE)</f>
        <v>1721.2</v>
      </c>
      <c r="I27" s="40">
        <f t="shared" ca="1" si="0"/>
        <v>17.603997211247965</v>
      </c>
      <c r="J27" s="39" t="str">
        <f t="shared" ca="1" si="1"/>
        <v>FIRST HMC BUY</v>
      </c>
      <c r="K27" s="54">
        <f t="shared" ca="1" si="2"/>
        <v>-2.7681159420289889</v>
      </c>
      <c r="L27" s="20">
        <f t="array" aca="1" ref="L27" ca="1">_FV(A27,"Market cap",TRUE)/10000000</f>
        <v>89346.46</v>
      </c>
      <c r="M27" s="21" t="str">
        <f t="shared" ca="1" si="3"/>
        <v>HMC</v>
      </c>
      <c r="N27" s="56" t="s">
        <v>50</v>
      </c>
      <c r="O27" s="46" t="str">
        <f t="array" aca="1" ref="O27" ca="1">_FV(A27,"Industry")</f>
        <v>Machinery, Equipment &amp; Components</v>
      </c>
    </row>
    <row r="28" spans="1:15">
      <c r="A28" s="65" t="e" vm="82">
        <v>#VALUE!</v>
      </c>
      <c r="B28" s="33">
        <f t="array" aca="1" ref="B28" ca="1">_FV(A28,"Change (%)",TRUE)</f>
        <v>-2.0080000000000002E-3</v>
      </c>
      <c r="C28" s="35">
        <f t="array" aca="1" ref="C28" ca="1">_FV(A28,"Previous close",TRUE)</f>
        <v>119.53</v>
      </c>
      <c r="D28" s="35">
        <f t="array" aca="1" ref="D28" ca="1">_FV(A28,"Price")</f>
        <v>119.29</v>
      </c>
      <c r="E28" s="35">
        <f t="array" aca="1" ref="E28" ca="1">_FV(A28,"Low")</f>
        <v>118.4</v>
      </c>
      <c r="F28" s="35">
        <f t="array" aca="1" ref="F28" ca="1">_FV(A28,"High")</f>
        <v>121.14</v>
      </c>
      <c r="G28" s="35">
        <f t="array" aca="1" ref="G28" ca="1">_FV(A28,"52 week low",TRUE)</f>
        <v>71.5</v>
      </c>
      <c r="H28" s="36">
        <f t="array" aca="1" ref="H28" ca="1">_FV(A28,"52 week high",TRUE)</f>
        <v>122.8</v>
      </c>
      <c r="I28" s="40">
        <f t="shared" ca="1" si="0"/>
        <v>2.858306188925074</v>
      </c>
      <c r="J28" s="39" t="str">
        <f t="shared" ca="1" si="1"/>
        <v>WATCH</v>
      </c>
      <c r="K28" s="54">
        <f t="shared" ca="1" si="2"/>
        <v>-66.839160839160854</v>
      </c>
      <c r="L28" s="20">
        <f t="array" aca="1" ref="L28" ca="1">_FV(A28,"Market cap",TRUE)/10000000</f>
        <v>126157.3</v>
      </c>
      <c r="M28" s="21" t="str">
        <f t="shared" ca="1" si="3"/>
        <v>LC</v>
      </c>
      <c r="N28" s="56" t="s">
        <v>38</v>
      </c>
      <c r="O28" s="46" t="str">
        <f t="array" aca="1" ref="O28" ca="1">_FV(A28,"Industry")</f>
        <v>Automobiles &amp; Auto Parts</v>
      </c>
    </row>
    <row r="29" spans="1:15" hidden="1">
      <c r="A29" s="65" t="e" vm="58">
        <v>#VALUE!</v>
      </c>
      <c r="B29" s="33">
        <f t="array" aca="1" ref="B29" ca="1">_FV(A29,"Change (%)",TRUE)</f>
        <v>-5.3979999999999992E-3</v>
      </c>
      <c r="C29" s="35">
        <f t="array" aca="1" ref="C29" ca="1">_FV(A29,"Previous close",TRUE)</f>
        <v>161.16999999999999</v>
      </c>
      <c r="D29" s="35">
        <f t="array" aca="1" ref="D29" ca="1">_FV(A29,"Price")</f>
        <v>160.30000000000001</v>
      </c>
      <c r="E29" s="35">
        <f t="array" aca="1" ref="E29" ca="1">_FV(A29,"Low")</f>
        <v>159.61000000000001</v>
      </c>
      <c r="F29" s="35">
        <f t="array" aca="1" ref="F29" ca="1">_FV(A29,"High")</f>
        <v>161.94</v>
      </c>
      <c r="G29" s="35">
        <f t="array" aca="1" ref="G29" ca="1">_FV(A29,"52 week low",TRUE)</f>
        <v>110.72</v>
      </c>
      <c r="H29" s="36">
        <f t="array" aca="1" ref="H29" ca="1">_FV(A29,"52 week high",TRUE)</f>
        <v>174.5</v>
      </c>
      <c r="I29" s="40">
        <f t="shared" ca="1" si="0"/>
        <v>8.1375358166189038</v>
      </c>
      <c r="J29" s="39" t="str">
        <f t="shared" ca="1" si="1"/>
        <v>WATCH</v>
      </c>
      <c r="K29" s="54">
        <f t="shared" ca="1" si="2"/>
        <v>-44.779624277456655</v>
      </c>
      <c r="L29" s="20">
        <f t="array" aca="1" ref="L29" ca="1">_FV(A29,"Market cap",TRUE)/10000000</f>
        <v>227592</v>
      </c>
      <c r="M29" s="21" t="str">
        <f t="shared" ca="1" si="3"/>
        <v>LC</v>
      </c>
      <c r="N29" s="56" t="s">
        <v>51</v>
      </c>
      <c r="O29" s="46" t="str">
        <f t="array" aca="1" ref="O29" ca="1">_FV(A29,"Industry")</f>
        <v>Oil &amp; Gas</v>
      </c>
    </row>
    <row r="30" spans="1:15" hidden="1">
      <c r="A30" s="65" t="e" vm="184">
        <v>#VALUE!</v>
      </c>
      <c r="B30" s="33">
        <f t="array" aca="1" ref="B30" ca="1">_FV(A30,"Change (%)",TRUE)</f>
        <v>-7.4139999999999996E-3</v>
      </c>
      <c r="C30" s="35">
        <f t="array" aca="1" ref="C30" ca="1">_FV(A30,"Previous close",TRUE)</f>
        <v>660.9</v>
      </c>
      <c r="D30" s="35">
        <f t="array" aca="1" ref="D30" ca="1">_FV(A30,"Price")</f>
        <v>656</v>
      </c>
      <c r="E30" s="35">
        <f t="array" aca="1" ref="E30" ca="1">_FV(A30,"Low")</f>
        <v>653.20000000000005</v>
      </c>
      <c r="F30" s="35">
        <f t="array" aca="1" ref="F30" ca="1">_FV(A30,"High")</f>
        <v>666.9</v>
      </c>
      <c r="G30" s="35">
        <f t="array" aca="1" ref="G30" ca="1">_FV(A30,"52 week low",TRUE)</f>
        <v>517.70000000000005</v>
      </c>
      <c r="H30" s="36">
        <f t="array" aca="1" ref="H30" ca="1">_FV(A30,"52 week high",TRUE)</f>
        <v>797.55</v>
      </c>
      <c r="I30" s="40">
        <f t="shared" ca="1" si="0"/>
        <v>17.748103567174468</v>
      </c>
      <c r="J30" s="39" t="str">
        <f t="shared" ca="1" si="1"/>
        <v>LC BUY</v>
      </c>
      <c r="K30" s="54">
        <f t="shared" ca="1" si="2"/>
        <v>-26.714313308866128</v>
      </c>
      <c r="L30" s="20">
        <f t="array" aca="1" ref="L30" ca="1">_FV(A30,"Market cap",TRUE)/10000000</f>
        <v>104082.7</v>
      </c>
      <c r="M30" s="21" t="str">
        <f t="shared" ca="1" si="3"/>
        <v>LC</v>
      </c>
      <c r="N30" s="56" t="s">
        <v>45</v>
      </c>
      <c r="O30" s="46" t="str">
        <f t="array" aca="1" ref="O30" ca="1">_FV(A30,"Industry")</f>
        <v>Machinery, Equipment &amp; Components</v>
      </c>
    </row>
    <row r="31" spans="1:15" hidden="1">
      <c r="A31" s="65" t="e" vm="93">
        <v>#VALUE!</v>
      </c>
      <c r="B31" s="33">
        <f t="array" aca="1" ref="B31" ca="1">_FV(A31,"Change (%)",TRUE)</f>
        <v>8.2950000000000003E-3</v>
      </c>
      <c r="C31" s="35">
        <f t="array" aca="1" ref="C31" ca="1">_FV(A31,"Previous close",TRUE)</f>
        <v>1446.6</v>
      </c>
      <c r="D31" s="35">
        <f t="array" aca="1" ref="D31" ca="1">_FV(A31,"Price")</f>
        <v>1458.6</v>
      </c>
      <c r="E31" s="35">
        <f t="array" aca="1" ref="E31" ca="1">_FV(A31,"Low")</f>
        <v>1445</v>
      </c>
      <c r="F31" s="35">
        <f t="array" aca="1" ref="F31" ca="1">_FV(A31,"High")</f>
        <v>1464</v>
      </c>
      <c r="G31" s="35">
        <f t="array" aca="1" ref="G31" ca="1">_FV(A31,"52 week low",TRUE)</f>
        <v>1306.8699999999999</v>
      </c>
      <c r="H31" s="36">
        <f t="array" aca="1" ref="H31" ca="1">_FV(A31,"52 week high",TRUE)</f>
        <v>1574.95</v>
      </c>
      <c r="I31" s="40">
        <f t="shared" ca="1" si="0"/>
        <v>7.3875361122575409</v>
      </c>
      <c r="J31" s="39" t="str">
        <f t="shared" ca="1" si="1"/>
        <v>WATCH</v>
      </c>
      <c r="K31" s="54">
        <f t="shared" ca="1" si="2"/>
        <v>-11.610183109261062</v>
      </c>
      <c r="L31" s="20">
        <f t="array" aca="1" ref="L31" ca="1">_FV(A31,"Market cap",TRUE)/10000000</f>
        <v>147222.5</v>
      </c>
      <c r="M31" s="21" t="str">
        <f t="shared" ca="1" si="3"/>
        <v>LC</v>
      </c>
      <c r="N31" s="56" t="s">
        <v>30</v>
      </c>
      <c r="O31" s="46" t="str">
        <f t="array" aca="1" ref="O31" ca="1">_FV(A31,"Industry")</f>
        <v>Chemicals</v>
      </c>
    </row>
    <row r="32" spans="1:15">
      <c r="A32" s="65" t="e" vm="185">
        <v>#VALUE!</v>
      </c>
      <c r="B32" s="33">
        <f t="array" aca="1" ref="B32" ca="1">_FV(A32,"Change (%)",TRUE)</f>
        <v>-1.022E-2</v>
      </c>
      <c r="C32" s="35">
        <f t="array" aca="1" ref="C32" ca="1">_FV(A32,"Previous close",TRUE)</f>
        <v>484.35</v>
      </c>
      <c r="D32" s="35">
        <f t="array" aca="1" ref="D32" ca="1">_FV(A32,"Price")</f>
        <v>479.4</v>
      </c>
      <c r="E32" s="35">
        <f t="array" aca="1" ref="E32" ca="1">_FV(A32,"Low")</f>
        <v>477.3</v>
      </c>
      <c r="F32" s="35">
        <f t="array" aca="1" ref="F32" ca="1">_FV(A32,"High")</f>
        <v>486.95</v>
      </c>
      <c r="G32" s="35">
        <f t="array" aca="1" ref="G32" ca="1">_FV(A32,"52 week low",TRUE)</f>
        <v>418.75</v>
      </c>
      <c r="H32" s="36">
        <f t="array" aca="1" ref="H32" ca="1">_FV(A32,"52 week high",TRUE)</f>
        <v>679.25</v>
      </c>
      <c r="I32" s="40">
        <f t="shared" ca="1" si="0"/>
        <v>29.422156790577848</v>
      </c>
      <c r="J32" s="39" t="str">
        <f t="shared" ca="1" si="1"/>
        <v>HMC BUY</v>
      </c>
      <c r="K32" s="54">
        <f t="shared" ca="1" si="2"/>
        <v>-14.483582089552234</v>
      </c>
      <c r="L32" s="20">
        <f t="array" aca="1" ref="L32" ca="1">_FV(A32,"Market cap",TRUE)/10000000</f>
        <v>84591.86</v>
      </c>
      <c r="M32" s="21" t="str">
        <f t="shared" ca="1" si="3"/>
        <v>HMC</v>
      </c>
      <c r="N32" s="56" t="s">
        <v>47</v>
      </c>
      <c r="O32" s="46" t="str">
        <f t="array" aca="1" ref="O32" ca="1">_FV(A32,"Industry")</f>
        <v>Electrical Utilities &amp; IPPs</v>
      </c>
    </row>
    <row r="33" spans="1:15">
      <c r="A33" s="65" t="e" vm="186">
        <v>#VALUE!</v>
      </c>
      <c r="B33" s="33">
        <f t="array" aca="1" ref="B33" ca="1">_FV(A33,"Change (%)",TRUE)</f>
        <v>1.1950000000000001E-2</v>
      </c>
      <c r="C33" s="35">
        <f t="array" aca="1" ref="C33" ca="1">_FV(A33,"Previous close",TRUE)</f>
        <v>548.1</v>
      </c>
      <c r="D33" s="35">
        <f t="array" aca="1" ref="D33" ca="1">_FV(A33,"Price")</f>
        <v>554.65</v>
      </c>
      <c r="E33" s="35">
        <f t="array" aca="1" ref="E33" ca="1">_FV(A33,"Low")</f>
        <v>548.20000000000005</v>
      </c>
      <c r="F33" s="35">
        <f t="array" aca="1" ref="F33" ca="1">_FV(A33,"High")</f>
        <v>555</v>
      </c>
      <c r="G33" s="35">
        <f t="array" aca="1" ref="G33" ca="1">_FV(A33,"52 week low",TRUE)</f>
        <v>455</v>
      </c>
      <c r="H33" s="36">
        <f t="array" aca="1" ref="H33" ca="1">_FV(A33,"52 week high",TRUE)</f>
        <v>624.95000000000005</v>
      </c>
      <c r="I33" s="40">
        <f t="shared" ca="1" si="0"/>
        <v>11.24889991199297</v>
      </c>
      <c r="J33" s="39" t="str">
        <f t="shared" ca="1" si="1"/>
        <v>LC BUY</v>
      </c>
      <c r="K33" s="54">
        <f t="shared" ca="1" si="2"/>
        <v>-21.901098901098898</v>
      </c>
      <c r="L33" s="20">
        <f t="array" aca="1" ref="L33" ca="1">_FV(A33,"Market cap",TRUE)/10000000</f>
        <v>137099.70000000001</v>
      </c>
      <c r="M33" s="21" t="str">
        <f t="shared" ca="1" si="3"/>
        <v>LC</v>
      </c>
      <c r="N33" s="56" t="s">
        <v>30</v>
      </c>
      <c r="O33" s="45" t="str">
        <f t="array" aca="1" ref="O33" ca="1">_FV(A33,"Industry")</f>
        <v>Construction Materials</v>
      </c>
    </row>
    <row r="34" spans="1:15">
      <c r="A34" s="65" t="e" vm="187">
        <v>#VALUE!</v>
      </c>
      <c r="B34" s="33">
        <f t="array" aca="1" ref="B34" ca="1">_FV(A34,"Change (%)",TRUE)</f>
        <v>-3.1530000000000002E-4</v>
      </c>
      <c r="C34" s="35">
        <f t="array" aca="1" ref="C34" ca="1">_FV(A34,"Previous close",TRUE)</f>
        <v>95.16</v>
      </c>
      <c r="D34" s="35">
        <f t="array" aca="1" ref="D34" ca="1">_FV(A34,"Price")</f>
        <v>95.13</v>
      </c>
      <c r="E34" s="35">
        <f t="array" aca="1" ref="E34" ca="1">_FV(A34,"Low")</f>
        <v>94.6</v>
      </c>
      <c r="F34" s="35">
        <f t="array" aca="1" ref="F34" ca="1">_FV(A34,"High")</f>
        <v>95.6</v>
      </c>
      <c r="G34" s="35">
        <f t="array" aca="1" ref="G34" ca="1">_FV(A34,"52 week low",TRUE)</f>
        <v>92.1</v>
      </c>
      <c r="H34" s="36">
        <f t="array" aca="1" ref="H34" ca="1">_FV(A34,"52 week high",TRUE)</f>
        <v>136.96</v>
      </c>
      <c r="I34" s="40">
        <f t="shared" ref="I34:I51" ca="1" si="4">(H34-D34)*100/H34</f>
        <v>30.541764018691595</v>
      </c>
      <c r="J34" s="39" t="str">
        <f t="shared" ref="J34:J51" ca="1" si="5">IF(AND(M34="HLC", I34&gt;12), "SURE HLC BUY",IF(AND(M34="HLC", I34&gt;7), "FIRST HLC BUY",IF(AND(M34="LC", I34&gt;20), "SURE LC BUY",IF(AND(M34="LC", I34&gt;10), "LC BUY",IF(AND(M34="HMC", I34&gt;30), "SURE HMC BUY",IF(AND(M34="HMC", I34&gt;20), "HMC BUY",IF(AND(M34="HMC", I34&gt;15), "FIRST HMC BUY",IF(AND(M34="MC", I34&gt;40), "SURE MC BUY",IF(AND(M34="MC", I34&gt;30), "MC BUY",IF(AND(M34="MC", I34&gt;20), "FIRST MC BUY",IF(AND(M34="HSC", I34&gt;60), "SURE HSC BUY",IF(AND(M34="HSC", I34&gt;50), "HSC BUY",IF(AND(M34="HSC", I34&gt;40), "FIRST HSC BUY",IF(AND(M34="SC", I34&gt;70), "SURE SC BUY",IF(AND(M34="SC", I34&gt;60), "SC BUY",IF(AND(M34="SC", I34&gt;50), "FIRST SC BUY",IF(AND(M34="VSC", I34&gt;80), "SURE VSC BUY",IF(AND(M34="VSC", I34&gt;70), "VSC BUY",IF(AND(M34="VSC", I34&gt;60), "FIRST VSC BUY","WATCH")))))))))))))))))))</f>
        <v>SURE HMC BUY</v>
      </c>
      <c r="K34" s="54">
        <f t="shared" ref="K34:K51" ca="1" si="6">(G34-D34)*100/G34</f>
        <v>-3.2899022801302946</v>
      </c>
      <c r="L34" s="20">
        <f t="array" aca="1" ref="L34" ca="1">_FV(A34,"Market cap",TRUE)/10000000</f>
        <v>79255.039999999994</v>
      </c>
      <c r="M34" s="21" t="str">
        <f t="shared" ref="M34:M51" ca="1" si="7">IF(L34&gt;500000,"HLC",IF(L34 &gt;100000,"LC",IF(L34 &gt;40000,"HMC",IF(L34 &gt;10000,"MC",IF(L34 &gt;=5000,"HSC",IF(L34 &gt;1000,"SC","VSC"))))))</f>
        <v>HMC</v>
      </c>
      <c r="N34" s="56" t="s">
        <v>49</v>
      </c>
      <c r="O34" s="45" t="str">
        <f t="array" aca="1" ref="O34" ca="1">_FV(A34,"Industry")</f>
        <v>Banking Services</v>
      </c>
    </row>
    <row r="35" spans="1:15">
      <c r="A35" s="65" t="e" vm="188">
        <v>#VALUE!</v>
      </c>
      <c r="B35" s="33">
        <f t="array" aca="1" ref="B35" ca="1">_FV(A35,"Change (%)",TRUE)</f>
        <v>1.439E-4</v>
      </c>
      <c r="C35" s="35">
        <f t="array" aca="1" ref="C35" ca="1">_FV(A35,"Previous close",TRUE)</f>
        <v>694.9</v>
      </c>
      <c r="D35" s="35">
        <f t="array" aca="1" ref="D35" ca="1">_FV(A35,"Price")</f>
        <v>695</v>
      </c>
      <c r="E35" s="35">
        <f t="array" aca="1" ref="E35" ca="1">_FV(A35,"Low")</f>
        <v>689.05</v>
      </c>
      <c r="F35" s="35">
        <f t="array" aca="1" ref="F35" ca="1">_FV(A35,"High")</f>
        <v>696.55</v>
      </c>
      <c r="G35" s="35">
        <f t="array" aca="1" ref="G35" ca="1">_FV(A35,"52 week low",TRUE)</f>
        <v>601.20000000000005</v>
      </c>
      <c r="H35" s="36">
        <f t="array" aca="1" ref="H35" ca="1">_FV(A35,"52 week high",TRUE)</f>
        <v>886.8</v>
      </c>
      <c r="I35" s="40">
        <f t="shared" ca="1" si="4"/>
        <v>21.628326567433465</v>
      </c>
      <c r="J35" s="39" t="str">
        <f t="shared" ca="1" si="5"/>
        <v>SURE LC BUY</v>
      </c>
      <c r="K35" s="54">
        <f t="shared" ca="1" si="6"/>
        <v>-15.60212907518296</v>
      </c>
      <c r="L35" s="20">
        <f t="array" aca="1" ref="L35" ca="1">_FV(A35,"Market cap",TRUE)/10000000</f>
        <v>172009.4</v>
      </c>
      <c r="M35" s="21" t="str">
        <f t="shared" ca="1" si="7"/>
        <v>LC</v>
      </c>
      <c r="N35" s="56" t="s">
        <v>50</v>
      </c>
      <c r="O35" s="45" t="str">
        <f t="array" aca="1" ref="O35" ca="1">_FV(A35,"Industry")</f>
        <v>Real Estate Operations</v>
      </c>
    </row>
    <row r="36" spans="1:15">
      <c r="A36" s="65" t="e" vm="131">
        <v>#VALUE!</v>
      </c>
      <c r="B36" s="33">
        <f t="array" aca="1" ref="B36" ca="1">_FV(A36,"Change (%)",TRUE)</f>
        <v>1.0887000000000001E-2</v>
      </c>
      <c r="C36" s="35">
        <f t="array" aca="1" ref="C36" ca="1">_FV(A36,"Previous close",TRUE)</f>
        <v>477.65</v>
      </c>
      <c r="D36" s="35">
        <f t="array" aca="1" ref="D36" ca="1">_FV(A36,"Price")</f>
        <v>482.85</v>
      </c>
      <c r="E36" s="35">
        <f t="array" aca="1" ref="E36" ca="1">_FV(A36,"Low")</f>
        <v>475.1</v>
      </c>
      <c r="F36" s="35">
        <f t="array" aca="1" ref="F36" ca="1">_FV(A36,"High")</f>
        <v>483.5</v>
      </c>
      <c r="G36" s="35">
        <f t="array" aca="1" ref="G36" ca="1">_FV(A36,"52 week low",TRUE)</f>
        <v>419.55</v>
      </c>
      <c r="H36" s="36">
        <f t="array" aca="1" ref="H36" ca="1">_FV(A36,"52 week high",TRUE)</f>
        <v>663.6</v>
      </c>
      <c r="I36" s="40">
        <f t="shared" ca="1" si="4"/>
        <v>27.2377938517179</v>
      </c>
      <c r="J36" s="39" t="str">
        <f t="shared" ca="1" si="5"/>
        <v>SURE LC BUY</v>
      </c>
      <c r="K36" s="54">
        <f t="shared" ca="1" si="6"/>
        <v>-15.087593850554168</v>
      </c>
      <c r="L36" s="20">
        <f t="array" aca="1" ref="L36" ca="1">_FV(A36,"Market cap",TRUE)/10000000</f>
        <v>161540.70000000001</v>
      </c>
      <c r="M36" s="21" t="str">
        <f t="shared" ca="1" si="7"/>
        <v>LC</v>
      </c>
      <c r="N36" s="56" t="s">
        <v>30</v>
      </c>
      <c r="O36" s="45" t="str">
        <f t="array" aca="1" ref="O36" ca="1">_FV(A36,"Industry")</f>
        <v>Beverages</v>
      </c>
    </row>
    <row r="37" spans="1:15">
      <c r="A37" s="65" t="e" vm="5">
        <v>#VALUE!</v>
      </c>
      <c r="B37" s="33">
        <f t="array" aca="1" ref="B37" ca="1">_FV(A37,"Change (%)",TRUE)</f>
        <v>3.0539999999999999E-3</v>
      </c>
      <c r="C37" s="35">
        <f t="array" aca="1" ref="C37" ca="1">_FV(A37,"Previous close",TRUE)</f>
        <v>1015</v>
      </c>
      <c r="D37" s="35">
        <f t="array" aca="1" ref="D37" ca="1">_FV(A37,"Price")</f>
        <v>1018.1</v>
      </c>
      <c r="E37" s="35">
        <f t="array" aca="1" ref="E37" ca="1">_FV(A37,"Low")</f>
        <v>1011.5</v>
      </c>
      <c r="F37" s="35">
        <f t="array" aca="1" ref="F37" ca="1">_FV(A37,"High")</f>
        <v>1027</v>
      </c>
      <c r="G37" s="35">
        <f t="array" aca="1" ref="G37" ca="1">_FV(A37,"52 week low",TRUE)</f>
        <v>758</v>
      </c>
      <c r="H37" s="36">
        <f t="array" aca="1" ref="H37" ca="1">_FV(A37,"52 week high",TRUE)</f>
        <v>1177.55</v>
      </c>
      <c r="I37" s="40">
        <f t="shared" ca="1" si="4"/>
        <v>13.540826291877197</v>
      </c>
      <c r="J37" s="39" t="str">
        <f t="shared" ca="1" si="5"/>
        <v>LC BUY</v>
      </c>
      <c r="K37" s="54">
        <f t="shared" ca="1" si="6"/>
        <v>-34.313984168865439</v>
      </c>
      <c r="L37" s="20">
        <f t="array" aca="1" ref="L37" ca="1">_FV(A37,"Market cap",TRUE)/10000000</f>
        <v>167188.4</v>
      </c>
      <c r="M37" s="21" t="str">
        <f t="shared" ca="1" si="7"/>
        <v>LC</v>
      </c>
      <c r="N37" s="56" t="s">
        <v>45</v>
      </c>
      <c r="O37" s="46" t="str">
        <f t="array" aca="1" ref="O37" ca="1">_FV(A37,"Industry")</f>
        <v>Electrical Utilities &amp; IPPs</v>
      </c>
    </row>
    <row r="38" spans="1:15">
      <c r="A38" s="65" t="e" vm="189">
        <v>#VALUE!</v>
      </c>
      <c r="B38" s="33">
        <f t="array" aca="1" ref="B38" ca="1">_FV(A38,"Change (%)",TRUE)</f>
        <v>1.0518000000000001E-2</v>
      </c>
      <c r="C38" s="35">
        <f t="array" aca="1" ref="C38" ca="1">_FV(A38,"Previous close",TRUE)</f>
        <v>26145</v>
      </c>
      <c r="D38" s="35">
        <f t="array" aca="1" ref="D38" ca="1">_FV(A38,"Price")</f>
        <v>26420</v>
      </c>
      <c r="E38" s="35">
        <f t="array" aca="1" ref="E38" ca="1">_FV(A38,"Low")</f>
        <v>26070</v>
      </c>
      <c r="F38" s="35">
        <f t="array" aca="1" ref="F38" ca="1">_FV(A38,"High")</f>
        <v>26490</v>
      </c>
      <c r="G38" s="35">
        <f t="array" aca="1" ref="G38" ca="1">_FV(A38,"52 week low",TRUE)</f>
        <v>24817.8</v>
      </c>
      <c r="H38" s="36">
        <f t="array" aca="1" ref="H38" ca="1">_FV(A38,"52 week high",TRUE)</f>
        <v>32490</v>
      </c>
      <c r="I38" s="40">
        <f t="shared" ca="1" si="4"/>
        <v>18.682671591258849</v>
      </c>
      <c r="J38" s="39" t="str">
        <f t="shared" ca="1" si="5"/>
        <v>FIRST HMC BUY</v>
      </c>
      <c r="K38" s="54">
        <f t="shared" ca="1" si="6"/>
        <v>-6.455850236523788</v>
      </c>
      <c r="L38" s="20">
        <f t="array" aca="1" ref="L38" ca="1">_FV(A38,"Market cap",TRUE)/10000000</f>
        <v>94333.119999999995</v>
      </c>
      <c r="M38" s="21" t="str">
        <f t="shared" ca="1" si="7"/>
        <v>HMC</v>
      </c>
      <c r="N38" s="56" t="s">
        <v>30</v>
      </c>
      <c r="O38" s="45" t="str">
        <f t="array" aca="1" ref="O38" ca="1">_FV(A38,"Instrument type",TRUE)</f>
        <v>Stock</v>
      </c>
    </row>
    <row r="39" spans="1:15">
      <c r="A39" s="65" t="e" vm="190">
        <v>#VALUE!</v>
      </c>
      <c r="B39" s="33">
        <f t="array" aca="1" ref="B39" ca="1">_FV(A39,"Change (%)",TRUE)</f>
        <v>1.8814999999999998E-2</v>
      </c>
      <c r="C39" s="35">
        <f t="array" aca="1" ref="C39" ca="1">_FV(A39,"Previous close",TRUE)</f>
        <v>996.55</v>
      </c>
      <c r="D39" s="35">
        <f t="array" aca="1" ref="D39" ca="1">_FV(A39,"Price")</f>
        <v>1015.3</v>
      </c>
      <c r="E39" s="35">
        <f t="array" aca="1" ref="E39" ca="1">_FV(A39,"Low")</f>
        <v>991.1</v>
      </c>
      <c r="F39" s="35">
        <f t="array" aca="1" ref="F39" ca="1">_FV(A39,"High")</f>
        <v>1020.4</v>
      </c>
      <c r="G39" s="35">
        <f t="array" aca="1" ref="G39" ca="1">_FV(A39,"52 week low",TRUE)</f>
        <v>639.45000000000005</v>
      </c>
      <c r="H39" s="36">
        <f t="array" aca="1" ref="H39" ca="1">_FV(A39,"52 week high",TRUE)</f>
        <v>1050</v>
      </c>
      <c r="I39" s="40">
        <f t="shared" ca="1" si="4"/>
        <v>3.304761904761909</v>
      </c>
      <c r="J39" s="39" t="str">
        <f t="shared" ca="1" si="5"/>
        <v>WATCH</v>
      </c>
      <c r="K39" s="54">
        <f t="shared" ca="1" si="6"/>
        <v>-58.777074048009993</v>
      </c>
      <c r="L39" s="20">
        <f t="array" aca="1" ref="L39" ca="1">_FV(A39,"Market cap",TRUE)/10000000</f>
        <v>119713.8</v>
      </c>
      <c r="M39" s="21" t="str">
        <f t="shared" ca="1" si="7"/>
        <v>LC</v>
      </c>
      <c r="N39" s="56" t="s">
        <v>49</v>
      </c>
      <c r="O39" s="45" t="str">
        <f t="array" aca="1" ref="O39" ca="1">_FV(A39,"Industry")</f>
        <v>Electrical Utilities &amp; IPPs</v>
      </c>
    </row>
    <row r="40" spans="1:15">
      <c r="A40" s="65" t="e" vm="75">
        <v>#VALUE!</v>
      </c>
      <c r="B40" s="33">
        <f t="array" aca="1" ref="B40" ca="1">_FV(A40,"Change (%)",TRUE)</f>
        <v>-6.1110000000000001E-3</v>
      </c>
      <c r="C40" s="35">
        <f t="array" aca="1" ref="C40" ca="1">_FV(A40,"Previous close",TRUE)</f>
        <v>1080.0999999999999</v>
      </c>
      <c r="D40" s="35">
        <f t="array" aca="1" ref="D40" ca="1">_FV(A40,"Price")</f>
        <v>1073.5</v>
      </c>
      <c r="E40" s="35">
        <f t="array" aca="1" ref="E40" ca="1">_FV(A40,"Low")</f>
        <v>1069.7</v>
      </c>
      <c r="F40" s="35">
        <f t="array" aca="1" ref="F40" ca="1">_FV(A40,"High")</f>
        <v>1085</v>
      </c>
      <c r="G40" s="35">
        <f t="array" aca="1" ref="G40" ca="1">_FV(A40,"52 week low",TRUE)</f>
        <v>1035.1500000000001</v>
      </c>
      <c r="H40" s="36">
        <f t="array" aca="1" ref="H40" ca="1">_FV(A40,"52 week high",TRUE)</f>
        <v>1531</v>
      </c>
      <c r="I40" s="40">
        <f t="shared" ca="1" si="4"/>
        <v>29.882429784454605</v>
      </c>
      <c r="J40" s="39" t="str">
        <f t="shared" ca="1" si="5"/>
        <v>SURE LC BUY</v>
      </c>
      <c r="K40" s="54">
        <f t="shared" ca="1" si="6"/>
        <v>-3.7047770854465445</v>
      </c>
      <c r="L40" s="20">
        <f t="array" aca="1" ref="L40" ca="1">_FV(A40,"Market cap",TRUE)/10000000</f>
        <v>107874.7</v>
      </c>
      <c r="M40" s="21" t="str">
        <f t="shared" ca="1" si="7"/>
        <v>LC</v>
      </c>
      <c r="N40" s="56" t="s">
        <v>45</v>
      </c>
      <c r="O40" s="45" t="str">
        <f t="array" aca="1" ref="O40" ca="1">_FV(A40,"Industry")</f>
        <v>Real Estate Operations</v>
      </c>
    </row>
    <row r="41" spans="1:15">
      <c r="A41" s="65" t="e" vm="191">
        <v>#VALUE!</v>
      </c>
      <c r="B41" s="33">
        <f t="array" aca="1" ref="B41" ca="1">_FV(A41,"Change (%)",TRUE)</f>
        <v>-9.3939999999999996E-3</v>
      </c>
      <c r="C41" s="35">
        <f t="array" aca="1" ref="C41" ca="1">_FV(A41,"Previous close",TRUE)</f>
        <v>36195</v>
      </c>
      <c r="D41" s="35">
        <f t="array" aca="1" ref="D41" ca="1">_FV(A41,"Price")</f>
        <v>35855</v>
      </c>
      <c r="E41" s="35">
        <f t="array" aca="1" ref="E41" ca="1">_FV(A41,"Low")</f>
        <v>35755</v>
      </c>
      <c r="F41" s="35">
        <f t="array" aca="1" ref="F41" ca="1">_FV(A41,"High")</f>
        <v>36340</v>
      </c>
      <c r="G41" s="35">
        <f t="array" aca="1" ref="G41" ca="1">_FV(A41,"52 week low",TRUE)</f>
        <v>25921.599999999999</v>
      </c>
      <c r="H41" s="36">
        <f t="array" aca="1" ref="H41" ca="1">_FV(A41,"52 week high",TRUE)</f>
        <v>41945</v>
      </c>
      <c r="I41" s="40">
        <f t="shared" ca="1" si="4"/>
        <v>14.519012993205388</v>
      </c>
      <c r="J41" s="39" t="str">
        <f t="shared" ca="1" si="5"/>
        <v>LC BUY</v>
      </c>
      <c r="K41" s="54">
        <f t="shared" ca="1" si="6"/>
        <v>-38.320936979198819</v>
      </c>
      <c r="L41" s="20">
        <f t="array" aca="1" ref="L41" ca="1">_FV(A41,"Market cap",TRUE)/10000000</f>
        <v>106752.2</v>
      </c>
      <c r="M41" s="21" t="str">
        <f t="shared" ca="1" si="7"/>
        <v>LC</v>
      </c>
      <c r="N41" s="56" t="s">
        <v>46</v>
      </c>
      <c r="O41" s="45" t="str">
        <f t="array" aca="1" ref="O41" ca="1">_FV(A41,"Industry")</f>
        <v>Automobiles &amp; Auto Parts</v>
      </c>
    </row>
    <row r="42" spans="1:15">
      <c r="A42" s="65" t="e" vm="55">
        <v>#VALUE!</v>
      </c>
      <c r="B42" s="33">
        <f t="array" aca="1" ref="B42" ca="1">_FV(A42,"Change (%)",TRUE)</f>
        <v>-6.7559999999999994E-4</v>
      </c>
      <c r="C42" s="35">
        <f t="array" aca="1" ref="C42" ca="1">_FV(A42,"Previous close",TRUE)</f>
        <v>740.1</v>
      </c>
      <c r="D42" s="35">
        <f t="array" aca="1" ref="D42" ca="1">_FV(A42,"Price")</f>
        <v>739.6</v>
      </c>
      <c r="E42" s="35">
        <f t="array" aca="1" ref="E42" ca="1">_FV(A42,"Low")</f>
        <v>736.45</v>
      </c>
      <c r="F42" s="35">
        <f t="array" aca="1" ref="F42" ca="1">_FV(A42,"High")</f>
        <v>744.5</v>
      </c>
      <c r="G42" s="35">
        <f t="array" aca="1" ref="G42" ca="1">_FV(A42,"52 week low",TRUE)</f>
        <v>672.6</v>
      </c>
      <c r="H42" s="36">
        <f t="array" aca="1" ref="H42" ca="1">_FV(A42,"52 week high",TRUE)</f>
        <v>894.9</v>
      </c>
      <c r="I42" s="40">
        <f t="shared" ca="1" si="4"/>
        <v>17.353894289864787</v>
      </c>
      <c r="J42" s="39" t="str">
        <f t="shared" ca="1" si="5"/>
        <v>LC BUY</v>
      </c>
      <c r="K42" s="54">
        <f t="shared" ca="1" si="6"/>
        <v>-9.9613440380612541</v>
      </c>
      <c r="L42" s="20">
        <f t="array" aca="1" ref="L42" ca="1">_FV(A42,"Market cap",TRUE)/10000000</f>
        <v>105348.2</v>
      </c>
      <c r="M42" s="21" t="str">
        <f t="shared" ca="1" si="7"/>
        <v>LC</v>
      </c>
      <c r="N42" s="56" t="s">
        <v>50</v>
      </c>
      <c r="O42" s="45" t="str">
        <f t="array" aca="1" ref="O42" ca="1">_FV(A42,"Industry")</f>
        <v>Hotels &amp; Entertainment Services</v>
      </c>
    </row>
    <row r="43" spans="1:15">
      <c r="A43" s="65" t="e" vm="192">
        <v>#VALUE!</v>
      </c>
      <c r="B43" s="33">
        <f t="array" aca="1" ref="B43" ca="1">_FV(A43,"Change (%)",TRUE)</f>
        <v>-6.7759999999999999E-3</v>
      </c>
      <c r="C43" s="35">
        <f t="array" aca="1" ref="C43" ca="1">_FV(A43,"Previous close",TRUE)</f>
        <v>143.16</v>
      </c>
      <c r="D43" s="35">
        <f t="array" aca="1" ref="D43" ca="1">_FV(A43,"Price")</f>
        <v>142.19</v>
      </c>
      <c r="E43" s="35">
        <f t="array" aca="1" ref="E43" ca="1">_FV(A43,"Low")</f>
        <v>141.9</v>
      </c>
      <c r="F43" s="35">
        <f t="array" aca="1" ref="F43" ca="1">_FV(A43,"High")</f>
        <v>144.37</v>
      </c>
      <c r="G43" s="35">
        <f t="array" aca="1" ref="G43" ca="1">_FV(A43,"52 week low",TRUE)</f>
        <v>89</v>
      </c>
      <c r="H43" s="36">
        <f t="array" aca="1" ref="H43" ca="1">_FV(A43,"52 week high",TRUE)</f>
        <v>182.7</v>
      </c>
      <c r="I43" s="40">
        <f t="shared" ca="1" si="4"/>
        <v>22.172961138478378</v>
      </c>
      <c r="J43" s="39" t="str">
        <f t="shared" ca="1" si="5"/>
        <v>SURE LC BUY</v>
      </c>
      <c r="K43" s="54">
        <f t="shared" ca="1" si="6"/>
        <v>-59.764044943820224</v>
      </c>
      <c r="L43" s="20">
        <f t="array" aca="1" ref="L43" ca="1">_FV(A43,"Market cap",TRUE)/10000000</f>
        <v>276079.7</v>
      </c>
      <c r="M43" s="21" t="str">
        <f t="shared" ca="1" si="7"/>
        <v>LC</v>
      </c>
      <c r="N43" s="56" t="s">
        <v>51</v>
      </c>
      <c r="O43" s="46" t="str">
        <f t="array" aca="1" ref="O43" ca="1">_FV(A43,"Industry")</f>
        <v>Electrical Utilities &amp; IPPs</v>
      </c>
    </row>
    <row r="44" spans="1:15">
      <c r="A44" s="65" t="e" vm="193">
        <v>#VALUE!</v>
      </c>
      <c r="B44" s="33">
        <f t="array" aca="1" ref="B44" ca="1">_FV(A44,"Change (%)",TRUE)</f>
        <v>5.7189999999999993E-3</v>
      </c>
      <c r="C44" s="35">
        <f t="array" aca="1" ref="C44" ca="1">_FV(A44,"Previous close",TRUE)</f>
        <v>2307.9</v>
      </c>
      <c r="D44" s="35">
        <f t="array" aca="1" ref="D44" ca="1">_FV(A44,"Price")</f>
        <v>2321.1</v>
      </c>
      <c r="E44" s="35">
        <f t="array" aca="1" ref="E44" ca="1">_FV(A44,"Low")</f>
        <v>2302.3000000000002</v>
      </c>
      <c r="F44" s="35">
        <f t="array" aca="1" ref="F44" ca="1">_FV(A44,"High")</f>
        <v>2324.8000000000002</v>
      </c>
      <c r="G44" s="35">
        <f t="array" aca="1" ref="G44" ca="1">_FV(A44,"52 week low",TRUE)</f>
        <v>1541.7</v>
      </c>
      <c r="H44" s="36">
        <f t="array" aca="1" ref="H44" ca="1">_FV(A44,"52 week high",TRUE)</f>
        <v>2890</v>
      </c>
      <c r="I44" s="40">
        <f t="shared" ca="1" si="4"/>
        <v>19.68512110726644</v>
      </c>
      <c r="J44" s="39" t="str">
        <f t="shared" ca="1" si="5"/>
        <v>LC BUY</v>
      </c>
      <c r="K44" s="54">
        <f t="shared" ca="1" si="6"/>
        <v>-50.554582603619373</v>
      </c>
      <c r="L44" s="20">
        <f t="array" aca="1" ref="L44" ca="1">_FV(A44,"Market cap",TRUE)/10000000</f>
        <v>187526.39999999999</v>
      </c>
      <c r="M44" s="21" t="str">
        <f t="shared" ca="1" si="7"/>
        <v>LC</v>
      </c>
      <c r="N44" s="56" t="s">
        <v>30</v>
      </c>
      <c r="O44" s="46" t="str">
        <f t="array" aca="1" ref="O44" ca="1">_FV(A44,"Industry")</f>
        <v>Automobiles &amp; Auto Parts</v>
      </c>
    </row>
    <row r="45" spans="1:15">
      <c r="A45" s="65" t="e" vm="77">
        <v>#VALUE!</v>
      </c>
      <c r="B45" s="33">
        <f t="array" aca="1" ref="B45" ca="1">_FV(A45,"Change (%)",TRUE)</f>
        <v>-2.0687999999999998E-2</v>
      </c>
      <c r="C45" s="35">
        <f t="array" aca="1" ref="C45" ca="1">_FV(A45,"Previous close",TRUE)</f>
        <v>6163</v>
      </c>
      <c r="D45" s="35">
        <f t="array" aca="1" ref="D45" ca="1">_FV(A45,"Price")</f>
        <v>6035.5</v>
      </c>
      <c r="E45" s="35">
        <f t="array" aca="1" ref="E45" ca="1">_FV(A45,"Low")</f>
        <v>6020</v>
      </c>
      <c r="F45" s="35">
        <f t="array" aca="1" ref="F45" ca="1">_FV(A45,"High")</f>
        <v>6174.5</v>
      </c>
      <c r="G45" s="35">
        <f t="array" aca="1" ref="G45" ca="1">_FV(A45,"52 week low",TRUE)</f>
        <v>3802</v>
      </c>
      <c r="H45" s="36">
        <f t="array" aca="1" ref="H45" ca="1">_FV(A45,"52 week high",TRUE)</f>
        <v>6380</v>
      </c>
      <c r="I45" s="40">
        <f t="shared" ca="1" si="4"/>
        <v>5.3996865203761759</v>
      </c>
      <c r="J45" s="39" t="str">
        <f t="shared" ca="1" si="5"/>
        <v>WATCH</v>
      </c>
      <c r="K45" s="54">
        <f t="shared" ca="1" si="6"/>
        <v>-58.745397159389796</v>
      </c>
      <c r="L45" s="20">
        <f t="array" aca="1" ref="L45" ca="1">_FV(A45,"Market cap",TRUE)/10000000</f>
        <v>182713.5</v>
      </c>
      <c r="M45" s="21" t="str">
        <f t="shared" ca="1" si="7"/>
        <v>LC</v>
      </c>
      <c r="N45" s="56" t="s">
        <v>30</v>
      </c>
      <c r="O45" s="45" t="str">
        <f t="array" aca="1" ref="O45" ca="1">_FV(A45,"Industry")</f>
        <v>Software &amp; IT Services</v>
      </c>
    </row>
    <row r="46" spans="1:15">
      <c r="A46" s="65" t="e" vm="194">
        <v>#VALUE!</v>
      </c>
      <c r="B46" s="33">
        <f t="array" aca="1" ref="B46" ca="1">_FV(A46,"Change (%)",TRUE)</f>
        <v>1.1742999999999998E-2</v>
      </c>
      <c r="C46" s="35">
        <f t="array" aca="1" ref="C46" ca="1">_FV(A46,"Previous close",TRUE)</f>
        <v>1192.2</v>
      </c>
      <c r="D46" s="35">
        <f t="array" aca="1" ref="D46" ca="1">_FV(A46,"Price")</f>
        <v>1206.2</v>
      </c>
      <c r="E46" s="35">
        <f t="array" aca="1" ref="E46" ca="1">_FV(A46,"Low")</f>
        <v>1189.5</v>
      </c>
      <c r="F46" s="35">
        <f t="array" aca="1" ref="F46" ca="1">_FV(A46,"High")</f>
        <v>1210</v>
      </c>
      <c r="G46" s="35">
        <f t="array" aca="1" ref="G46" ca="1">_FV(A46,"52 week low",TRUE)</f>
        <v>979.5</v>
      </c>
      <c r="H46" s="36">
        <f t="array" aca="1" ref="H46" ca="1">_FV(A46,"52 week high",TRUE)</f>
        <v>1309</v>
      </c>
      <c r="I46" s="40">
        <f t="shared" ca="1" si="4"/>
        <v>7.8533231474407916</v>
      </c>
      <c r="J46" s="39" t="str">
        <f t="shared" ca="1" si="5"/>
        <v>WATCH</v>
      </c>
      <c r="K46" s="54">
        <f t="shared" ca="1" si="6"/>
        <v>-23.144461459928539</v>
      </c>
      <c r="L46" s="20">
        <f t="array" aca="1" ref="L46" ca="1">_FV(A46,"Market cap",TRUE)/10000000</f>
        <v>121991.2</v>
      </c>
      <c r="M46" s="21" t="str">
        <f t="shared" ca="1" si="7"/>
        <v>LC</v>
      </c>
      <c r="N46" s="56" t="s">
        <v>30</v>
      </c>
      <c r="O46" s="45" t="str">
        <f t="array" aca="1" ref="O46" ca="1">_FV(A46,"Industry")</f>
        <v>Personal &amp; Household Products &amp; Services</v>
      </c>
    </row>
    <row r="47" spans="1:15">
      <c r="A47" s="65" t="e" vm="35">
        <v>#VALUE!</v>
      </c>
      <c r="B47" s="33">
        <f t="array" aca="1" ref="B47" ca="1">_FV(A47,"Change (%)",TRUE)</f>
        <v>-3.3679999999999999E-3</v>
      </c>
      <c r="C47" s="35">
        <f t="array" aca="1" ref="C47" ca="1">_FV(A47,"Previous close",TRUE)</f>
        <v>3800.2</v>
      </c>
      <c r="D47" s="35">
        <f t="array" aca="1" ref="D47" ca="1">_FV(A47,"Price")</f>
        <v>3787.4</v>
      </c>
      <c r="E47" s="35">
        <f t="array" aca="1" ref="E47" ca="1">_FV(A47,"Low")</f>
        <v>3781.2</v>
      </c>
      <c r="F47" s="35">
        <f t="array" aca="1" ref="F47" ca="1">_FV(A47,"High")</f>
        <v>3824</v>
      </c>
      <c r="G47" s="35">
        <f t="array" aca="1" ref="G47" ca="1">_FV(A47,"52 week low",TRUE)</f>
        <v>3340</v>
      </c>
      <c r="H47" s="36">
        <f t="array" aca="1" ref="H47" ca="1">_FV(A47,"52 week high",TRUE)</f>
        <v>4949.5</v>
      </c>
      <c r="I47" s="40">
        <f t="shared" ca="1" si="4"/>
        <v>23.479139307000704</v>
      </c>
      <c r="J47" s="39" t="str">
        <f t="shared" ca="1" si="5"/>
        <v>SURE LC BUY</v>
      </c>
      <c r="K47" s="54">
        <f t="shared" ca="1" si="6"/>
        <v>-13.395209580838326</v>
      </c>
      <c r="L47" s="20">
        <f t="array" aca="1" ref="L47" ca="1">_FV(A47,"Market cap",TRUE)/10000000</f>
        <v>247291.6</v>
      </c>
      <c r="M47" s="21" t="str">
        <f t="shared" ca="1" si="7"/>
        <v>LC</v>
      </c>
      <c r="N47" s="56" t="s">
        <v>49</v>
      </c>
      <c r="O47" s="46" t="str">
        <f t="array" aca="1" ref="O47" ca="1">_FV(A47,"Industry")</f>
        <v>Food &amp; Drug Retailing</v>
      </c>
    </row>
    <row r="48" spans="1:15">
      <c r="A48" s="65" t="e" vm="109">
        <v>#VALUE!</v>
      </c>
      <c r="B48" s="33">
        <f t="array" aca="1" ref="B48" ca="1">_FV(A48,"Change (%)",TRUE)</f>
        <v>9.3610000000000004E-4</v>
      </c>
      <c r="C48" s="35">
        <f t="array" aca="1" ref="C48" ca="1">_FV(A48,"Previous close",TRUE)</f>
        <v>3098</v>
      </c>
      <c r="D48" s="35">
        <f t="array" aca="1" ref="D48" ca="1">_FV(A48,"Price")</f>
        <v>3100.9</v>
      </c>
      <c r="E48" s="35">
        <f t="array" aca="1" ref="E48" ca="1">_FV(A48,"Low")</f>
        <v>3088.4</v>
      </c>
      <c r="F48" s="35">
        <f t="array" aca="1" ref="F48" ca="1">_FV(A48,"High")</f>
        <v>3123</v>
      </c>
      <c r="G48" s="35">
        <f t="array" aca="1" ref="G48" ca="1">_FV(A48,"52 week low",TRUE)</f>
        <v>2376.4499999999998</v>
      </c>
      <c r="H48" s="36">
        <f t="array" aca="1" ref="H48" ca="1">_FV(A48,"52 week high",TRUE)</f>
        <v>3596.32</v>
      </c>
      <c r="I48" s="40">
        <f t="shared" ca="1" si="4"/>
        <v>13.775748542955021</v>
      </c>
      <c r="J48" s="39" t="str">
        <f t="shared" ca="1" si="5"/>
        <v>LC BUY</v>
      </c>
      <c r="K48" s="54">
        <f t="shared" ca="1" si="6"/>
        <v>-30.484546277009841</v>
      </c>
      <c r="L48" s="20">
        <f t="array" aca="1" ref="L48" ca="1">_FV(A48,"Market cap",TRUE)/10000000</f>
        <v>110326.1</v>
      </c>
      <c r="M48" s="21" t="str">
        <f t="shared" ca="1" si="7"/>
        <v>LC</v>
      </c>
      <c r="N48" s="56" t="s">
        <v>50</v>
      </c>
      <c r="O48" s="46" t="str">
        <f t="array" aca="1" ref="O48" ca="1">_FV(A48,"Industry")</f>
        <v>Machinery, Equipment &amp; Components</v>
      </c>
    </row>
    <row r="49" spans="1:15">
      <c r="A49" s="65" t="e" vm="195">
        <v>#VALUE!</v>
      </c>
      <c r="B49" s="33">
        <f t="array" aca="1" ref="B49" ca="1">_FV(A49,"Change (%)",TRUE)</f>
        <v>6.5290000000000001E-3</v>
      </c>
      <c r="C49" s="35">
        <f t="array" aca="1" ref="C49" ca="1">_FV(A49,"Previous close",TRUE)</f>
        <v>352.3</v>
      </c>
      <c r="D49" s="35">
        <f t="array" aca="1" ref="D49" ca="1">_FV(A49,"Price")</f>
        <v>354.6</v>
      </c>
      <c r="E49" s="35">
        <f t="array" aca="1" ref="E49" ca="1">_FV(A49,"Low")</f>
        <v>350.45</v>
      </c>
      <c r="F49" s="35">
        <f t="array" aca="1" ref="F49" ca="1">_FV(A49,"High")</f>
        <v>357.9</v>
      </c>
      <c r="G49" s="35">
        <f t="array" aca="1" ref="G49" ca="1">_FV(A49,"52 week low",TRUE)</f>
        <v>329.9</v>
      </c>
      <c r="H49" s="36">
        <f t="array" aca="1" ref="H49" ca="1">_FV(A49,"52 week high",TRUE)</f>
        <v>474.85</v>
      </c>
      <c r="I49" s="40">
        <f t="shared" ca="1" si="4"/>
        <v>25.323786458881752</v>
      </c>
      <c r="J49" s="39" t="str">
        <f t="shared" ca="1" si="5"/>
        <v>SURE LC BUY</v>
      </c>
      <c r="K49" s="54">
        <f t="shared" ca="1" si="6"/>
        <v>-7.4871173082752493</v>
      </c>
      <c r="L49" s="20">
        <f t="array" aca="1" ref="L49" ca="1">_FV(A49,"Market cap",TRUE)/10000000</f>
        <v>116262.6</v>
      </c>
      <c r="M49" s="21" t="str">
        <f t="shared" ca="1" si="7"/>
        <v>LC</v>
      </c>
      <c r="N49" s="56" t="s">
        <v>50</v>
      </c>
      <c r="O49" s="46" t="str">
        <f t="array" aca="1" ref="O49" ca="1">_FV(A49,"Industry")</f>
        <v>Banking Services</v>
      </c>
    </row>
    <row r="50" spans="1:15">
      <c r="A50" s="65" t="e" vm="196">
        <v>#VALUE!</v>
      </c>
      <c r="B50" s="33">
        <f t="array" aca="1" ref="B50" ca="1">_FV(A50,"Change (%)",TRUE)</f>
        <v>-6.1479999999999998E-3</v>
      </c>
      <c r="C50" s="35">
        <f t="array" aca="1" ref="C50" ca="1">_FV(A50,"Previous close",TRUE)</f>
        <v>11224</v>
      </c>
      <c r="D50" s="35">
        <f t="array" aca="1" ref="D50" ca="1">_FV(A50,"Price")</f>
        <v>11155</v>
      </c>
      <c r="E50" s="35">
        <f t="array" aca="1" ref="E50" ca="1">_FV(A50,"Low")</f>
        <v>11149</v>
      </c>
      <c r="F50" s="35">
        <f t="array" aca="1" ref="F50" ca="1">_FV(A50,"High")</f>
        <v>11295</v>
      </c>
      <c r="G50" s="35">
        <f t="array" aca="1" ref="G50" ca="1">_FV(A50,"52 week low",TRUE)</f>
        <v>10245.1</v>
      </c>
      <c r="H50" s="36">
        <f t="array" aca="1" ref="H50" ca="1">_FV(A50,"52 week high",TRUE)</f>
        <v>14763</v>
      </c>
      <c r="I50" s="40">
        <f t="shared" ca="1" si="4"/>
        <v>24.439477071056018</v>
      </c>
      <c r="J50" s="39" t="str">
        <f t="shared" ca="1" si="5"/>
        <v>SURE LC BUY</v>
      </c>
      <c r="K50" s="54">
        <f t="shared" ca="1" si="6"/>
        <v>-8.8813188743887288</v>
      </c>
      <c r="L50" s="20">
        <f t="array" aca="1" ref="L50" ca="1">_FV(A50,"Market cap",TRUE)/10000000</f>
        <v>124915.8</v>
      </c>
      <c r="M50" s="21" t="str">
        <f t="shared" ca="1" si="7"/>
        <v>LC</v>
      </c>
      <c r="N50" s="56" t="s">
        <v>51</v>
      </c>
      <c r="O50" s="46" t="str">
        <f t="array" aca="1" ref="O50" ca="1">_FV(A50,"Industry")</f>
        <v>Holding Companies</v>
      </c>
    </row>
    <row r="51" spans="1:15" hidden="1">
      <c r="A51" s="66" t="e" vm="33">
        <v>#VALUE!</v>
      </c>
      <c r="B51" s="57">
        <f t="array" aca="1" ref="B51" ca="1">_FV(A51,"Change (%)",TRUE)</f>
        <v>-1.0621E-2</v>
      </c>
      <c r="C51" s="47">
        <f t="array" aca="1" ref="C51" ca="1">_FV(A51,"Previous close",TRUE)</f>
        <v>6496.5</v>
      </c>
      <c r="D51" s="47">
        <f t="array" aca="1" ref="D51" ca="1">_FV(A51,"Price")</f>
        <v>6427.5</v>
      </c>
      <c r="E51" s="47">
        <f t="array" aca="1" ref="E51" ca="1">_FV(A51,"Low")</f>
        <v>6402</v>
      </c>
      <c r="F51" s="47">
        <f t="array" aca="1" ref="F51" ca="1">_FV(A51,"High")</f>
        <v>6547</v>
      </c>
      <c r="G51" s="47">
        <f t="array" aca="1" ref="G51" ca="1">_FV(A51,"52 week low",TRUE)</f>
        <v>4955</v>
      </c>
      <c r="H51" s="48">
        <f t="array" aca="1" ref="H51" ca="1">_FV(A51,"52 week high",TRUE)</f>
        <v>7071.5</v>
      </c>
      <c r="I51" s="49">
        <f t="shared" ca="1" si="4"/>
        <v>9.1069787173866938</v>
      </c>
      <c r="J51" s="50" t="str">
        <f t="shared" ca="1" si="5"/>
        <v>WATCH</v>
      </c>
      <c r="K51" s="58">
        <f t="shared" ca="1" si="6"/>
        <v>-29.717457114026235</v>
      </c>
      <c r="L51" s="51">
        <f t="array" aca="1" ref="L51" ca="1">_FV(A51,"Market cap",TRUE)/10000000</f>
        <v>172461.7</v>
      </c>
      <c r="M51" s="52" t="str">
        <f t="shared" ca="1" si="7"/>
        <v>LC</v>
      </c>
      <c r="N51" s="59" t="s">
        <v>50</v>
      </c>
      <c r="O51" s="53" t="str">
        <f t="array" aca="1" ref="O51" ca="1">_FV(A51,"Industry")</f>
        <v>Pharmaceuticals</v>
      </c>
    </row>
    <row r="52" spans="1:15">
      <c r="A52" s="64" t="e" vm="3">
        <v>#VALUE!</v>
      </c>
      <c r="B52" s="57">
        <f t="array" aca="1" ref="B52" ca="1">_FV(A52,"Change (%)",TRUE)</f>
        <v>-6.136E-3</v>
      </c>
      <c r="C52" s="47">
        <f t="array" aca="1" ref="C52" ca="1">_FV(A52,"Previous close",TRUE)</f>
        <v>5215</v>
      </c>
      <c r="D52" s="47">
        <f t="array" aca="1" ref="D52" ca="1">_FV(A52,"Price")</f>
        <v>5183</v>
      </c>
      <c r="E52" s="47">
        <f t="array" aca="1" ref="E52" ca="1">_FV(A52,"Low")</f>
        <v>5164.5</v>
      </c>
      <c r="F52" s="47">
        <f t="array" aca="1" ref="F52" ca="1">_FV(A52,"High")</f>
        <v>5244.5</v>
      </c>
      <c r="G52" s="47">
        <f t="array" aca="1" ref="G52" ca="1">_FV(A52,"52 week low",TRUE)</f>
        <v>4684.45</v>
      </c>
      <c r="H52" s="48">
        <f t="array" aca="1" ref="H52" ca="1">_FV(A52,"52 week high",TRUE)</f>
        <v>7056</v>
      </c>
      <c r="I52" s="49">
        <f t="shared" ref="I52" ca="1" si="8">(H52-D52)*100/H52</f>
        <v>26.544784580498867</v>
      </c>
      <c r="J52" s="50" t="str">
        <f t="shared" ref="J52" ca="1" si="9">IF(AND(M52="HLC", I52&gt;12), "SURE HLC BUY",IF(AND(M52="HLC", I52&gt;7), "FIRST HLC BUY",IF(AND(M52="LC", I52&gt;20), "SURE LC BUY",IF(AND(M52="LC", I52&gt;10), "LC BUY",IF(AND(M52="HMC", I52&gt;30), "SURE HMC BUY",IF(AND(M52="HMC", I52&gt;20), "HMC BUY",IF(AND(M52="HMC", I52&gt;15), "FIRST HMC BUY",IF(AND(M52="MC", I52&gt;40), "SURE MC BUY",IF(AND(M52="MC", I52&gt;30), "MC BUY",IF(AND(M52="MC", I52&gt;20), "FIRST MC BUY",IF(AND(M52="HSC", I52&gt;60), "SURE HSC BUY",IF(AND(M52="HSC", I52&gt;50), "HSC BUY",IF(AND(M52="HSC", I52&gt;40), "FIRST HSC BUY",IF(AND(M52="SC", I52&gt;70), "SURE SC BUY",IF(AND(M52="SC", I52&gt;60), "SC BUY",IF(AND(M52="SC", I52&gt;50), "FIRST SC BUY",IF(AND(M52="VSC", I52&gt;80), "SURE VSC BUY",IF(AND(M52="VSC", I52&gt;70), "VSC BUY",IF(AND(M52="VSC", I52&gt;60), "FIRST VSC BUY","WATCH")))))))))))))))))))</f>
        <v>SURE LC BUY</v>
      </c>
      <c r="K52" s="58">
        <f t="shared" ref="K52" ca="1" si="10">(G52-D52)*100/G52</f>
        <v>-10.64265815624033</v>
      </c>
      <c r="L52" s="51">
        <f t="array" aca="1" ref="L52" ca="1">_FV(A52,"Market cap",TRUE)/10000000</f>
        <v>109832.1</v>
      </c>
      <c r="M52" s="52" t="str">
        <f t="shared" ref="M52" ca="1" si="11">IF(L52&gt;500000,"HLC",IF(L52 &gt;100000,"LC",IF(L52 &gt;40000,"HMC",IF(L52 &gt;10000,"MC",IF(L52 &gt;=5000,"HSC",IF(L52 &gt;1000,"SC","VSC"))))))</f>
        <v>LC</v>
      </c>
      <c r="N52" s="59" t="s">
        <v>50</v>
      </c>
      <c r="O52" s="53" t="str">
        <f t="array" aca="1" ref="O52" ca="1">_FV(A52,"Industry")</f>
        <v>Machinery, Equipment &amp; Components</v>
      </c>
    </row>
  </sheetData>
  <autoFilter ref="A1:O52" xr:uid="{00000000-0001-0000-0900-000000000000}">
    <filterColumn colId="9">
      <filters>
        <filter val="FIRST HLC BUY"/>
        <filter val="FIRST HMC BUY"/>
        <filter val="HMC BUY"/>
        <filter val="LC BUY"/>
        <filter val="SURE HMC BUY"/>
        <filter val="SURE LC BUY"/>
      </filters>
    </filterColumn>
  </autoFilter>
  <conditionalFormatting sqref="I1:I1048576">
    <cfRule type="dataBar" priority="1">
      <dataBar>
        <cfvo type="min"/>
        <cfvo type="max"/>
        <color rgb="FF638EC6"/>
      </dataBar>
      <extLst>
        <ext xmlns:x14="http://schemas.microsoft.com/office/spreadsheetml/2009/9/main" uri="{B025F937-C7B1-47D3-B67F-A62EFF666E3E}">
          <x14:id>{2CBAB92D-76D9-4E97-824E-CF4602AAF5F5}</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2CBAB92D-76D9-4E97-824E-CF4602AAF5F5}">
            <x14:dataBar minLength="0" maxLength="100" border="1" negativeBarBorderColorSameAsPositive="0">
              <x14:cfvo type="autoMin"/>
              <x14:cfvo type="autoMax"/>
              <x14:borderColor rgb="FF638EC6"/>
              <x14:negativeFillColor rgb="FFFF0000"/>
              <x14:negativeBorderColor rgb="FFFF0000"/>
              <x14:axisColor rgb="FF000000"/>
            </x14:dataBar>
          </x14:cfRule>
          <xm:sqref>I1:I1048576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201"/>
  <sheetViews>
    <sheetView topLeftCell="A15" workbookViewId="0"/>
  </sheetViews>
  <sheetFormatPr defaultRowHeight="15"/>
  <cols>
    <col min="1" max="1" width="14.85546875" customWidth="1"/>
  </cols>
  <sheetData>
    <row r="1" spans="1:15" ht="23.25">
      <c r="A1" s="42" t="s">
        <v>0</v>
      </c>
      <c r="B1" s="43" t="s">
        <v>1</v>
      </c>
      <c r="C1" s="43" t="s">
        <v>2</v>
      </c>
      <c r="D1" s="43" t="s">
        <v>3</v>
      </c>
      <c r="E1" s="43" t="s">
        <v>4</v>
      </c>
      <c r="F1" s="43" t="s">
        <v>5</v>
      </c>
      <c r="G1" s="43" t="s">
        <v>6</v>
      </c>
      <c r="H1" s="43" t="s">
        <v>7</v>
      </c>
      <c r="I1" s="43" t="s">
        <v>8</v>
      </c>
      <c r="J1" s="43" t="s">
        <v>9</v>
      </c>
      <c r="K1" s="43" t="s">
        <v>37</v>
      </c>
      <c r="L1" s="43" t="s">
        <v>10</v>
      </c>
      <c r="M1" s="43" t="s">
        <v>11</v>
      </c>
      <c r="N1" s="55" t="s">
        <v>29</v>
      </c>
      <c r="O1" s="44" t="s">
        <v>12</v>
      </c>
    </row>
    <row r="2" spans="1:15">
      <c r="A2" t="e">
        <v>#VALUE!</v>
      </c>
      <c r="B2" s="33" t="e" vm="142">
        <f t="array" ref="B2">_FV(A2,"Change (%)",TRUE)</f>
        <v>#VALUE!</v>
      </c>
      <c r="C2" s="35" t="e" vm="136">
        <f t="array" ref="C2">_FV(A2,"Previous close",TRUE)</f>
        <v>#VALUE!</v>
      </c>
      <c r="D2" s="35" t="e" vm="137">
        <f t="array" ref="D2">_FV(A2,"Price")</f>
        <v>#VALUE!</v>
      </c>
      <c r="E2" s="35" t="e" vm="138">
        <f t="array" ref="E2">_FV(A2,"Low")</f>
        <v>#VALUE!</v>
      </c>
      <c r="F2" s="35" t="e" vm="139">
        <f t="array" ref="F2">_FV(A2,"High")</f>
        <v>#VALUE!</v>
      </c>
      <c r="G2" s="35" t="e" vm="140">
        <f t="array" ref="G2">_FV(A2,"52 week low",TRUE)</f>
        <v>#VALUE!</v>
      </c>
      <c r="H2" s="36" t="e" vm="141">
        <f t="array" ref="H2">_FV(A2,"52 week high",TRUE)</f>
        <v>#VALUE!</v>
      </c>
      <c r="I2" s="40" t="e" vm="135">
        <f t="shared" ref="I2:I33" si="0">(H2-D2)*100/H2</f>
        <v>#VALUE!</v>
      </c>
      <c r="J2" s="39" t="e" vm="135">
        <f t="shared" ref="J2:J33" si="1">IF(AND(M2="HLC", I2&gt;12), "SURE HLC BUY",IF(AND(M2="HLC", I2&gt;7), "FIRST HLC BUY",IF(AND(M2="LC", I2&gt;20), "SURE LC BUY",IF(AND(M2="LC", I2&gt;10), "LC BUY",IF(AND(M2="HMC", I2&gt;30), "SURE HMC BUY",IF(AND(M2="HMC", I2&gt;20), "HMC BUY",IF(AND(M2="HMC", I2&gt;15), "FIRST HMC BUY",IF(AND(M2="MC", I2&gt;40), "SURE MC BUY",IF(AND(M2="MC", I2&gt;30), "MC BUY",IF(AND(M2="MC", I2&gt;20), "FIRST MC BUY",IF(AND(M2="HSC", I2&gt;60), "SURE HSC BUY",IF(AND(M2="HSC", I2&gt;50), "HSC BUY",IF(AND(M2="HSC", I2&gt;40), "FIRST HSC BUY",IF(AND(M2="SC", I2&gt;70), "SURE SC BUY",IF(AND(M2="SC", I2&gt;60), "SC BUY",IF(AND(M2="SC", I2&gt;50), "FIRST SC BUY",IF(AND(M2="VSC", I2&gt;80), "SURE VSC BUY",IF(AND(M2="VSC", I2&gt;70), "VSC BUY",IF(AND(M2="VSC", I2&gt;60), "FIRST VSC BUY","WATCH")))))))))))))))))))</f>
        <v>#VALUE!</v>
      </c>
      <c r="K2" s="54" t="e" vm="135">
        <f t="shared" ref="K2:K33" si="2">(G2-D2)*100/G2</f>
        <v>#VALUE!</v>
      </c>
      <c r="L2" s="20" t="e" vm="143">
        <f t="array" ref="L2">_FV(A2,"Market cap",TRUE)/10000000</f>
        <v>#VALUE!</v>
      </c>
      <c r="M2" s="21" t="e" vm="135">
        <f t="shared" ref="M2:M33" si="3">IF(L2&gt;500000,"HLC",IF(L2 &gt;100000,"LC",IF(L2 &gt;40000,"HMC",IF(L2 &gt;10000,"MC",IF(L2 &gt;=5000,"HSC",IF(L2 &gt;1000,"SC","VSC"))))))</f>
        <v>#VALUE!</v>
      </c>
      <c r="N2" t="s">
        <v>52</v>
      </c>
      <c r="O2" s="46" t="e" vm="48">
        <f t="array" ref="O2">_FV(A2,"Industry")</f>
        <v>#VALUE!</v>
      </c>
    </row>
    <row r="3" spans="1:15">
      <c r="A3" t="e">
        <v>#VALUE!</v>
      </c>
      <c r="B3" s="33" t="e" vm="142">
        <f t="array" ref="B3">_FV(A3,"Change (%)",TRUE)</f>
        <v>#VALUE!</v>
      </c>
      <c r="C3" s="35" t="e" vm="136">
        <f t="array" ref="C3">_FV(A3,"Previous close",TRUE)</f>
        <v>#VALUE!</v>
      </c>
      <c r="D3" s="35" t="e" vm="137">
        <f t="array" ref="D3">_FV(A3,"Price")</f>
        <v>#VALUE!</v>
      </c>
      <c r="E3" s="35" t="e" vm="138">
        <f t="array" ref="E3">_FV(A3,"Low")</f>
        <v>#VALUE!</v>
      </c>
      <c r="F3" s="35" t="e" vm="139">
        <f t="array" ref="F3">_FV(A3,"High")</f>
        <v>#VALUE!</v>
      </c>
      <c r="G3" s="35" t="e" vm="140">
        <f t="array" ref="G3">_FV(A3,"52 week low",TRUE)</f>
        <v>#VALUE!</v>
      </c>
      <c r="H3" s="36" t="e" vm="141">
        <f t="array" ref="H3">_FV(A3,"52 week high",TRUE)</f>
        <v>#VALUE!</v>
      </c>
      <c r="I3" s="40" t="e" vm="135">
        <f t="shared" si="0"/>
        <v>#VALUE!</v>
      </c>
      <c r="J3" s="39" t="e" vm="135">
        <f t="shared" si="1"/>
        <v>#VALUE!</v>
      </c>
      <c r="K3" s="54" t="e" vm="135">
        <f t="shared" si="2"/>
        <v>#VALUE!</v>
      </c>
      <c r="L3" s="20" t="e" vm="143">
        <f t="array" ref="L3">_FV(A3,"Market cap",TRUE)/10000000</f>
        <v>#VALUE!</v>
      </c>
      <c r="M3" s="21" t="e" vm="135">
        <f t="shared" si="3"/>
        <v>#VALUE!</v>
      </c>
      <c r="N3" t="s">
        <v>48</v>
      </c>
      <c r="O3" s="46" t="e" vm="48">
        <f t="array" ref="O3">_FV(A3,"Industry")</f>
        <v>#VALUE!</v>
      </c>
    </row>
    <row r="4" spans="1:15">
      <c r="A4" t="e">
        <v>#VALUE!</v>
      </c>
      <c r="B4" s="33" t="e" vm="142">
        <f t="array" ref="B4">_FV(A4,"Change (%)",TRUE)</f>
        <v>#VALUE!</v>
      </c>
      <c r="C4" s="35" t="e" vm="136">
        <f t="array" ref="C4">_FV(A4,"Previous close",TRUE)</f>
        <v>#VALUE!</v>
      </c>
      <c r="D4" s="35" t="e" vm="137">
        <f t="array" ref="D4">_FV(A4,"Price")</f>
        <v>#VALUE!</v>
      </c>
      <c r="E4" s="35" t="e" vm="138">
        <f t="array" ref="E4">_FV(A4,"Low")</f>
        <v>#VALUE!</v>
      </c>
      <c r="F4" s="35" t="e" vm="139">
        <f t="array" ref="F4">_FV(A4,"High")</f>
        <v>#VALUE!</v>
      </c>
      <c r="G4" s="35" t="e" vm="140">
        <f t="array" ref="G4">_FV(A4,"52 week low",TRUE)</f>
        <v>#VALUE!</v>
      </c>
      <c r="H4" s="36" t="e" vm="141">
        <f t="array" ref="H4">_FV(A4,"52 week high",TRUE)</f>
        <v>#VALUE!</v>
      </c>
      <c r="I4" s="40" t="e" vm="135">
        <f t="shared" si="0"/>
        <v>#VALUE!</v>
      </c>
      <c r="J4" s="39" t="e" vm="135">
        <f t="shared" si="1"/>
        <v>#VALUE!</v>
      </c>
      <c r="K4" s="54" t="e" vm="135">
        <f t="shared" si="2"/>
        <v>#VALUE!</v>
      </c>
      <c r="L4" s="20" t="e" vm="143">
        <f t="array" ref="L4">_FV(A4,"Market cap",TRUE)/10000000</f>
        <v>#VALUE!</v>
      </c>
      <c r="M4" s="21" t="e" vm="135">
        <f t="shared" si="3"/>
        <v>#VALUE!</v>
      </c>
      <c r="N4" t="s">
        <v>47</v>
      </c>
      <c r="O4" s="46" t="e" vm="48">
        <f t="array" ref="O4">_FV(A4,"Industry")</f>
        <v>#VALUE!</v>
      </c>
    </row>
    <row r="5" spans="1:15">
      <c r="A5" t="e">
        <v>#VALUE!</v>
      </c>
      <c r="B5" s="33" t="e" vm="142">
        <f t="array" ref="B5">_FV(A5,"Change (%)",TRUE)</f>
        <v>#VALUE!</v>
      </c>
      <c r="C5" s="35" t="e" vm="136">
        <f t="array" ref="C5">_FV(A5,"Previous close",TRUE)</f>
        <v>#VALUE!</v>
      </c>
      <c r="D5" s="35" t="e" vm="137">
        <f t="array" ref="D5">_FV(A5,"Price")</f>
        <v>#VALUE!</v>
      </c>
      <c r="E5" s="35" t="e" vm="138">
        <f t="array" ref="E5">_FV(A5,"Low")</f>
        <v>#VALUE!</v>
      </c>
      <c r="F5" s="35" t="e" vm="139">
        <f t="array" ref="F5">_FV(A5,"High")</f>
        <v>#VALUE!</v>
      </c>
      <c r="G5" s="35" t="e" vm="140">
        <f t="array" ref="G5">_FV(A5,"52 week low",TRUE)</f>
        <v>#VALUE!</v>
      </c>
      <c r="H5" s="36" t="e" vm="141">
        <f t="array" ref="H5">_FV(A5,"52 week high",TRUE)</f>
        <v>#VALUE!</v>
      </c>
      <c r="I5" s="40" t="e" vm="135">
        <f t="shared" si="0"/>
        <v>#VALUE!</v>
      </c>
      <c r="J5" s="39" t="e" vm="135">
        <f t="shared" si="1"/>
        <v>#VALUE!</v>
      </c>
      <c r="K5" s="54" t="e" vm="135">
        <f t="shared" si="2"/>
        <v>#VALUE!</v>
      </c>
      <c r="L5" s="20" t="e" vm="143">
        <f t="array" ref="L5">_FV(A5,"Market cap",TRUE)/10000000</f>
        <v>#VALUE!</v>
      </c>
      <c r="M5" s="21" t="e" vm="135">
        <f t="shared" si="3"/>
        <v>#VALUE!</v>
      </c>
      <c r="N5" t="s">
        <v>30</v>
      </c>
      <c r="O5" s="46" t="e" vm="48">
        <f t="array" ref="O5">_FV(A5,"Industry")</f>
        <v>#VALUE!</v>
      </c>
    </row>
    <row r="6" spans="1:15">
      <c r="A6" t="e">
        <v>#VALUE!</v>
      </c>
      <c r="B6" s="33" t="e" vm="142">
        <f t="array" ref="B6">_FV(A6,"Change (%)",TRUE)</f>
        <v>#VALUE!</v>
      </c>
      <c r="C6" s="35" t="e" vm="136">
        <f t="array" ref="C6">_FV(A6,"Previous close",TRUE)</f>
        <v>#VALUE!</v>
      </c>
      <c r="D6" s="35" t="e" vm="137">
        <f t="array" ref="D6">_FV(A6,"Price")</f>
        <v>#VALUE!</v>
      </c>
      <c r="E6" s="35" t="e" vm="138">
        <f t="array" ref="E6">_FV(A6,"Low")</f>
        <v>#VALUE!</v>
      </c>
      <c r="F6" s="35" t="e" vm="139">
        <f t="array" ref="F6">_FV(A6,"High")</f>
        <v>#VALUE!</v>
      </c>
      <c r="G6" s="35" t="e" vm="140">
        <f t="array" ref="G6">_FV(A6,"52 week low",TRUE)</f>
        <v>#VALUE!</v>
      </c>
      <c r="H6" s="36" t="e" vm="141">
        <f t="array" ref="H6">_FV(A6,"52 week high",TRUE)</f>
        <v>#VALUE!</v>
      </c>
      <c r="I6" s="40" t="e" vm="135">
        <f t="shared" si="0"/>
        <v>#VALUE!</v>
      </c>
      <c r="J6" s="39" t="e" vm="135">
        <f t="shared" si="1"/>
        <v>#VALUE!</v>
      </c>
      <c r="K6" s="54" t="e" vm="135">
        <f t="shared" si="2"/>
        <v>#VALUE!</v>
      </c>
      <c r="L6" s="20" t="e" vm="143">
        <f t="array" ref="L6">_FV(A6,"Market cap",TRUE)/10000000</f>
        <v>#VALUE!</v>
      </c>
      <c r="M6" s="21" t="e" vm="135">
        <f t="shared" si="3"/>
        <v>#VALUE!</v>
      </c>
      <c r="N6" t="s">
        <v>49</v>
      </c>
      <c r="O6" s="46" t="e" vm="48">
        <f t="array" ref="O6">_FV(A6,"Industry")</f>
        <v>#VALUE!</v>
      </c>
    </row>
    <row r="7" spans="1:15">
      <c r="A7" t="e">
        <v>#VALUE!</v>
      </c>
      <c r="B7" s="33" t="e" vm="142">
        <f t="array" ref="B7">_FV(A7,"Change (%)",TRUE)</f>
        <v>#VALUE!</v>
      </c>
      <c r="C7" s="35" t="e" vm="136">
        <f t="array" ref="C7">_FV(A7,"Previous close",TRUE)</f>
        <v>#VALUE!</v>
      </c>
      <c r="D7" s="35" t="e" vm="137">
        <f t="array" ref="D7">_FV(A7,"Price")</f>
        <v>#VALUE!</v>
      </c>
      <c r="E7" s="35" t="e" vm="138">
        <f t="array" ref="E7">_FV(A7,"Low")</f>
        <v>#VALUE!</v>
      </c>
      <c r="F7" s="35" t="e" vm="139">
        <f t="array" ref="F7">_FV(A7,"High")</f>
        <v>#VALUE!</v>
      </c>
      <c r="G7" s="35" t="e" vm="140">
        <f t="array" ref="G7">_FV(A7,"52 week low",TRUE)</f>
        <v>#VALUE!</v>
      </c>
      <c r="H7" s="36" t="e" vm="141">
        <f t="array" ref="H7">_FV(A7,"52 week high",TRUE)</f>
        <v>#VALUE!</v>
      </c>
      <c r="I7" s="40" t="e" vm="135">
        <f t="shared" si="0"/>
        <v>#VALUE!</v>
      </c>
      <c r="J7" s="39" t="e" vm="135">
        <f t="shared" si="1"/>
        <v>#VALUE!</v>
      </c>
      <c r="K7" s="54" t="e" vm="135">
        <f t="shared" si="2"/>
        <v>#VALUE!</v>
      </c>
      <c r="L7" s="20" t="e" vm="143">
        <f t="array" ref="L7">_FV(A7,"Market cap",TRUE)/10000000</f>
        <v>#VALUE!</v>
      </c>
      <c r="M7" s="21" t="e" vm="135">
        <f t="shared" si="3"/>
        <v>#VALUE!</v>
      </c>
      <c r="N7" t="s">
        <v>51</v>
      </c>
      <c r="O7" s="46" t="e" vm="48">
        <f t="array" ref="O7">_FV(A7,"Industry")</f>
        <v>#VALUE!</v>
      </c>
    </row>
    <row r="8" spans="1:15">
      <c r="A8" t="e">
        <v>#VALUE!</v>
      </c>
      <c r="B8" s="33" t="e" vm="142">
        <f t="array" ref="B8">_FV(A8,"Change (%)",TRUE)</f>
        <v>#VALUE!</v>
      </c>
      <c r="C8" s="35" t="e" vm="136">
        <f t="array" ref="C8">_FV(A8,"Previous close",TRUE)</f>
        <v>#VALUE!</v>
      </c>
      <c r="D8" s="35" t="e" vm="137">
        <f t="array" ref="D8">_FV(A8,"Price")</f>
        <v>#VALUE!</v>
      </c>
      <c r="E8" s="35" t="e" vm="138">
        <f t="array" ref="E8">_FV(A8,"Low")</f>
        <v>#VALUE!</v>
      </c>
      <c r="F8" s="35" t="e" vm="139">
        <f t="array" ref="F8">_FV(A8,"High")</f>
        <v>#VALUE!</v>
      </c>
      <c r="G8" s="35" t="e" vm="140">
        <f t="array" ref="G8">_FV(A8,"52 week low",TRUE)</f>
        <v>#VALUE!</v>
      </c>
      <c r="H8" s="36" t="e" vm="141">
        <f t="array" ref="H8">_FV(A8,"52 week high",TRUE)</f>
        <v>#VALUE!</v>
      </c>
      <c r="I8" s="40" t="e" vm="135">
        <f t="shared" si="0"/>
        <v>#VALUE!</v>
      </c>
      <c r="J8" s="39" t="e" vm="135">
        <f t="shared" si="1"/>
        <v>#VALUE!</v>
      </c>
      <c r="K8" s="54" t="e" vm="135">
        <f t="shared" si="2"/>
        <v>#VALUE!</v>
      </c>
      <c r="L8" s="20" t="e" vm="143">
        <f t="array" ref="L8">_FV(A8,"Market cap",TRUE)/10000000</f>
        <v>#VALUE!</v>
      </c>
      <c r="M8" s="21" t="e" vm="135">
        <f t="shared" si="3"/>
        <v>#VALUE!</v>
      </c>
      <c r="N8" t="s">
        <v>39</v>
      </c>
      <c r="O8" s="46" t="e" vm="48">
        <f t="array" ref="O8">_FV(A8,"Industry")</f>
        <v>#VALUE!</v>
      </c>
    </row>
    <row r="9" spans="1:15">
      <c r="A9" t="e">
        <v>#VALUE!</v>
      </c>
      <c r="B9" s="33" t="e" vm="142">
        <f t="array" ref="B9">_FV(A9,"Change (%)",TRUE)</f>
        <v>#VALUE!</v>
      </c>
      <c r="C9" s="35" t="e" vm="136">
        <f t="array" ref="C9">_FV(A9,"Previous close",TRUE)</f>
        <v>#VALUE!</v>
      </c>
      <c r="D9" s="35" t="e" vm="137">
        <f t="array" ref="D9">_FV(A9,"Price")</f>
        <v>#VALUE!</v>
      </c>
      <c r="E9" s="35" t="e" vm="138">
        <f t="array" ref="E9">_FV(A9,"Low")</f>
        <v>#VALUE!</v>
      </c>
      <c r="F9" s="35" t="e" vm="139">
        <f t="array" ref="F9">_FV(A9,"High")</f>
        <v>#VALUE!</v>
      </c>
      <c r="G9" s="35" t="e" vm="140">
        <f t="array" ref="G9">_FV(A9,"52 week low",TRUE)</f>
        <v>#VALUE!</v>
      </c>
      <c r="H9" s="36" t="e" vm="141">
        <f t="array" ref="H9">_FV(A9,"52 week high",TRUE)</f>
        <v>#VALUE!</v>
      </c>
      <c r="I9" s="40" t="e" vm="135">
        <f t="shared" si="0"/>
        <v>#VALUE!</v>
      </c>
      <c r="J9" s="39" t="e" vm="135">
        <f t="shared" si="1"/>
        <v>#VALUE!</v>
      </c>
      <c r="K9" s="54" t="e" vm="135">
        <f t="shared" si="2"/>
        <v>#VALUE!</v>
      </c>
      <c r="L9" s="20" t="e" vm="143">
        <f t="array" ref="L9">_FV(A9,"Market cap",TRUE)/10000000</f>
        <v>#VALUE!</v>
      </c>
      <c r="M9" s="21" t="e" vm="135">
        <f t="shared" si="3"/>
        <v>#VALUE!</v>
      </c>
      <c r="N9" t="s">
        <v>30</v>
      </c>
      <c r="O9" s="46" t="e" vm="48">
        <f t="array" ref="O9">_FV(A9,"Industry")</f>
        <v>#VALUE!</v>
      </c>
    </row>
    <row r="10" spans="1:15">
      <c r="A10" t="e">
        <v>#VALUE!</v>
      </c>
      <c r="B10" s="33" t="e" vm="142">
        <f t="array" ref="B10">_FV(A10,"Change (%)",TRUE)</f>
        <v>#VALUE!</v>
      </c>
      <c r="C10" s="35" t="e" vm="136">
        <f t="array" ref="C10">_FV(A10,"Previous close",TRUE)</f>
        <v>#VALUE!</v>
      </c>
      <c r="D10" s="35" t="e" vm="137">
        <f t="array" ref="D10">_FV(A10,"Price")</f>
        <v>#VALUE!</v>
      </c>
      <c r="E10" s="35" t="e" vm="138">
        <f t="array" ref="E10">_FV(A10,"Low")</f>
        <v>#VALUE!</v>
      </c>
      <c r="F10" s="35" t="e" vm="139">
        <f t="array" ref="F10">_FV(A10,"High")</f>
        <v>#VALUE!</v>
      </c>
      <c r="G10" s="35" t="e" vm="140">
        <f t="array" ref="G10">_FV(A10,"52 week low",TRUE)</f>
        <v>#VALUE!</v>
      </c>
      <c r="H10" s="36" t="e" vm="141">
        <f t="array" ref="H10">_FV(A10,"52 week high",TRUE)</f>
        <v>#VALUE!</v>
      </c>
      <c r="I10" s="40" t="e" vm="135">
        <f t="shared" si="0"/>
        <v>#VALUE!</v>
      </c>
      <c r="J10" s="39" t="e" vm="135">
        <f t="shared" si="1"/>
        <v>#VALUE!</v>
      </c>
      <c r="K10" s="54" t="e" vm="135">
        <f t="shared" si="2"/>
        <v>#VALUE!</v>
      </c>
      <c r="L10" s="20" t="e" vm="143">
        <f t="array" ref="L10">_FV(A10,"Market cap",TRUE)/10000000</f>
        <v>#VALUE!</v>
      </c>
      <c r="M10" s="21" t="e" vm="135">
        <f t="shared" si="3"/>
        <v>#VALUE!</v>
      </c>
      <c r="N10" t="s">
        <v>38</v>
      </c>
      <c r="O10" s="46" t="e" vm="48">
        <f t="array" ref="O10">_FV(A10,"Industry")</f>
        <v>#VALUE!</v>
      </c>
    </row>
    <row r="11" spans="1:15">
      <c r="A11" t="e">
        <v>#VALUE!</v>
      </c>
      <c r="B11" s="33" t="e" vm="142">
        <f t="array" ref="B11">_FV(A11,"Change (%)",TRUE)</f>
        <v>#VALUE!</v>
      </c>
      <c r="C11" s="35" t="e" vm="136">
        <f t="array" ref="C11">_FV(A11,"Previous close",TRUE)</f>
        <v>#VALUE!</v>
      </c>
      <c r="D11" s="35" t="e" vm="137">
        <f t="array" ref="D11">_FV(A11,"Price")</f>
        <v>#VALUE!</v>
      </c>
      <c r="E11" s="35" t="e" vm="138">
        <f t="array" ref="E11">_FV(A11,"Low")</f>
        <v>#VALUE!</v>
      </c>
      <c r="F11" s="35" t="e" vm="139">
        <f t="array" ref="F11">_FV(A11,"High")</f>
        <v>#VALUE!</v>
      </c>
      <c r="G11" s="35" t="e" vm="140">
        <f t="array" ref="G11">_FV(A11,"52 week low",TRUE)</f>
        <v>#VALUE!</v>
      </c>
      <c r="H11" s="36" t="e" vm="141">
        <f t="array" ref="H11">_FV(A11,"52 week high",TRUE)</f>
        <v>#VALUE!</v>
      </c>
      <c r="I11" s="40" t="e" vm="135">
        <f t="shared" si="0"/>
        <v>#VALUE!</v>
      </c>
      <c r="J11" s="39" t="e" vm="135">
        <f t="shared" si="1"/>
        <v>#VALUE!</v>
      </c>
      <c r="K11" s="54" t="e" vm="135">
        <f t="shared" si="2"/>
        <v>#VALUE!</v>
      </c>
      <c r="L11" s="20" t="e" vm="143">
        <f t="array" ref="L11">_FV(A11,"Market cap",TRUE)/10000000</f>
        <v>#VALUE!</v>
      </c>
      <c r="M11" s="21" t="e" vm="135">
        <f t="shared" si="3"/>
        <v>#VALUE!</v>
      </c>
      <c r="N11" t="s">
        <v>45</v>
      </c>
      <c r="O11" s="46" t="e" vm="48">
        <f t="array" ref="O11">_FV(A11,"Industry")</f>
        <v>#VALUE!</v>
      </c>
    </row>
    <row r="12" spans="1:15">
      <c r="A12" t="e">
        <v>#VALUE!</v>
      </c>
      <c r="B12" s="33" t="e" vm="142">
        <f t="array" ref="B12">_FV(A12,"Change (%)",TRUE)</f>
        <v>#VALUE!</v>
      </c>
      <c r="C12" s="35" t="e" vm="136">
        <f t="array" ref="C12">_FV(A12,"Previous close",TRUE)</f>
        <v>#VALUE!</v>
      </c>
      <c r="D12" s="35" t="e" vm="137">
        <f t="array" ref="D12">_FV(A12,"Price")</f>
        <v>#VALUE!</v>
      </c>
      <c r="E12" s="35" t="e" vm="138">
        <f t="array" ref="E12">_FV(A12,"Low")</f>
        <v>#VALUE!</v>
      </c>
      <c r="F12" s="35" t="e" vm="139">
        <f t="array" ref="F12">_FV(A12,"High")</f>
        <v>#VALUE!</v>
      </c>
      <c r="G12" s="35" t="e" vm="140">
        <f t="array" ref="G12">_FV(A12,"52 week low",TRUE)</f>
        <v>#VALUE!</v>
      </c>
      <c r="H12" s="36" t="e" vm="141">
        <f t="array" ref="H12">_FV(A12,"52 week high",TRUE)</f>
        <v>#VALUE!</v>
      </c>
      <c r="I12" s="40" t="e" vm="135">
        <f t="shared" si="0"/>
        <v>#VALUE!</v>
      </c>
      <c r="J12" s="39" t="e" vm="135">
        <f t="shared" si="1"/>
        <v>#VALUE!</v>
      </c>
      <c r="K12" s="54" t="e" vm="135">
        <f t="shared" si="2"/>
        <v>#VALUE!</v>
      </c>
      <c r="L12" s="20" t="e" vm="143">
        <f t="array" ref="L12">_FV(A12,"Market cap",TRUE)/10000000</f>
        <v>#VALUE!</v>
      </c>
      <c r="M12" s="21" t="e" vm="135">
        <f t="shared" si="3"/>
        <v>#VALUE!</v>
      </c>
      <c r="N12" t="s">
        <v>49</v>
      </c>
      <c r="O12" s="45" t="e" vm="48">
        <f t="array" ref="O12">_FV(A12,"Industry")</f>
        <v>#VALUE!</v>
      </c>
    </row>
    <row r="13" spans="1:15">
      <c r="A13" t="e">
        <v>#VALUE!</v>
      </c>
      <c r="B13" s="33" t="e" vm="142">
        <f t="array" ref="B13">_FV(A13,"Change (%)",TRUE)</f>
        <v>#VALUE!</v>
      </c>
      <c r="C13" s="35" t="e" vm="136">
        <f t="array" ref="C13">_FV(A13,"Previous close",TRUE)</f>
        <v>#VALUE!</v>
      </c>
      <c r="D13" s="35" t="e" vm="137">
        <f t="array" ref="D13">_FV(A13,"Price")</f>
        <v>#VALUE!</v>
      </c>
      <c r="E13" s="35" t="e" vm="138">
        <f t="array" ref="E13">_FV(A13,"Low")</f>
        <v>#VALUE!</v>
      </c>
      <c r="F13" s="35" t="e" vm="139">
        <f t="array" ref="F13">_FV(A13,"High")</f>
        <v>#VALUE!</v>
      </c>
      <c r="G13" s="35" t="e" vm="140">
        <f t="array" ref="G13">_FV(A13,"52 week low",TRUE)</f>
        <v>#VALUE!</v>
      </c>
      <c r="H13" s="36" t="e" vm="141">
        <f t="array" ref="H13">_FV(A13,"52 week high",TRUE)</f>
        <v>#VALUE!</v>
      </c>
      <c r="I13" s="40" t="e" vm="135">
        <f t="shared" si="0"/>
        <v>#VALUE!</v>
      </c>
      <c r="J13" s="39" t="e" vm="135">
        <f t="shared" si="1"/>
        <v>#VALUE!</v>
      </c>
      <c r="K13" s="54" t="e" vm="135">
        <f t="shared" si="2"/>
        <v>#VALUE!</v>
      </c>
      <c r="L13" s="20" t="e" vm="143">
        <f t="array" ref="L13">_FV(A13,"Market cap",TRUE)/10000000</f>
        <v>#VALUE!</v>
      </c>
      <c r="M13" s="21" t="e" vm="135">
        <f t="shared" si="3"/>
        <v>#VALUE!</v>
      </c>
      <c r="N13" t="s">
        <v>47</v>
      </c>
      <c r="O13" s="46" t="e" vm="48">
        <f t="array" ref="O13">_FV(A13,"Industry")</f>
        <v>#VALUE!</v>
      </c>
    </row>
    <row r="14" spans="1:15">
      <c r="A14" t="e">
        <v>#VALUE!</v>
      </c>
      <c r="B14" s="33" t="e" vm="142">
        <f t="array" ref="B14">_FV(A14,"Change (%)",TRUE)</f>
        <v>#VALUE!</v>
      </c>
      <c r="C14" s="35" t="e" vm="136">
        <f t="array" ref="C14">_FV(A14,"Previous close",TRUE)</f>
        <v>#VALUE!</v>
      </c>
      <c r="D14" s="35" t="e" vm="137">
        <f t="array" ref="D14">_FV(A14,"Price")</f>
        <v>#VALUE!</v>
      </c>
      <c r="E14" s="35" t="e" vm="138">
        <f t="array" ref="E14">_FV(A14,"Low")</f>
        <v>#VALUE!</v>
      </c>
      <c r="F14" s="35" t="e" vm="139">
        <f t="array" ref="F14">_FV(A14,"High")</f>
        <v>#VALUE!</v>
      </c>
      <c r="G14" s="35" t="e" vm="140">
        <f t="array" ref="G14">_FV(A14,"52 week low",TRUE)</f>
        <v>#VALUE!</v>
      </c>
      <c r="H14" s="36" t="e" vm="141">
        <f t="array" ref="H14">_FV(A14,"52 week high",TRUE)</f>
        <v>#VALUE!</v>
      </c>
      <c r="I14" s="40" t="e" vm="135">
        <f t="shared" si="0"/>
        <v>#VALUE!</v>
      </c>
      <c r="J14" s="39" t="e" vm="135">
        <f t="shared" si="1"/>
        <v>#VALUE!</v>
      </c>
      <c r="K14" s="54" t="e" vm="135">
        <f t="shared" si="2"/>
        <v>#VALUE!</v>
      </c>
      <c r="L14" s="20" t="e" vm="143">
        <f t="array" ref="L14">_FV(A14,"Market cap",TRUE)/10000000</f>
        <v>#VALUE!</v>
      </c>
      <c r="M14" s="21" t="e" vm="135">
        <f t="shared" si="3"/>
        <v>#VALUE!</v>
      </c>
      <c r="N14" t="s">
        <v>51</v>
      </c>
      <c r="O14" s="46" t="e" vm="48">
        <f t="array" ref="O14">_FV(A14,"Industry")</f>
        <v>#VALUE!</v>
      </c>
    </row>
    <row r="15" spans="1:15">
      <c r="A15" t="e">
        <v>#VALUE!</v>
      </c>
      <c r="B15" s="33" t="e" vm="142">
        <f t="array" ref="B15">_FV(A15,"Change (%)",TRUE)</f>
        <v>#VALUE!</v>
      </c>
      <c r="C15" s="35" t="e" vm="136">
        <f t="array" ref="C15">_FV(A15,"Previous close",TRUE)</f>
        <v>#VALUE!</v>
      </c>
      <c r="D15" s="35" t="e" vm="137">
        <f t="array" ref="D15">_FV(A15,"Price")</f>
        <v>#VALUE!</v>
      </c>
      <c r="E15" s="35" t="e" vm="138">
        <f t="array" ref="E15">_FV(A15,"Low")</f>
        <v>#VALUE!</v>
      </c>
      <c r="F15" s="35" t="e" vm="139">
        <f t="array" ref="F15">_FV(A15,"High")</f>
        <v>#VALUE!</v>
      </c>
      <c r="G15" s="35" t="e" vm="140">
        <f t="array" ref="G15">_FV(A15,"52 week low",TRUE)</f>
        <v>#VALUE!</v>
      </c>
      <c r="H15" s="36" t="e" vm="141">
        <f t="array" ref="H15">_FV(A15,"52 week high",TRUE)</f>
        <v>#VALUE!</v>
      </c>
      <c r="I15" s="40" t="e" vm="135">
        <f t="shared" si="0"/>
        <v>#VALUE!</v>
      </c>
      <c r="J15" s="39" t="e" vm="135">
        <f t="shared" si="1"/>
        <v>#VALUE!</v>
      </c>
      <c r="K15" s="54" t="e" vm="135">
        <f t="shared" si="2"/>
        <v>#VALUE!</v>
      </c>
      <c r="L15" s="20" t="e" vm="143">
        <f t="array" ref="L15">_FV(A15,"Market cap",TRUE)/10000000</f>
        <v>#VALUE!</v>
      </c>
      <c r="M15" s="21" t="e" vm="135">
        <f t="shared" si="3"/>
        <v>#VALUE!</v>
      </c>
      <c r="N15" t="s">
        <v>38</v>
      </c>
      <c r="O15" s="46" t="e" vm="48">
        <f t="array" ref="O15">_FV(A15,"Industry")</f>
        <v>#VALUE!</v>
      </c>
    </row>
    <row r="16" spans="1:15">
      <c r="A16" t="e">
        <v>#VALUE!</v>
      </c>
      <c r="B16" s="33" t="e" vm="142">
        <f t="array" ref="B16">_FV(A16,"Change (%)",TRUE)</f>
        <v>#VALUE!</v>
      </c>
      <c r="C16" s="35" t="e" vm="136">
        <f t="array" ref="C16">_FV(A16,"Previous close",TRUE)</f>
        <v>#VALUE!</v>
      </c>
      <c r="D16" s="35" t="e" vm="137">
        <f t="array" ref="D16">_FV(A16,"Price")</f>
        <v>#VALUE!</v>
      </c>
      <c r="E16" s="35" t="e" vm="138">
        <f t="array" ref="E16">_FV(A16,"Low")</f>
        <v>#VALUE!</v>
      </c>
      <c r="F16" s="35" t="e" vm="139">
        <f t="array" ref="F16">_FV(A16,"High")</f>
        <v>#VALUE!</v>
      </c>
      <c r="G16" s="35" t="e" vm="140">
        <f t="array" ref="G16">_FV(A16,"52 week low",TRUE)</f>
        <v>#VALUE!</v>
      </c>
      <c r="H16" s="36" t="e" vm="141">
        <f t="array" ref="H16">_FV(A16,"52 week high",TRUE)</f>
        <v>#VALUE!</v>
      </c>
      <c r="I16" s="40" t="e" vm="135">
        <f t="shared" si="0"/>
        <v>#VALUE!</v>
      </c>
      <c r="J16" s="39" t="e" vm="135">
        <f t="shared" si="1"/>
        <v>#VALUE!</v>
      </c>
      <c r="K16" s="54" t="e" vm="135">
        <f t="shared" si="2"/>
        <v>#VALUE!</v>
      </c>
      <c r="L16" s="20" t="e" vm="143">
        <f t="array" ref="L16">_FV(A16,"Market cap",TRUE)/10000000</f>
        <v>#VALUE!</v>
      </c>
      <c r="M16" s="21" t="e" vm="135">
        <f t="shared" si="3"/>
        <v>#VALUE!</v>
      </c>
      <c r="N16" t="s">
        <v>40</v>
      </c>
      <c r="O16" s="46" t="e" vm="48">
        <f t="array" ref="O16">_FV(A16,"Industry")</f>
        <v>#VALUE!</v>
      </c>
    </row>
    <row r="17" spans="1:15">
      <c r="A17" t="e">
        <v>#VALUE!</v>
      </c>
      <c r="B17" s="33" t="e" vm="142">
        <f t="array" ref="B17">_FV(A17,"Change (%)",TRUE)</f>
        <v>#VALUE!</v>
      </c>
      <c r="C17" s="35" t="e" vm="136">
        <f t="array" ref="C17">_FV(A17,"Previous close",TRUE)</f>
        <v>#VALUE!</v>
      </c>
      <c r="D17" s="35" t="e" vm="137">
        <f t="array" ref="D17">_FV(A17,"Price")</f>
        <v>#VALUE!</v>
      </c>
      <c r="E17" s="35" t="e" vm="138">
        <f t="array" ref="E17">_FV(A17,"Low")</f>
        <v>#VALUE!</v>
      </c>
      <c r="F17" s="35" t="e" vm="139">
        <f t="array" ref="F17">_FV(A17,"High")</f>
        <v>#VALUE!</v>
      </c>
      <c r="G17" s="35" t="e" vm="140">
        <f t="array" ref="G17">_FV(A17,"52 week low",TRUE)</f>
        <v>#VALUE!</v>
      </c>
      <c r="H17" s="36" t="e" vm="141">
        <f t="array" ref="H17">_FV(A17,"52 week high",TRUE)</f>
        <v>#VALUE!</v>
      </c>
      <c r="I17" s="40" t="e" vm="135">
        <f t="shared" si="0"/>
        <v>#VALUE!</v>
      </c>
      <c r="J17" s="39" t="e" vm="135">
        <f t="shared" si="1"/>
        <v>#VALUE!</v>
      </c>
      <c r="K17" s="54" t="e" vm="135">
        <f t="shared" si="2"/>
        <v>#VALUE!</v>
      </c>
      <c r="L17" s="20" t="e" vm="143">
        <f t="array" ref="L17">_FV(A17,"Market cap",TRUE)/10000000</f>
        <v>#VALUE!</v>
      </c>
      <c r="M17" s="21" t="e" vm="135">
        <f t="shared" si="3"/>
        <v>#VALUE!</v>
      </c>
      <c r="N17" t="s">
        <v>45</v>
      </c>
      <c r="O17" s="46" t="e" vm="48">
        <f t="array" ref="O17">_FV(A17,"Industry")</f>
        <v>#VALUE!</v>
      </c>
    </row>
    <row r="18" spans="1:15">
      <c r="A18" t="e">
        <v>#VALUE!</v>
      </c>
      <c r="B18" s="33" t="e" vm="142">
        <f t="array" ref="B18">_FV(A18,"Change (%)",TRUE)</f>
        <v>#VALUE!</v>
      </c>
      <c r="C18" s="35" t="e" vm="136">
        <f t="array" ref="C18">_FV(A18,"Previous close",TRUE)</f>
        <v>#VALUE!</v>
      </c>
      <c r="D18" s="35" t="e" vm="137">
        <f t="array" ref="D18">_FV(A18,"Price")</f>
        <v>#VALUE!</v>
      </c>
      <c r="E18" s="35" t="e" vm="138">
        <f t="array" ref="E18">_FV(A18,"Low")</f>
        <v>#VALUE!</v>
      </c>
      <c r="F18" s="35" t="e" vm="139">
        <f t="array" ref="F18">_FV(A18,"High")</f>
        <v>#VALUE!</v>
      </c>
      <c r="G18" s="35" t="e" vm="140">
        <f t="array" ref="G18">_FV(A18,"52 week low",TRUE)</f>
        <v>#VALUE!</v>
      </c>
      <c r="H18" s="36" t="e" vm="141">
        <f t="array" ref="H18">_FV(A18,"52 week high",TRUE)</f>
        <v>#VALUE!</v>
      </c>
      <c r="I18" s="40" t="e" vm="135">
        <f t="shared" si="0"/>
        <v>#VALUE!</v>
      </c>
      <c r="J18" s="39" t="e" vm="135">
        <f t="shared" si="1"/>
        <v>#VALUE!</v>
      </c>
      <c r="K18" s="54" t="e" vm="135">
        <f t="shared" si="2"/>
        <v>#VALUE!</v>
      </c>
      <c r="L18" s="20" t="e" vm="143">
        <f t="array" ref="L18">_FV(A18,"Market cap",TRUE)/10000000</f>
        <v>#VALUE!</v>
      </c>
      <c r="M18" s="21" t="e" vm="135">
        <f t="shared" si="3"/>
        <v>#VALUE!</v>
      </c>
      <c r="N18" t="s">
        <v>30</v>
      </c>
      <c r="O18" s="46" t="e" vm="48">
        <f t="array" ref="O18">_FV(A18,"Industry")</f>
        <v>#VALUE!</v>
      </c>
    </row>
    <row r="19" spans="1:15">
      <c r="A19" t="e">
        <v>#VALUE!</v>
      </c>
      <c r="B19" s="33" t="e" vm="142">
        <f t="array" ref="B19">_FV(A19,"Change (%)",TRUE)</f>
        <v>#VALUE!</v>
      </c>
      <c r="C19" s="35" t="e" vm="136">
        <f t="array" ref="C19">_FV(A19,"Previous close",TRUE)</f>
        <v>#VALUE!</v>
      </c>
      <c r="D19" s="35" t="e" vm="137">
        <f t="array" ref="D19">_FV(A19,"Price")</f>
        <v>#VALUE!</v>
      </c>
      <c r="E19" s="35" t="e" vm="138">
        <f t="array" ref="E19">_FV(A19,"Low")</f>
        <v>#VALUE!</v>
      </c>
      <c r="F19" s="35" t="e" vm="139">
        <f t="array" ref="F19">_FV(A19,"High")</f>
        <v>#VALUE!</v>
      </c>
      <c r="G19" s="35" t="e" vm="140">
        <f t="array" ref="G19">_FV(A19,"52 week low",TRUE)</f>
        <v>#VALUE!</v>
      </c>
      <c r="H19" s="36" t="e" vm="141">
        <f t="array" ref="H19">_FV(A19,"52 week high",TRUE)</f>
        <v>#VALUE!</v>
      </c>
      <c r="I19" s="40" t="e" vm="135">
        <f t="shared" si="0"/>
        <v>#VALUE!</v>
      </c>
      <c r="J19" s="39" t="e" vm="135">
        <f t="shared" si="1"/>
        <v>#VALUE!</v>
      </c>
      <c r="K19" s="54" t="e" vm="135">
        <f t="shared" si="2"/>
        <v>#VALUE!</v>
      </c>
      <c r="L19" s="20" t="e" vm="143">
        <f t="array" ref="L19">_FV(A19,"Market cap",TRUE)/10000000</f>
        <v>#VALUE!</v>
      </c>
      <c r="M19" s="21" t="e" vm="135">
        <f t="shared" si="3"/>
        <v>#VALUE!</v>
      </c>
      <c r="N19" t="s">
        <v>51</v>
      </c>
      <c r="O19" s="46" t="e" vm="48">
        <f t="array" ref="O19">_FV(A19,"Industry")</f>
        <v>#VALUE!</v>
      </c>
    </row>
    <row r="20" spans="1:15">
      <c r="A20" t="e">
        <v>#VALUE!</v>
      </c>
      <c r="B20" s="33" t="e" vm="142">
        <f t="array" ref="B20">_FV(A20,"Change (%)",TRUE)</f>
        <v>#VALUE!</v>
      </c>
      <c r="C20" s="35" t="e" vm="136">
        <f t="array" ref="C20">_FV(A20,"Previous close",TRUE)</f>
        <v>#VALUE!</v>
      </c>
      <c r="D20" s="35" t="e" vm="137">
        <f t="array" ref="D20">_FV(A20,"Price")</f>
        <v>#VALUE!</v>
      </c>
      <c r="E20" s="35" t="e" vm="138">
        <f t="array" ref="E20">_FV(A20,"Low")</f>
        <v>#VALUE!</v>
      </c>
      <c r="F20" s="35" t="e" vm="139">
        <f t="array" ref="F20">_FV(A20,"High")</f>
        <v>#VALUE!</v>
      </c>
      <c r="G20" s="35" t="e" vm="140">
        <f t="array" ref="G20">_FV(A20,"52 week low",TRUE)</f>
        <v>#VALUE!</v>
      </c>
      <c r="H20" s="36" t="e" vm="141">
        <f t="array" ref="H20">_FV(A20,"52 week high",TRUE)</f>
        <v>#VALUE!</v>
      </c>
      <c r="I20" s="40" t="e" vm="135">
        <f t="shared" si="0"/>
        <v>#VALUE!</v>
      </c>
      <c r="J20" s="39" t="e" vm="135">
        <f t="shared" si="1"/>
        <v>#VALUE!</v>
      </c>
      <c r="K20" s="54" t="e" vm="135">
        <f t="shared" si="2"/>
        <v>#VALUE!</v>
      </c>
      <c r="L20" s="20" t="e" vm="143">
        <f t="array" ref="L20">_FV(A20,"Market cap",TRUE)/10000000</f>
        <v>#VALUE!</v>
      </c>
      <c r="M20" s="21" t="e" vm="135">
        <f t="shared" si="3"/>
        <v>#VALUE!</v>
      </c>
      <c r="N20" t="s">
        <v>41</v>
      </c>
      <c r="O20" s="46" t="e" vm="48">
        <f t="array" ref="O20">_FV(A20,"Industry")</f>
        <v>#VALUE!</v>
      </c>
    </row>
    <row r="21" spans="1:15">
      <c r="A21" t="e">
        <v>#VALUE!</v>
      </c>
      <c r="B21" s="33" t="e" vm="142">
        <f t="array" ref="B21">_FV(A21,"Change (%)",TRUE)</f>
        <v>#VALUE!</v>
      </c>
      <c r="C21" s="35" t="e" vm="136">
        <f t="array" ref="C21">_FV(A21,"Previous close",TRUE)</f>
        <v>#VALUE!</v>
      </c>
      <c r="D21" s="35" t="e" vm="137">
        <f t="array" ref="D21">_FV(A21,"Price")</f>
        <v>#VALUE!</v>
      </c>
      <c r="E21" s="35" t="e" vm="138">
        <f t="array" ref="E21">_FV(A21,"Low")</f>
        <v>#VALUE!</v>
      </c>
      <c r="F21" s="35" t="e" vm="139">
        <f t="array" ref="F21">_FV(A21,"High")</f>
        <v>#VALUE!</v>
      </c>
      <c r="G21" s="35" t="e" vm="140">
        <f t="array" ref="G21">_FV(A21,"52 week low",TRUE)</f>
        <v>#VALUE!</v>
      </c>
      <c r="H21" s="36" t="e" vm="141">
        <f t="array" ref="H21">_FV(A21,"52 week high",TRUE)</f>
        <v>#VALUE!</v>
      </c>
      <c r="I21" s="40" t="e" vm="135">
        <f t="shared" si="0"/>
        <v>#VALUE!</v>
      </c>
      <c r="J21" s="39" t="e" vm="135">
        <f t="shared" si="1"/>
        <v>#VALUE!</v>
      </c>
      <c r="K21" s="54" t="e" vm="135">
        <f t="shared" si="2"/>
        <v>#VALUE!</v>
      </c>
      <c r="L21" s="20" t="e" vm="143">
        <f t="array" ref="L21">_FV(A21,"Market cap",TRUE)/10000000</f>
        <v>#VALUE!</v>
      </c>
      <c r="M21" s="21" t="e" vm="135">
        <f t="shared" si="3"/>
        <v>#VALUE!</v>
      </c>
      <c r="N21" t="s">
        <v>45</v>
      </c>
      <c r="O21" s="46" t="e" vm="48">
        <f t="array" ref="O21">_FV(A21,"Industry")</f>
        <v>#VALUE!</v>
      </c>
    </row>
    <row r="22" spans="1:15">
      <c r="A22" t="e">
        <v>#VALUE!</v>
      </c>
      <c r="B22" s="33" t="e" vm="142">
        <f t="array" ref="B22">_FV(A22,"Change (%)",TRUE)</f>
        <v>#VALUE!</v>
      </c>
      <c r="C22" s="35" t="e" vm="136">
        <f t="array" ref="C22">_FV(A22,"Previous close",TRUE)</f>
        <v>#VALUE!</v>
      </c>
      <c r="D22" s="35" t="e" vm="137">
        <f t="array" ref="D22">_FV(A22,"Price")</f>
        <v>#VALUE!</v>
      </c>
      <c r="E22" s="35" t="e" vm="138">
        <f t="array" ref="E22">_FV(A22,"Low")</f>
        <v>#VALUE!</v>
      </c>
      <c r="F22" s="35" t="e" vm="139">
        <f t="array" ref="F22">_FV(A22,"High")</f>
        <v>#VALUE!</v>
      </c>
      <c r="G22" s="35" t="e" vm="140">
        <f t="array" ref="G22">_FV(A22,"52 week low",TRUE)</f>
        <v>#VALUE!</v>
      </c>
      <c r="H22" s="36" t="e" vm="141">
        <f t="array" ref="H22">_FV(A22,"52 week high",TRUE)</f>
        <v>#VALUE!</v>
      </c>
      <c r="I22" s="40" t="e" vm="135">
        <f t="shared" si="0"/>
        <v>#VALUE!</v>
      </c>
      <c r="J22" s="39" t="e" vm="135">
        <f t="shared" si="1"/>
        <v>#VALUE!</v>
      </c>
      <c r="K22" s="54" t="e" vm="135">
        <f t="shared" si="2"/>
        <v>#VALUE!</v>
      </c>
      <c r="L22" s="20" t="e" vm="143">
        <f t="array" ref="L22">_FV(A22,"Market cap",TRUE)/10000000</f>
        <v>#VALUE!</v>
      </c>
      <c r="M22" s="21" t="e" vm="135">
        <f t="shared" si="3"/>
        <v>#VALUE!</v>
      </c>
      <c r="N22" t="s">
        <v>39</v>
      </c>
      <c r="O22" s="46" t="e" vm="48">
        <f t="array" ref="O22">_FV(A22,"Industry")</f>
        <v>#VALUE!</v>
      </c>
    </row>
    <row r="23" spans="1:15">
      <c r="A23" t="e">
        <v>#VALUE!</v>
      </c>
      <c r="B23" s="33" t="e" vm="142">
        <f t="array" ref="B23">_FV(A23,"Change (%)",TRUE)</f>
        <v>#VALUE!</v>
      </c>
      <c r="C23" s="35" t="e" vm="136">
        <f t="array" ref="C23">_FV(A23,"Previous close",TRUE)</f>
        <v>#VALUE!</v>
      </c>
      <c r="D23" s="35" t="e" vm="137">
        <f t="array" ref="D23">_FV(A23,"Price")</f>
        <v>#VALUE!</v>
      </c>
      <c r="E23" s="35" t="e" vm="138">
        <f t="array" ref="E23">_FV(A23,"Low")</f>
        <v>#VALUE!</v>
      </c>
      <c r="F23" s="35" t="e" vm="139">
        <f t="array" ref="F23">_FV(A23,"High")</f>
        <v>#VALUE!</v>
      </c>
      <c r="G23" s="35" t="e" vm="140">
        <f t="array" ref="G23">_FV(A23,"52 week low",TRUE)</f>
        <v>#VALUE!</v>
      </c>
      <c r="H23" s="36" t="e" vm="141">
        <f t="array" ref="H23">_FV(A23,"52 week high",TRUE)</f>
        <v>#VALUE!</v>
      </c>
      <c r="I23" s="40" t="e" vm="135">
        <f t="shared" si="0"/>
        <v>#VALUE!</v>
      </c>
      <c r="J23" s="39" t="e" vm="135">
        <f t="shared" si="1"/>
        <v>#VALUE!</v>
      </c>
      <c r="K23" s="54" t="e" vm="135">
        <f t="shared" si="2"/>
        <v>#VALUE!</v>
      </c>
      <c r="L23" s="20" t="e" vm="143">
        <f t="array" ref="L23">_FV(A23,"Market cap",TRUE)/10000000</f>
        <v>#VALUE!</v>
      </c>
      <c r="M23" s="21" t="e" vm="135">
        <f t="shared" si="3"/>
        <v>#VALUE!</v>
      </c>
      <c r="N23" t="s">
        <v>40</v>
      </c>
      <c r="O23" s="46" t="e" vm="48">
        <f t="array" ref="O23">_FV(A23,"Industry")</f>
        <v>#VALUE!</v>
      </c>
    </row>
    <row r="24" spans="1:15">
      <c r="A24" t="e">
        <v>#VALUE!</v>
      </c>
      <c r="B24" s="33" t="e" vm="142">
        <f t="array" ref="B24">_FV(A24,"Change (%)",TRUE)</f>
        <v>#VALUE!</v>
      </c>
      <c r="C24" s="35" t="e" vm="136">
        <f t="array" ref="C24">_FV(A24,"Previous close",TRUE)</f>
        <v>#VALUE!</v>
      </c>
      <c r="D24" s="35" t="e" vm="137">
        <f t="array" ref="D24">_FV(A24,"Price")</f>
        <v>#VALUE!</v>
      </c>
      <c r="E24" s="35" t="e" vm="138">
        <f t="array" ref="E24">_FV(A24,"Low")</f>
        <v>#VALUE!</v>
      </c>
      <c r="F24" s="35" t="e" vm="139">
        <f t="array" ref="F24">_FV(A24,"High")</f>
        <v>#VALUE!</v>
      </c>
      <c r="G24" s="35" t="e" vm="140">
        <f t="array" ref="G24">_FV(A24,"52 week low",TRUE)</f>
        <v>#VALUE!</v>
      </c>
      <c r="H24" s="36" t="e" vm="141">
        <f t="array" ref="H24">_FV(A24,"52 week high",TRUE)</f>
        <v>#VALUE!</v>
      </c>
      <c r="I24" s="40" t="e" vm="135">
        <f t="shared" si="0"/>
        <v>#VALUE!</v>
      </c>
      <c r="J24" s="39" t="e" vm="135">
        <f t="shared" si="1"/>
        <v>#VALUE!</v>
      </c>
      <c r="K24" s="54" t="e" vm="135">
        <f t="shared" si="2"/>
        <v>#VALUE!</v>
      </c>
      <c r="L24" s="20" t="e" vm="143">
        <f t="array" ref="L24">_FV(A24,"Market cap",TRUE)/10000000</f>
        <v>#VALUE!</v>
      </c>
      <c r="M24" s="21" t="e" vm="135">
        <f t="shared" si="3"/>
        <v>#VALUE!</v>
      </c>
      <c r="N24" t="s">
        <v>30</v>
      </c>
      <c r="O24" s="46" t="e" vm="48">
        <f t="array" ref="O24">_FV(A24,"Industry")</f>
        <v>#VALUE!</v>
      </c>
    </row>
    <row r="25" spans="1:15">
      <c r="A25" t="e">
        <v>#VALUE!</v>
      </c>
      <c r="B25" s="33" t="e" vm="142">
        <f t="array" ref="B25">_FV(A25,"Change (%)",TRUE)</f>
        <v>#VALUE!</v>
      </c>
      <c r="C25" s="35" t="e" vm="136">
        <f t="array" ref="C25">_FV(A25,"Previous close",TRUE)</f>
        <v>#VALUE!</v>
      </c>
      <c r="D25" s="35" t="e" vm="137">
        <f t="array" ref="D25">_FV(A25,"Price")</f>
        <v>#VALUE!</v>
      </c>
      <c r="E25" s="35" t="e" vm="138">
        <f t="array" ref="E25">_FV(A25,"Low")</f>
        <v>#VALUE!</v>
      </c>
      <c r="F25" s="35" t="e" vm="139">
        <f t="array" ref="F25">_FV(A25,"High")</f>
        <v>#VALUE!</v>
      </c>
      <c r="G25" s="35" t="e" vm="140">
        <f t="array" ref="G25">_FV(A25,"52 week low",TRUE)</f>
        <v>#VALUE!</v>
      </c>
      <c r="H25" s="36" t="e" vm="141">
        <f t="array" ref="H25">_FV(A25,"52 week high",TRUE)</f>
        <v>#VALUE!</v>
      </c>
      <c r="I25" s="40" t="e" vm="135">
        <f t="shared" si="0"/>
        <v>#VALUE!</v>
      </c>
      <c r="J25" s="39" t="e" vm="135">
        <f t="shared" si="1"/>
        <v>#VALUE!</v>
      </c>
      <c r="K25" s="54" t="e" vm="135">
        <f t="shared" si="2"/>
        <v>#VALUE!</v>
      </c>
      <c r="L25" s="20" t="e" vm="143">
        <f t="array" ref="L25">_FV(A25,"Market cap",TRUE)/10000000</f>
        <v>#VALUE!</v>
      </c>
      <c r="M25" s="21" t="e" vm="135">
        <f t="shared" si="3"/>
        <v>#VALUE!</v>
      </c>
      <c r="N25" t="s">
        <v>49</v>
      </c>
      <c r="O25" s="45" t="e" vm="48">
        <f t="array" ref="O25">_FV(A25,"Industry")</f>
        <v>#VALUE!</v>
      </c>
    </row>
    <row r="26" spans="1:15">
      <c r="A26" t="e">
        <v>#VALUE!</v>
      </c>
      <c r="B26" s="33" t="e" vm="142">
        <f t="array" ref="B26">_FV(A26,"Change (%)",TRUE)</f>
        <v>#VALUE!</v>
      </c>
      <c r="C26" s="35" t="e" vm="136">
        <f t="array" ref="C26">_FV(A26,"Previous close",TRUE)</f>
        <v>#VALUE!</v>
      </c>
      <c r="D26" s="35" t="e" vm="137">
        <f t="array" ref="D26">_FV(A26,"Price")</f>
        <v>#VALUE!</v>
      </c>
      <c r="E26" s="35" t="e" vm="138">
        <f t="array" ref="E26">_FV(A26,"Low")</f>
        <v>#VALUE!</v>
      </c>
      <c r="F26" s="35" t="e" vm="139">
        <f t="array" ref="F26">_FV(A26,"High")</f>
        <v>#VALUE!</v>
      </c>
      <c r="G26" s="35" t="e" vm="140">
        <f t="array" ref="G26">_FV(A26,"52 week low",TRUE)</f>
        <v>#VALUE!</v>
      </c>
      <c r="H26" s="36" t="e" vm="141">
        <f t="array" ref="H26">_FV(A26,"52 week high",TRUE)</f>
        <v>#VALUE!</v>
      </c>
      <c r="I26" s="40" t="e" vm="135">
        <f t="shared" si="0"/>
        <v>#VALUE!</v>
      </c>
      <c r="J26" s="39" t="e" vm="135">
        <f t="shared" si="1"/>
        <v>#VALUE!</v>
      </c>
      <c r="K26" s="54" t="e" vm="135">
        <f t="shared" si="2"/>
        <v>#VALUE!</v>
      </c>
      <c r="L26" s="20" t="e" vm="143">
        <f t="array" ref="L26">_FV(A26,"Market cap",TRUE)/10000000</f>
        <v>#VALUE!</v>
      </c>
      <c r="M26" s="21" t="e" vm="135">
        <f t="shared" si="3"/>
        <v>#VALUE!</v>
      </c>
      <c r="N26" t="s">
        <v>49</v>
      </c>
      <c r="O26" s="46" t="e" vm="48">
        <f t="array" ref="O26">_FV(A26,"Industry")</f>
        <v>#VALUE!</v>
      </c>
    </row>
    <row r="27" spans="1:15">
      <c r="A27" t="e">
        <v>#VALUE!</v>
      </c>
      <c r="B27" s="33" t="e" vm="142">
        <f t="array" ref="B27">_FV(A27,"Change (%)",TRUE)</f>
        <v>#VALUE!</v>
      </c>
      <c r="C27" s="35" t="e" vm="136">
        <f t="array" ref="C27">_FV(A27,"Previous close",TRUE)</f>
        <v>#VALUE!</v>
      </c>
      <c r="D27" s="35" t="e" vm="137">
        <f t="array" ref="D27">_FV(A27,"Price")</f>
        <v>#VALUE!</v>
      </c>
      <c r="E27" s="35" t="e" vm="138">
        <f t="array" ref="E27">_FV(A27,"Low")</f>
        <v>#VALUE!</v>
      </c>
      <c r="F27" s="35" t="e" vm="139">
        <f t="array" ref="F27">_FV(A27,"High")</f>
        <v>#VALUE!</v>
      </c>
      <c r="G27" s="35" t="e" vm="140">
        <f t="array" ref="G27">_FV(A27,"52 week low",TRUE)</f>
        <v>#VALUE!</v>
      </c>
      <c r="H27" s="36" t="e" vm="141">
        <f t="array" ref="H27">_FV(A27,"52 week high",TRUE)</f>
        <v>#VALUE!</v>
      </c>
      <c r="I27" s="40" t="e" vm="135">
        <f t="shared" si="0"/>
        <v>#VALUE!</v>
      </c>
      <c r="J27" s="39" t="e" vm="135">
        <f t="shared" si="1"/>
        <v>#VALUE!</v>
      </c>
      <c r="K27" s="54" t="e" vm="135">
        <f t="shared" si="2"/>
        <v>#VALUE!</v>
      </c>
      <c r="L27" s="20" t="e" vm="143">
        <f t="array" ref="L27">_FV(A27,"Market cap",TRUE)/10000000</f>
        <v>#VALUE!</v>
      </c>
      <c r="M27" s="21" t="e" vm="135">
        <f t="shared" si="3"/>
        <v>#VALUE!</v>
      </c>
      <c r="N27" t="s">
        <v>49</v>
      </c>
      <c r="O27" s="46" t="e" vm="48">
        <f t="array" ref="O27">_FV(A27,"Industry")</f>
        <v>#VALUE!</v>
      </c>
    </row>
    <row r="28" spans="1:15">
      <c r="A28" t="e">
        <v>#VALUE!</v>
      </c>
      <c r="B28" s="33" t="e" vm="142">
        <f t="array" ref="B28">_FV(A28,"Change (%)",TRUE)</f>
        <v>#VALUE!</v>
      </c>
      <c r="C28" s="35" t="e" vm="136">
        <f t="array" ref="C28">_FV(A28,"Previous close",TRUE)</f>
        <v>#VALUE!</v>
      </c>
      <c r="D28" s="35" t="e" vm="137">
        <f t="array" ref="D28">_FV(A28,"Price")</f>
        <v>#VALUE!</v>
      </c>
      <c r="E28" s="35" t="e" vm="138">
        <f t="array" ref="E28">_FV(A28,"Low")</f>
        <v>#VALUE!</v>
      </c>
      <c r="F28" s="35" t="e" vm="139">
        <f t="array" ref="F28">_FV(A28,"High")</f>
        <v>#VALUE!</v>
      </c>
      <c r="G28" s="35" t="e" vm="140">
        <f t="array" ref="G28">_FV(A28,"52 week low",TRUE)</f>
        <v>#VALUE!</v>
      </c>
      <c r="H28" s="36" t="e" vm="141">
        <f t="array" ref="H28">_FV(A28,"52 week high",TRUE)</f>
        <v>#VALUE!</v>
      </c>
      <c r="I28" s="40" t="e" vm="135">
        <f t="shared" si="0"/>
        <v>#VALUE!</v>
      </c>
      <c r="J28" s="39" t="e" vm="135">
        <f t="shared" si="1"/>
        <v>#VALUE!</v>
      </c>
      <c r="K28" s="54" t="e" vm="135">
        <f t="shared" si="2"/>
        <v>#VALUE!</v>
      </c>
      <c r="L28" s="20" t="e" vm="143">
        <f t="array" ref="L28">_FV(A28,"Market cap",TRUE)/10000000</f>
        <v>#VALUE!</v>
      </c>
      <c r="M28" s="21" t="e" vm="135">
        <f t="shared" si="3"/>
        <v>#VALUE!</v>
      </c>
      <c r="N28" t="s">
        <v>41</v>
      </c>
      <c r="O28" s="46" t="e" vm="48">
        <f t="array" ref="O28">_FV(A28,"Industry")</f>
        <v>#VALUE!</v>
      </c>
    </row>
    <row r="29" spans="1:15">
      <c r="A29" t="e">
        <v>#VALUE!</v>
      </c>
      <c r="B29" s="33" t="e" vm="142">
        <f t="array" ref="B29">_FV(A29,"Change (%)",TRUE)</f>
        <v>#VALUE!</v>
      </c>
      <c r="C29" s="35" t="e" vm="136">
        <f t="array" ref="C29">_FV(A29,"Previous close",TRUE)</f>
        <v>#VALUE!</v>
      </c>
      <c r="D29" s="35" t="e" vm="137">
        <f t="array" ref="D29">_FV(A29,"Price")</f>
        <v>#VALUE!</v>
      </c>
      <c r="E29" s="35" t="e" vm="138">
        <f t="array" ref="E29">_FV(A29,"Low")</f>
        <v>#VALUE!</v>
      </c>
      <c r="F29" s="35" t="e" vm="139">
        <f t="array" ref="F29">_FV(A29,"High")</f>
        <v>#VALUE!</v>
      </c>
      <c r="G29" s="35" t="e" vm="140">
        <f t="array" ref="G29">_FV(A29,"52 week low",TRUE)</f>
        <v>#VALUE!</v>
      </c>
      <c r="H29" s="36" t="e" vm="141">
        <f t="array" ref="H29">_FV(A29,"52 week high",TRUE)</f>
        <v>#VALUE!</v>
      </c>
      <c r="I29" s="40" t="e" vm="135">
        <f t="shared" si="0"/>
        <v>#VALUE!</v>
      </c>
      <c r="J29" s="39" t="e" vm="135">
        <f t="shared" si="1"/>
        <v>#VALUE!</v>
      </c>
      <c r="K29" s="54" t="e" vm="135">
        <f t="shared" si="2"/>
        <v>#VALUE!</v>
      </c>
      <c r="L29" s="20" t="e" vm="143">
        <f t="array" ref="L29">_FV(A29,"Market cap",TRUE)/10000000</f>
        <v>#VALUE!</v>
      </c>
      <c r="M29" s="21" t="e" vm="135">
        <f t="shared" si="3"/>
        <v>#VALUE!</v>
      </c>
      <c r="N29" t="s">
        <v>45</v>
      </c>
      <c r="O29" s="46" t="e" vm="48">
        <f t="array" ref="O29">_FV(A29,"Industry")</f>
        <v>#VALUE!</v>
      </c>
    </row>
    <row r="30" spans="1:15">
      <c r="A30" t="e">
        <v>#VALUE!</v>
      </c>
      <c r="B30" s="33" t="e" vm="142">
        <f t="array" ref="B30">_FV(A30,"Change (%)",TRUE)</f>
        <v>#VALUE!</v>
      </c>
      <c r="C30" s="35" t="e" vm="136">
        <f t="array" ref="C30">_FV(A30,"Previous close",TRUE)</f>
        <v>#VALUE!</v>
      </c>
      <c r="D30" s="35" t="e" vm="137">
        <f t="array" ref="D30">_FV(A30,"Price")</f>
        <v>#VALUE!</v>
      </c>
      <c r="E30" s="35" t="e" vm="138">
        <f t="array" ref="E30">_FV(A30,"Low")</f>
        <v>#VALUE!</v>
      </c>
      <c r="F30" s="35" t="e" vm="139">
        <f t="array" ref="F30">_FV(A30,"High")</f>
        <v>#VALUE!</v>
      </c>
      <c r="G30" s="35" t="e" vm="140">
        <f t="array" ref="G30">_FV(A30,"52 week low",TRUE)</f>
        <v>#VALUE!</v>
      </c>
      <c r="H30" s="36" t="e" vm="141">
        <f t="array" ref="H30">_FV(A30,"52 week high",TRUE)</f>
        <v>#VALUE!</v>
      </c>
      <c r="I30" s="40" t="e" vm="135">
        <f t="shared" si="0"/>
        <v>#VALUE!</v>
      </c>
      <c r="J30" s="39" t="e" vm="135">
        <f t="shared" si="1"/>
        <v>#VALUE!</v>
      </c>
      <c r="K30" s="54" t="e" vm="135">
        <f t="shared" si="2"/>
        <v>#VALUE!</v>
      </c>
      <c r="L30" s="20" t="e" vm="143">
        <f t="array" ref="L30">_FV(A30,"Market cap",TRUE)/10000000</f>
        <v>#VALUE!</v>
      </c>
      <c r="M30" s="21" t="e" vm="135">
        <f t="shared" si="3"/>
        <v>#VALUE!</v>
      </c>
      <c r="N30" t="s">
        <v>50</v>
      </c>
      <c r="O30" s="45" t="e" vm="48">
        <f t="array" ref="O30">_FV(A30,"Industry")</f>
        <v>#VALUE!</v>
      </c>
    </row>
    <row r="31" spans="1:15">
      <c r="A31" t="e">
        <v>#VALUE!</v>
      </c>
      <c r="B31" s="33" t="e" vm="142">
        <f t="array" ref="B31">_FV(A31,"Change (%)",TRUE)</f>
        <v>#VALUE!</v>
      </c>
      <c r="C31" s="35" t="e" vm="136">
        <f t="array" ref="C31">_FV(A31,"Previous close",TRUE)</f>
        <v>#VALUE!</v>
      </c>
      <c r="D31" s="35" t="e" vm="137">
        <f t="array" ref="D31">_FV(A31,"Price")</f>
        <v>#VALUE!</v>
      </c>
      <c r="E31" s="35" t="e" vm="138">
        <f t="array" ref="E31">_FV(A31,"Low")</f>
        <v>#VALUE!</v>
      </c>
      <c r="F31" s="35" t="e" vm="139">
        <f t="array" ref="F31">_FV(A31,"High")</f>
        <v>#VALUE!</v>
      </c>
      <c r="G31" s="35" t="e" vm="140">
        <f t="array" ref="G31">_FV(A31,"52 week low",TRUE)</f>
        <v>#VALUE!</v>
      </c>
      <c r="H31" s="36" t="e" vm="141">
        <f t="array" ref="H31">_FV(A31,"52 week high",TRUE)</f>
        <v>#VALUE!</v>
      </c>
      <c r="I31" s="40" t="e" vm="135">
        <f t="shared" si="0"/>
        <v>#VALUE!</v>
      </c>
      <c r="J31" s="39" t="e" vm="135">
        <f t="shared" si="1"/>
        <v>#VALUE!</v>
      </c>
      <c r="K31" s="54" t="e" vm="135">
        <f t="shared" si="2"/>
        <v>#VALUE!</v>
      </c>
      <c r="L31" s="20" t="e" vm="143">
        <f t="array" ref="L31">_FV(A31,"Market cap",TRUE)/10000000</f>
        <v>#VALUE!</v>
      </c>
      <c r="M31" s="21" t="e" vm="135">
        <f t="shared" si="3"/>
        <v>#VALUE!</v>
      </c>
      <c r="N31" t="s">
        <v>46</v>
      </c>
      <c r="O31" s="46" t="e" vm="48">
        <f t="array" ref="O31">_FV(A31,"Industry")</f>
        <v>#VALUE!</v>
      </c>
    </row>
    <row r="32" spans="1:15">
      <c r="A32" t="e">
        <v>#VALUE!</v>
      </c>
      <c r="B32" s="33" t="e" vm="142">
        <f t="array" ref="B32">_FV(A32,"Change (%)",TRUE)</f>
        <v>#VALUE!</v>
      </c>
      <c r="C32" s="35" t="e" vm="136">
        <f t="array" ref="C32">_FV(A32,"Previous close",TRUE)</f>
        <v>#VALUE!</v>
      </c>
      <c r="D32" s="35" t="e" vm="137">
        <f t="array" ref="D32">_FV(A32,"Price")</f>
        <v>#VALUE!</v>
      </c>
      <c r="E32" s="35" t="e" vm="138">
        <f t="array" ref="E32">_FV(A32,"Low")</f>
        <v>#VALUE!</v>
      </c>
      <c r="F32" s="35" t="e" vm="139">
        <f t="array" ref="F32">_FV(A32,"High")</f>
        <v>#VALUE!</v>
      </c>
      <c r="G32" s="35" t="e" vm="140">
        <f t="array" ref="G32">_FV(A32,"52 week low",TRUE)</f>
        <v>#VALUE!</v>
      </c>
      <c r="H32" s="36" t="e" vm="141">
        <f t="array" ref="H32">_FV(A32,"52 week high",TRUE)</f>
        <v>#VALUE!</v>
      </c>
      <c r="I32" s="40" t="e" vm="135">
        <f t="shared" si="0"/>
        <v>#VALUE!</v>
      </c>
      <c r="J32" s="39" t="e" vm="135">
        <f t="shared" si="1"/>
        <v>#VALUE!</v>
      </c>
      <c r="K32" s="54" t="e" vm="135">
        <f t="shared" si="2"/>
        <v>#VALUE!</v>
      </c>
      <c r="L32" s="20" t="e" vm="143">
        <f t="array" ref="L32">_FV(A32,"Market cap",TRUE)/10000000</f>
        <v>#VALUE!</v>
      </c>
      <c r="M32" s="21" t="e" vm="135">
        <f t="shared" si="3"/>
        <v>#VALUE!</v>
      </c>
      <c r="N32" t="s">
        <v>48</v>
      </c>
      <c r="O32" s="46" t="e" vm="48">
        <f t="array" ref="O32">_FV(A32,"Industry")</f>
        <v>#VALUE!</v>
      </c>
    </row>
    <row r="33" spans="1:15">
      <c r="A33" t="e">
        <v>#VALUE!</v>
      </c>
      <c r="B33" s="33" t="e" vm="142">
        <f t="array" ref="B33">_FV(A33,"Change (%)",TRUE)</f>
        <v>#VALUE!</v>
      </c>
      <c r="C33" s="35" t="e" vm="136">
        <f t="array" ref="C33">_FV(A33,"Previous close",TRUE)</f>
        <v>#VALUE!</v>
      </c>
      <c r="D33" s="35" t="e" vm="137">
        <f t="array" ref="D33">_FV(A33,"Price")</f>
        <v>#VALUE!</v>
      </c>
      <c r="E33" s="35" t="e" vm="138">
        <f t="array" ref="E33">_FV(A33,"Low")</f>
        <v>#VALUE!</v>
      </c>
      <c r="F33" s="35" t="e" vm="139">
        <f t="array" ref="F33">_FV(A33,"High")</f>
        <v>#VALUE!</v>
      </c>
      <c r="G33" s="35" t="e" vm="140">
        <f t="array" ref="G33">_FV(A33,"52 week low",TRUE)</f>
        <v>#VALUE!</v>
      </c>
      <c r="H33" s="36" t="e" vm="141">
        <f t="array" ref="H33">_FV(A33,"52 week high",TRUE)</f>
        <v>#VALUE!</v>
      </c>
      <c r="I33" s="40" t="e" vm="135">
        <f t="shared" si="0"/>
        <v>#VALUE!</v>
      </c>
      <c r="J33" s="39" t="e" vm="135">
        <f t="shared" si="1"/>
        <v>#VALUE!</v>
      </c>
      <c r="K33" s="54" t="e" vm="135">
        <f t="shared" si="2"/>
        <v>#VALUE!</v>
      </c>
      <c r="L33" s="20" t="e" vm="143">
        <f t="array" ref="L33">_FV(A33,"Market cap",TRUE)/10000000</f>
        <v>#VALUE!</v>
      </c>
      <c r="M33" s="21" t="e" vm="135">
        <f t="shared" si="3"/>
        <v>#VALUE!</v>
      </c>
      <c r="N33" t="s">
        <v>49</v>
      </c>
      <c r="O33" s="46" t="e" vm="48">
        <f t="array" ref="O33">_FV(A33,"Industry")</f>
        <v>#VALUE!</v>
      </c>
    </row>
    <row r="34" spans="1:15">
      <c r="A34" t="e">
        <v>#VALUE!</v>
      </c>
      <c r="B34" s="33" t="e" vm="142">
        <f t="array" ref="B34">_FV(A34,"Change (%)",TRUE)</f>
        <v>#VALUE!</v>
      </c>
      <c r="C34" s="35" t="e" vm="136">
        <f t="array" ref="C34">_FV(A34,"Previous close",TRUE)</f>
        <v>#VALUE!</v>
      </c>
      <c r="D34" s="35" t="e" vm="137">
        <f t="array" ref="D34">_FV(A34,"Price")</f>
        <v>#VALUE!</v>
      </c>
      <c r="E34" s="35" t="e" vm="138">
        <f t="array" ref="E34">_FV(A34,"Low")</f>
        <v>#VALUE!</v>
      </c>
      <c r="F34" s="35" t="e" vm="139">
        <f t="array" ref="F34">_FV(A34,"High")</f>
        <v>#VALUE!</v>
      </c>
      <c r="G34" s="35" t="e" vm="140">
        <f t="array" ref="G34">_FV(A34,"52 week low",TRUE)</f>
        <v>#VALUE!</v>
      </c>
      <c r="H34" s="36" t="e" vm="141">
        <f t="array" ref="H34">_FV(A34,"52 week high",TRUE)</f>
        <v>#VALUE!</v>
      </c>
      <c r="I34" s="40" t="e" vm="135">
        <f t="shared" ref="I34:I65" si="4">(H34-D34)*100/H34</f>
        <v>#VALUE!</v>
      </c>
      <c r="J34" s="39" t="e" vm="135">
        <f t="shared" ref="J34:J65" si="5">IF(AND(M34="HLC", I34&gt;12), "SURE HLC BUY",IF(AND(M34="HLC", I34&gt;7), "FIRST HLC BUY",IF(AND(M34="LC", I34&gt;20), "SURE LC BUY",IF(AND(M34="LC", I34&gt;10), "LC BUY",IF(AND(M34="HMC", I34&gt;30), "SURE HMC BUY",IF(AND(M34="HMC", I34&gt;20), "HMC BUY",IF(AND(M34="HMC", I34&gt;15), "FIRST HMC BUY",IF(AND(M34="MC", I34&gt;40), "SURE MC BUY",IF(AND(M34="MC", I34&gt;30), "MC BUY",IF(AND(M34="MC", I34&gt;20), "FIRST MC BUY",IF(AND(M34="HSC", I34&gt;60), "SURE HSC BUY",IF(AND(M34="HSC", I34&gt;50), "HSC BUY",IF(AND(M34="HSC", I34&gt;40), "FIRST HSC BUY",IF(AND(M34="SC", I34&gt;70), "SURE SC BUY",IF(AND(M34="SC", I34&gt;60), "SC BUY",IF(AND(M34="SC", I34&gt;50), "FIRST SC BUY",IF(AND(M34="VSC", I34&gt;80), "SURE VSC BUY",IF(AND(M34="VSC", I34&gt;70), "VSC BUY",IF(AND(M34="VSC", I34&gt;60), "FIRST VSC BUY","WATCH")))))))))))))))))))</f>
        <v>#VALUE!</v>
      </c>
      <c r="K34" s="54" t="e" vm="135">
        <f t="shared" ref="K34:K65" si="6">(G34-D34)*100/G34</f>
        <v>#VALUE!</v>
      </c>
      <c r="L34" s="20" t="e" vm="143">
        <f t="array" ref="L34">_FV(A34,"Market cap",TRUE)/10000000</f>
        <v>#VALUE!</v>
      </c>
      <c r="M34" s="21" t="e" vm="135">
        <f t="shared" ref="M34:M65" si="7">IF(L34&gt;500000,"HLC",IF(L34 &gt;100000,"LC",IF(L34 &gt;40000,"HMC",IF(L34 &gt;10000,"MC",IF(L34 &gt;=5000,"HSC",IF(L34 &gt;1000,"SC","VSC"))))))</f>
        <v>#VALUE!</v>
      </c>
      <c r="N34" t="s">
        <v>49</v>
      </c>
      <c r="O34" s="46" t="e" vm="48">
        <f t="array" ref="O34">_FV(A34,"Industry")</f>
        <v>#VALUE!</v>
      </c>
    </row>
    <row r="35" spans="1:15">
      <c r="A35" t="e">
        <v>#VALUE!</v>
      </c>
      <c r="B35" s="33" t="e" vm="142">
        <f t="array" ref="B35">_FV(A35,"Change (%)",TRUE)</f>
        <v>#VALUE!</v>
      </c>
      <c r="C35" s="35" t="e" vm="136">
        <f t="array" ref="C35">_FV(A35,"Previous close",TRUE)</f>
        <v>#VALUE!</v>
      </c>
      <c r="D35" s="35" t="e" vm="137">
        <f t="array" ref="D35">_FV(A35,"Price")</f>
        <v>#VALUE!</v>
      </c>
      <c r="E35" s="35" t="e" vm="138">
        <f t="array" ref="E35">_FV(A35,"Low")</f>
        <v>#VALUE!</v>
      </c>
      <c r="F35" s="35" t="e" vm="139">
        <f t="array" ref="F35">_FV(A35,"High")</f>
        <v>#VALUE!</v>
      </c>
      <c r="G35" s="35" t="e" vm="140">
        <f t="array" ref="G35">_FV(A35,"52 week low",TRUE)</f>
        <v>#VALUE!</v>
      </c>
      <c r="H35" s="36" t="e" vm="141">
        <f t="array" ref="H35">_FV(A35,"52 week high",TRUE)</f>
        <v>#VALUE!</v>
      </c>
      <c r="I35" s="40" t="e" vm="135">
        <f t="shared" si="4"/>
        <v>#VALUE!</v>
      </c>
      <c r="J35" s="39" t="e" vm="135">
        <f t="shared" si="5"/>
        <v>#VALUE!</v>
      </c>
      <c r="K35" s="54" t="e" vm="135">
        <f t="shared" si="6"/>
        <v>#VALUE!</v>
      </c>
      <c r="L35" s="20" t="e" vm="143">
        <f t="array" ref="L35">_FV(A35,"Market cap",TRUE)/10000000</f>
        <v>#VALUE!</v>
      </c>
      <c r="M35" s="21" t="e" vm="135">
        <f t="shared" si="7"/>
        <v>#VALUE!</v>
      </c>
      <c r="N35" t="s">
        <v>30</v>
      </c>
      <c r="O35" s="46" t="e" vm="48">
        <f t="array" ref="O35">_FV(A35,"Industry")</f>
        <v>#VALUE!</v>
      </c>
    </row>
    <row r="36" spans="1:15">
      <c r="A36" t="e">
        <v>#VALUE!</v>
      </c>
      <c r="B36" s="33" t="e" vm="142">
        <f t="array" ref="B36">_FV(A36,"Change (%)",TRUE)</f>
        <v>#VALUE!</v>
      </c>
      <c r="C36" s="35" t="e" vm="136">
        <f t="array" ref="C36">_FV(A36,"Previous close",TRUE)</f>
        <v>#VALUE!</v>
      </c>
      <c r="D36" s="35" t="e" vm="137">
        <f t="array" ref="D36">_FV(A36,"Price")</f>
        <v>#VALUE!</v>
      </c>
      <c r="E36" s="35" t="e" vm="138">
        <f t="array" ref="E36">_FV(A36,"Low")</f>
        <v>#VALUE!</v>
      </c>
      <c r="F36" s="35" t="e" vm="139">
        <f t="array" ref="F36">_FV(A36,"High")</f>
        <v>#VALUE!</v>
      </c>
      <c r="G36" s="35" t="e" vm="140">
        <f t="array" ref="G36">_FV(A36,"52 week low",TRUE)</f>
        <v>#VALUE!</v>
      </c>
      <c r="H36" s="36" t="e" vm="141">
        <f t="array" ref="H36">_FV(A36,"52 week high",TRUE)</f>
        <v>#VALUE!</v>
      </c>
      <c r="I36" s="40" t="e" vm="135">
        <f t="shared" si="4"/>
        <v>#VALUE!</v>
      </c>
      <c r="J36" s="39" t="e" vm="135">
        <f t="shared" si="5"/>
        <v>#VALUE!</v>
      </c>
      <c r="K36" s="54" t="e" vm="135">
        <f t="shared" si="6"/>
        <v>#VALUE!</v>
      </c>
      <c r="L36" s="20" t="e" vm="143">
        <f t="array" ref="L36">_FV(A36,"Market cap",TRUE)/10000000</f>
        <v>#VALUE!</v>
      </c>
      <c r="M36" s="21" t="e" vm="135">
        <f t="shared" si="7"/>
        <v>#VALUE!</v>
      </c>
      <c r="N36" t="s">
        <v>45</v>
      </c>
      <c r="O36" s="46" t="e" vm="48">
        <f t="array" ref="O36">_FV(A36,"Industry")</f>
        <v>#VALUE!</v>
      </c>
    </row>
    <row r="37" spans="1:15">
      <c r="A37" t="e">
        <v>#VALUE!</v>
      </c>
      <c r="B37" s="33" t="e" vm="142">
        <f t="array" ref="B37">_FV(A37,"Change (%)",TRUE)</f>
        <v>#VALUE!</v>
      </c>
      <c r="C37" s="35" t="e" vm="136">
        <f t="array" ref="C37">_FV(A37,"Previous close",TRUE)</f>
        <v>#VALUE!</v>
      </c>
      <c r="D37" s="35" t="e" vm="137">
        <f t="array" ref="D37">_FV(A37,"Price")</f>
        <v>#VALUE!</v>
      </c>
      <c r="E37" s="35" t="e" vm="138">
        <f t="array" ref="E37">_FV(A37,"Low")</f>
        <v>#VALUE!</v>
      </c>
      <c r="F37" s="35" t="e" vm="139">
        <f t="array" ref="F37">_FV(A37,"High")</f>
        <v>#VALUE!</v>
      </c>
      <c r="G37" s="35" t="e" vm="140">
        <f t="array" ref="G37">_FV(A37,"52 week low",TRUE)</f>
        <v>#VALUE!</v>
      </c>
      <c r="H37" s="36" t="e" vm="141">
        <f t="array" ref="H37">_FV(A37,"52 week high",TRUE)</f>
        <v>#VALUE!</v>
      </c>
      <c r="I37" s="40" t="e" vm="135">
        <f t="shared" si="4"/>
        <v>#VALUE!</v>
      </c>
      <c r="J37" s="39" t="e" vm="135">
        <f t="shared" si="5"/>
        <v>#VALUE!</v>
      </c>
      <c r="K37" s="54" t="e" vm="135">
        <f t="shared" si="6"/>
        <v>#VALUE!</v>
      </c>
      <c r="L37" s="20" t="e" vm="143">
        <f t="array" ref="L37">_FV(A37,"Market cap",TRUE)/10000000</f>
        <v>#VALUE!</v>
      </c>
      <c r="M37" s="21" t="e" vm="135">
        <f t="shared" si="7"/>
        <v>#VALUE!</v>
      </c>
      <c r="N37" t="s">
        <v>47</v>
      </c>
      <c r="O37" s="46" t="e" vm="48">
        <f t="array" ref="O37">_FV(A37,"Industry")</f>
        <v>#VALUE!</v>
      </c>
    </row>
    <row r="38" spans="1:15">
      <c r="A38" t="e">
        <v>#VALUE!</v>
      </c>
      <c r="B38" s="33" t="e" vm="142">
        <f t="array" ref="B38">_FV(A38,"Change (%)",TRUE)</f>
        <v>#VALUE!</v>
      </c>
      <c r="C38" s="35" t="e" vm="136">
        <f t="array" ref="C38">_FV(A38,"Previous close",TRUE)</f>
        <v>#VALUE!</v>
      </c>
      <c r="D38" s="35" t="e" vm="137">
        <f t="array" ref="D38">_FV(A38,"Price")</f>
        <v>#VALUE!</v>
      </c>
      <c r="E38" s="35" t="e" vm="138">
        <f t="array" ref="E38">_FV(A38,"Low")</f>
        <v>#VALUE!</v>
      </c>
      <c r="F38" s="35" t="e" vm="139">
        <f t="array" ref="F38">_FV(A38,"High")</f>
        <v>#VALUE!</v>
      </c>
      <c r="G38" s="35" t="e" vm="140">
        <f t="array" ref="G38">_FV(A38,"52 week low",TRUE)</f>
        <v>#VALUE!</v>
      </c>
      <c r="H38" s="36" t="e" vm="141">
        <f t="array" ref="H38">_FV(A38,"52 week high",TRUE)</f>
        <v>#VALUE!</v>
      </c>
      <c r="I38" s="40" t="e" vm="135">
        <f t="shared" si="4"/>
        <v>#VALUE!</v>
      </c>
      <c r="J38" s="39" t="e" vm="135">
        <f t="shared" si="5"/>
        <v>#VALUE!</v>
      </c>
      <c r="K38" s="54" t="e" vm="135">
        <f t="shared" si="6"/>
        <v>#VALUE!</v>
      </c>
      <c r="L38" s="20" t="e" vm="143">
        <f t="array" ref="L38">_FV(A38,"Market cap",TRUE)/10000000</f>
        <v>#VALUE!</v>
      </c>
      <c r="M38" s="21" t="e" vm="135">
        <f t="shared" si="7"/>
        <v>#VALUE!</v>
      </c>
      <c r="N38" t="s">
        <v>48</v>
      </c>
      <c r="O38" s="46" t="e" vm="48">
        <f t="array" ref="O38">_FV(A38,"Industry")</f>
        <v>#VALUE!</v>
      </c>
    </row>
    <row r="39" spans="1:15">
      <c r="A39" t="e">
        <v>#VALUE!</v>
      </c>
      <c r="B39" s="33" t="e" vm="142">
        <f t="array" ref="B39">_FV(A39,"Change (%)",TRUE)</f>
        <v>#VALUE!</v>
      </c>
      <c r="C39" s="35" t="e" vm="136">
        <f t="array" ref="C39">_FV(A39,"Previous close",TRUE)</f>
        <v>#VALUE!</v>
      </c>
      <c r="D39" s="35" t="e" vm="137">
        <f t="array" ref="D39">_FV(A39,"Price")</f>
        <v>#VALUE!</v>
      </c>
      <c r="E39" s="35" t="e" vm="138">
        <f t="array" ref="E39">_FV(A39,"Low")</f>
        <v>#VALUE!</v>
      </c>
      <c r="F39" s="35" t="e" vm="139">
        <f t="array" ref="F39">_FV(A39,"High")</f>
        <v>#VALUE!</v>
      </c>
      <c r="G39" s="35" t="e" vm="140">
        <f t="array" ref="G39">_FV(A39,"52 week low",TRUE)</f>
        <v>#VALUE!</v>
      </c>
      <c r="H39" s="36" t="e" vm="141">
        <f t="array" ref="H39">_FV(A39,"52 week high",TRUE)</f>
        <v>#VALUE!</v>
      </c>
      <c r="I39" s="40" t="e" vm="135">
        <f t="shared" si="4"/>
        <v>#VALUE!</v>
      </c>
      <c r="J39" s="39" t="e" vm="135">
        <f t="shared" si="5"/>
        <v>#VALUE!</v>
      </c>
      <c r="K39" s="54" t="e" vm="135">
        <f t="shared" si="6"/>
        <v>#VALUE!</v>
      </c>
      <c r="L39" s="20" t="e" vm="143">
        <f t="array" ref="L39">_FV(A39,"Market cap",TRUE)/10000000</f>
        <v>#VALUE!</v>
      </c>
      <c r="M39" s="21" t="e" vm="135">
        <f t="shared" si="7"/>
        <v>#VALUE!</v>
      </c>
      <c r="N39" t="s">
        <v>39</v>
      </c>
      <c r="O39" s="46" t="e" vm="48">
        <f t="array" ref="O39">_FV(A39,"Industry")</f>
        <v>#VALUE!</v>
      </c>
    </row>
    <row r="40" spans="1:15">
      <c r="A40" t="e">
        <v>#VALUE!</v>
      </c>
      <c r="B40" s="33" t="e" vm="142">
        <f t="array" ref="B40">_FV(A40,"Change (%)",TRUE)</f>
        <v>#VALUE!</v>
      </c>
      <c r="C40" s="35" t="e" vm="136">
        <f t="array" ref="C40">_FV(A40,"Previous close",TRUE)</f>
        <v>#VALUE!</v>
      </c>
      <c r="D40" s="35" t="e" vm="137">
        <f t="array" ref="D40">_FV(A40,"Price")</f>
        <v>#VALUE!</v>
      </c>
      <c r="E40" s="35" t="e" vm="138">
        <f t="array" ref="E40">_FV(A40,"Low")</f>
        <v>#VALUE!</v>
      </c>
      <c r="F40" s="35" t="e" vm="139">
        <f t="array" ref="F40">_FV(A40,"High")</f>
        <v>#VALUE!</v>
      </c>
      <c r="G40" s="35" t="e" vm="140">
        <f t="array" ref="G40">_FV(A40,"52 week low",TRUE)</f>
        <v>#VALUE!</v>
      </c>
      <c r="H40" s="36" t="e" vm="141">
        <f t="array" ref="H40">_FV(A40,"52 week high",TRUE)</f>
        <v>#VALUE!</v>
      </c>
      <c r="I40" s="40" t="e" vm="135">
        <f t="shared" si="4"/>
        <v>#VALUE!</v>
      </c>
      <c r="J40" s="39" t="e" vm="135">
        <f t="shared" si="5"/>
        <v>#VALUE!</v>
      </c>
      <c r="K40" s="54" t="e" vm="135">
        <f t="shared" si="6"/>
        <v>#VALUE!</v>
      </c>
      <c r="L40" s="20" t="e" vm="143">
        <f t="array" ref="L40">_FV(A40,"Market cap",TRUE)/10000000</f>
        <v>#VALUE!</v>
      </c>
      <c r="M40" s="21" t="e" vm="135">
        <f t="shared" si="7"/>
        <v>#VALUE!</v>
      </c>
      <c r="N40" t="s">
        <v>49</v>
      </c>
      <c r="O40" s="46" t="e" vm="48">
        <f t="array" ref="O40">_FV(A40,"Industry")</f>
        <v>#VALUE!</v>
      </c>
    </row>
    <row r="41" spans="1:15">
      <c r="A41" t="e">
        <v>#VALUE!</v>
      </c>
      <c r="B41" s="33" t="e" vm="142">
        <f t="array" ref="B41">_FV(A41,"Change (%)",TRUE)</f>
        <v>#VALUE!</v>
      </c>
      <c r="C41" s="35" t="e" vm="136">
        <f t="array" ref="C41">_FV(A41,"Previous close",TRUE)</f>
        <v>#VALUE!</v>
      </c>
      <c r="D41" s="35" t="e" vm="137">
        <f t="array" ref="D41">_FV(A41,"Price")</f>
        <v>#VALUE!</v>
      </c>
      <c r="E41" s="35" t="e" vm="138">
        <f t="array" ref="E41">_FV(A41,"Low")</f>
        <v>#VALUE!</v>
      </c>
      <c r="F41" s="35" t="e" vm="139">
        <f t="array" ref="F41">_FV(A41,"High")</f>
        <v>#VALUE!</v>
      </c>
      <c r="G41" s="35" t="e" vm="140">
        <f t="array" ref="G41">_FV(A41,"52 week low",TRUE)</f>
        <v>#VALUE!</v>
      </c>
      <c r="H41" s="36" t="e" vm="141">
        <f t="array" ref="H41">_FV(A41,"52 week high",TRUE)</f>
        <v>#VALUE!</v>
      </c>
      <c r="I41" s="40" t="e" vm="135">
        <f t="shared" si="4"/>
        <v>#VALUE!</v>
      </c>
      <c r="J41" s="39" t="e" vm="135">
        <f t="shared" si="5"/>
        <v>#VALUE!</v>
      </c>
      <c r="K41" s="54" t="e" vm="135">
        <f t="shared" si="6"/>
        <v>#VALUE!</v>
      </c>
      <c r="L41" s="20" t="e" vm="143">
        <f t="array" ref="L41">_FV(A41,"Market cap",TRUE)/10000000</f>
        <v>#VALUE!</v>
      </c>
      <c r="M41" s="21" t="e" vm="135">
        <f t="shared" si="7"/>
        <v>#VALUE!</v>
      </c>
      <c r="N41" t="s">
        <v>47</v>
      </c>
      <c r="O41" s="46" t="e" vm="48">
        <f t="array" ref="O41">_FV(A41,"Industry")</f>
        <v>#VALUE!</v>
      </c>
    </row>
    <row r="42" spans="1:15">
      <c r="A42" t="e">
        <v>#VALUE!</v>
      </c>
      <c r="B42" s="33" t="e" vm="142">
        <f t="array" ref="B42">_FV(A42,"Change (%)",TRUE)</f>
        <v>#VALUE!</v>
      </c>
      <c r="C42" s="35" t="e" vm="136">
        <f t="array" ref="C42">_FV(A42,"Previous close",TRUE)</f>
        <v>#VALUE!</v>
      </c>
      <c r="D42" s="35" t="e" vm="137">
        <f t="array" ref="D42">_FV(A42,"Price")</f>
        <v>#VALUE!</v>
      </c>
      <c r="E42" s="35" t="e" vm="138">
        <f t="array" ref="E42">_FV(A42,"Low")</f>
        <v>#VALUE!</v>
      </c>
      <c r="F42" s="35" t="e" vm="139">
        <f t="array" ref="F42">_FV(A42,"High")</f>
        <v>#VALUE!</v>
      </c>
      <c r="G42" s="35" t="e" vm="140">
        <f t="array" ref="G42">_FV(A42,"52 week low",TRUE)</f>
        <v>#VALUE!</v>
      </c>
      <c r="H42" s="36" t="e" vm="141">
        <f t="array" ref="H42">_FV(A42,"52 week high",TRUE)</f>
        <v>#VALUE!</v>
      </c>
      <c r="I42" s="40" t="e" vm="135">
        <f t="shared" si="4"/>
        <v>#VALUE!</v>
      </c>
      <c r="J42" s="39" t="e" vm="135">
        <f t="shared" si="5"/>
        <v>#VALUE!</v>
      </c>
      <c r="K42" s="54" t="e" vm="135">
        <f t="shared" si="6"/>
        <v>#VALUE!</v>
      </c>
      <c r="L42" s="20" t="e" vm="143">
        <f t="array" ref="L42">_FV(A42,"Market cap",TRUE)/10000000</f>
        <v>#VALUE!</v>
      </c>
      <c r="M42" s="21" t="e" vm="135">
        <f t="shared" si="7"/>
        <v>#VALUE!</v>
      </c>
      <c r="N42" t="s">
        <v>47</v>
      </c>
      <c r="O42" s="46" t="e" vm="48">
        <f t="array" ref="O42">_FV(A42,"Industry")</f>
        <v>#VALUE!</v>
      </c>
    </row>
    <row r="43" spans="1:15">
      <c r="A43" t="e">
        <v>#VALUE!</v>
      </c>
      <c r="B43" s="33" t="e" vm="142">
        <f t="array" ref="B43">_FV(A43,"Change (%)",TRUE)</f>
        <v>#VALUE!</v>
      </c>
      <c r="C43" s="35" t="e" vm="136">
        <f t="array" ref="C43">_FV(A43,"Previous close",TRUE)</f>
        <v>#VALUE!</v>
      </c>
      <c r="D43" s="35" t="e" vm="137">
        <f t="array" ref="D43">_FV(A43,"Price")</f>
        <v>#VALUE!</v>
      </c>
      <c r="E43" s="35" t="e" vm="138">
        <f t="array" ref="E43">_FV(A43,"Low")</f>
        <v>#VALUE!</v>
      </c>
      <c r="F43" s="35" t="e" vm="139">
        <f t="array" ref="F43">_FV(A43,"High")</f>
        <v>#VALUE!</v>
      </c>
      <c r="G43" s="35" t="e" vm="140">
        <f t="array" ref="G43">_FV(A43,"52 week low",TRUE)</f>
        <v>#VALUE!</v>
      </c>
      <c r="H43" s="36" t="e" vm="141">
        <f t="array" ref="H43">_FV(A43,"52 week high",TRUE)</f>
        <v>#VALUE!</v>
      </c>
      <c r="I43" s="40" t="e" vm="135">
        <f t="shared" si="4"/>
        <v>#VALUE!</v>
      </c>
      <c r="J43" s="39" t="e" vm="135">
        <f t="shared" si="5"/>
        <v>#VALUE!</v>
      </c>
      <c r="K43" s="54" t="e" vm="135">
        <f t="shared" si="6"/>
        <v>#VALUE!</v>
      </c>
      <c r="L43" s="20" t="e" vm="143">
        <f t="array" ref="L43">_FV(A43,"Market cap",TRUE)/10000000</f>
        <v>#VALUE!</v>
      </c>
      <c r="M43" s="21" t="e" vm="135">
        <f t="shared" si="7"/>
        <v>#VALUE!</v>
      </c>
      <c r="N43" t="s">
        <v>42</v>
      </c>
      <c r="O43" s="46" t="e" vm="48">
        <f t="array" ref="O43">_FV(A43,"Industry")</f>
        <v>#VALUE!</v>
      </c>
    </row>
    <row r="44" spans="1:15">
      <c r="A44" t="e">
        <v>#VALUE!</v>
      </c>
      <c r="B44" s="33" t="e" vm="142">
        <f t="array" ref="B44">_FV(A44,"Change (%)",TRUE)</f>
        <v>#VALUE!</v>
      </c>
      <c r="C44" s="35" t="e" vm="136">
        <f t="array" ref="C44">_FV(A44,"Previous close",TRUE)</f>
        <v>#VALUE!</v>
      </c>
      <c r="D44" s="35" t="e" vm="137">
        <f t="array" ref="D44">_FV(A44,"Price")</f>
        <v>#VALUE!</v>
      </c>
      <c r="E44" s="35" t="e" vm="138">
        <f t="array" ref="E44">_FV(A44,"Low")</f>
        <v>#VALUE!</v>
      </c>
      <c r="F44" s="35" t="e" vm="139">
        <f t="array" ref="F44">_FV(A44,"High")</f>
        <v>#VALUE!</v>
      </c>
      <c r="G44" s="35" t="e" vm="140">
        <f t="array" ref="G44">_FV(A44,"52 week low",TRUE)</f>
        <v>#VALUE!</v>
      </c>
      <c r="H44" s="36" t="e" vm="141">
        <f t="array" ref="H44">_FV(A44,"52 week high",TRUE)</f>
        <v>#VALUE!</v>
      </c>
      <c r="I44" s="40" t="e" vm="135">
        <f t="shared" si="4"/>
        <v>#VALUE!</v>
      </c>
      <c r="J44" s="39" t="e" vm="135">
        <f t="shared" si="5"/>
        <v>#VALUE!</v>
      </c>
      <c r="K44" s="54" t="e" vm="135">
        <f t="shared" si="6"/>
        <v>#VALUE!</v>
      </c>
      <c r="L44" s="20" t="e" vm="143">
        <f t="array" ref="L44">_FV(A44,"Market cap",TRUE)/10000000</f>
        <v>#VALUE!</v>
      </c>
      <c r="M44" s="21" t="e" vm="135">
        <f t="shared" si="7"/>
        <v>#VALUE!</v>
      </c>
      <c r="N44" t="s">
        <v>47</v>
      </c>
      <c r="O44" s="46" t="e" vm="48">
        <f t="array" ref="O44">_FV(A44,"Industry")</f>
        <v>#VALUE!</v>
      </c>
    </row>
    <row r="45" spans="1:15">
      <c r="A45" t="e">
        <v>#VALUE!</v>
      </c>
      <c r="B45" s="33" t="e" vm="142">
        <f t="array" ref="B45">_FV(A45,"Change (%)",TRUE)</f>
        <v>#VALUE!</v>
      </c>
      <c r="C45" s="35" t="e" vm="136">
        <f t="array" ref="C45">_FV(A45,"Previous close",TRUE)</f>
        <v>#VALUE!</v>
      </c>
      <c r="D45" s="35" t="e" vm="137">
        <f t="array" ref="D45">_FV(A45,"Price")</f>
        <v>#VALUE!</v>
      </c>
      <c r="E45" s="35" t="e" vm="138">
        <f t="array" ref="E45">_FV(A45,"Low")</f>
        <v>#VALUE!</v>
      </c>
      <c r="F45" s="35" t="e" vm="139">
        <f t="array" ref="F45">_FV(A45,"High")</f>
        <v>#VALUE!</v>
      </c>
      <c r="G45" s="35" t="e" vm="140">
        <f t="array" ref="G45">_FV(A45,"52 week low",TRUE)</f>
        <v>#VALUE!</v>
      </c>
      <c r="H45" s="36" t="e" vm="141">
        <f t="array" ref="H45">_FV(A45,"52 week high",TRUE)</f>
        <v>#VALUE!</v>
      </c>
      <c r="I45" s="40" t="e" vm="135">
        <f t="shared" si="4"/>
        <v>#VALUE!</v>
      </c>
      <c r="J45" s="39" t="e" vm="135">
        <f t="shared" si="5"/>
        <v>#VALUE!</v>
      </c>
      <c r="K45" s="54" t="e" vm="135">
        <f t="shared" si="6"/>
        <v>#VALUE!</v>
      </c>
      <c r="L45" s="20" t="e" vm="143">
        <f t="array" ref="L45">_FV(A45,"Market cap",TRUE)/10000000</f>
        <v>#VALUE!</v>
      </c>
      <c r="M45" s="21" t="e" vm="135">
        <f t="shared" si="7"/>
        <v>#VALUE!</v>
      </c>
      <c r="N45" t="s">
        <v>30</v>
      </c>
      <c r="O45" s="45" t="e" vm="48">
        <f t="array" ref="O45">_FV(A45,"Industry")</f>
        <v>#VALUE!</v>
      </c>
    </row>
    <row r="46" spans="1:15">
      <c r="A46" t="e">
        <v>#VALUE!</v>
      </c>
      <c r="B46" s="33" t="e" vm="142">
        <f t="array" ref="B46">_FV(A46,"Change (%)",TRUE)</f>
        <v>#VALUE!</v>
      </c>
      <c r="C46" s="35" t="e" vm="136">
        <f t="array" ref="C46">_FV(A46,"Previous close",TRUE)</f>
        <v>#VALUE!</v>
      </c>
      <c r="D46" s="35" t="e" vm="137">
        <f t="array" ref="D46">_FV(A46,"Price")</f>
        <v>#VALUE!</v>
      </c>
      <c r="E46" s="35" t="e" vm="138">
        <f t="array" ref="E46">_FV(A46,"Low")</f>
        <v>#VALUE!</v>
      </c>
      <c r="F46" s="35" t="e" vm="139">
        <f t="array" ref="F46">_FV(A46,"High")</f>
        <v>#VALUE!</v>
      </c>
      <c r="G46" s="35" t="e" vm="140">
        <f t="array" ref="G46">_FV(A46,"52 week low",TRUE)</f>
        <v>#VALUE!</v>
      </c>
      <c r="H46" s="36" t="e" vm="141">
        <f t="array" ref="H46">_FV(A46,"52 week high",TRUE)</f>
        <v>#VALUE!</v>
      </c>
      <c r="I46" s="40" t="e" vm="135">
        <f t="shared" si="4"/>
        <v>#VALUE!</v>
      </c>
      <c r="J46" s="39" t="e" vm="135">
        <f t="shared" si="5"/>
        <v>#VALUE!</v>
      </c>
      <c r="K46" s="54" t="e" vm="135">
        <f t="shared" si="6"/>
        <v>#VALUE!</v>
      </c>
      <c r="L46" s="20" t="e" vm="143">
        <f t="array" ref="L46">_FV(A46,"Market cap",TRUE)/10000000</f>
        <v>#VALUE!</v>
      </c>
      <c r="M46" s="21" t="e" vm="135">
        <f t="shared" si="7"/>
        <v>#VALUE!</v>
      </c>
      <c r="N46" t="s">
        <v>30</v>
      </c>
      <c r="O46" s="46" t="e" vm="48">
        <f t="array" ref="O46">_FV(A46,"Industry")</f>
        <v>#VALUE!</v>
      </c>
    </row>
    <row r="47" spans="1:15">
      <c r="A47" t="e">
        <v>#VALUE!</v>
      </c>
      <c r="B47" s="33" t="e" vm="142">
        <f t="array" ref="B47">_FV(A47,"Change (%)",TRUE)</f>
        <v>#VALUE!</v>
      </c>
      <c r="C47" s="35" t="e" vm="136">
        <f t="array" ref="C47">_FV(A47,"Previous close",TRUE)</f>
        <v>#VALUE!</v>
      </c>
      <c r="D47" s="35" t="e" vm="137">
        <f t="array" ref="D47">_FV(A47,"Price")</f>
        <v>#VALUE!</v>
      </c>
      <c r="E47" s="35" t="e" vm="138">
        <f t="array" ref="E47">_FV(A47,"Low")</f>
        <v>#VALUE!</v>
      </c>
      <c r="F47" s="35" t="e" vm="139">
        <f t="array" ref="F47">_FV(A47,"High")</f>
        <v>#VALUE!</v>
      </c>
      <c r="G47" s="35" t="e" vm="140">
        <f t="array" ref="G47">_FV(A47,"52 week low",TRUE)</f>
        <v>#VALUE!</v>
      </c>
      <c r="H47" s="36" t="e" vm="141">
        <f t="array" ref="H47">_FV(A47,"52 week high",TRUE)</f>
        <v>#VALUE!</v>
      </c>
      <c r="I47" s="40" t="e" vm="135">
        <f t="shared" si="4"/>
        <v>#VALUE!</v>
      </c>
      <c r="J47" s="39" t="e" vm="135">
        <f t="shared" si="5"/>
        <v>#VALUE!</v>
      </c>
      <c r="K47" s="54" t="e" vm="135">
        <f t="shared" si="6"/>
        <v>#VALUE!</v>
      </c>
      <c r="L47" s="20" t="e" vm="143">
        <f t="array" ref="L47">_FV(A47,"Market cap",TRUE)/10000000</f>
        <v>#VALUE!</v>
      </c>
      <c r="M47" s="21" t="e" vm="135">
        <f t="shared" si="7"/>
        <v>#VALUE!</v>
      </c>
      <c r="N47" t="s">
        <v>52</v>
      </c>
      <c r="O47" s="46" t="e" vm="48">
        <f t="array" ref="O47">_FV(A47,"Industry")</f>
        <v>#VALUE!</v>
      </c>
    </row>
    <row r="48" spans="1:15">
      <c r="A48" t="e">
        <v>#VALUE!</v>
      </c>
      <c r="B48" s="33" t="e" vm="142">
        <f t="array" ref="B48">_FV(A48,"Change (%)",TRUE)</f>
        <v>#VALUE!</v>
      </c>
      <c r="C48" s="35" t="e" vm="136">
        <f t="array" ref="C48">_FV(A48,"Previous close",TRUE)</f>
        <v>#VALUE!</v>
      </c>
      <c r="D48" s="35" t="e" vm="137">
        <f t="array" ref="D48">_FV(A48,"Price")</f>
        <v>#VALUE!</v>
      </c>
      <c r="E48" s="35" t="e" vm="138">
        <f t="array" ref="E48">_FV(A48,"Low")</f>
        <v>#VALUE!</v>
      </c>
      <c r="F48" s="35" t="e" vm="139">
        <f t="array" ref="F48">_FV(A48,"High")</f>
        <v>#VALUE!</v>
      </c>
      <c r="G48" s="35" t="e" vm="140">
        <f t="array" ref="G48">_FV(A48,"52 week low",TRUE)</f>
        <v>#VALUE!</v>
      </c>
      <c r="H48" s="36" t="e" vm="141">
        <f t="array" ref="H48">_FV(A48,"52 week high",TRUE)</f>
        <v>#VALUE!</v>
      </c>
      <c r="I48" s="40" t="e" vm="135">
        <f t="shared" si="4"/>
        <v>#VALUE!</v>
      </c>
      <c r="J48" s="39" t="e" vm="135">
        <f t="shared" si="5"/>
        <v>#VALUE!</v>
      </c>
      <c r="K48" s="54" t="e" vm="135">
        <f t="shared" si="6"/>
        <v>#VALUE!</v>
      </c>
      <c r="L48" s="20" t="e" vm="143">
        <f t="array" ref="L48">_FV(A48,"Market cap",TRUE)/10000000</f>
        <v>#VALUE!</v>
      </c>
      <c r="M48" s="21" t="e" vm="135">
        <f t="shared" si="7"/>
        <v>#VALUE!</v>
      </c>
      <c r="N48" t="s">
        <v>45</v>
      </c>
      <c r="O48" s="46" t="e" vm="48">
        <f t="array" ref="O48">_FV(A48,"Industry")</f>
        <v>#VALUE!</v>
      </c>
    </row>
    <row r="49" spans="1:15">
      <c r="A49" t="e">
        <v>#VALUE!</v>
      </c>
      <c r="B49" s="33" t="e" vm="142">
        <f t="array" ref="B49">_FV(A49,"Change (%)",TRUE)</f>
        <v>#VALUE!</v>
      </c>
      <c r="C49" s="35" t="e" vm="136">
        <f t="array" ref="C49">_FV(A49,"Previous close",TRUE)</f>
        <v>#VALUE!</v>
      </c>
      <c r="D49" s="35" t="e" vm="137">
        <f t="array" ref="D49">_FV(A49,"Price")</f>
        <v>#VALUE!</v>
      </c>
      <c r="E49" s="35" t="e" vm="138">
        <f t="array" ref="E49">_FV(A49,"Low")</f>
        <v>#VALUE!</v>
      </c>
      <c r="F49" s="35" t="e" vm="139">
        <f t="array" ref="F49">_FV(A49,"High")</f>
        <v>#VALUE!</v>
      </c>
      <c r="G49" s="35" t="e" vm="140">
        <f t="array" ref="G49">_FV(A49,"52 week low",TRUE)</f>
        <v>#VALUE!</v>
      </c>
      <c r="H49" s="36" t="e" vm="141">
        <f t="array" ref="H49">_FV(A49,"52 week high",TRUE)</f>
        <v>#VALUE!</v>
      </c>
      <c r="I49" s="40" t="e" vm="135">
        <f t="shared" si="4"/>
        <v>#VALUE!</v>
      </c>
      <c r="J49" s="39" t="e" vm="135">
        <f t="shared" si="5"/>
        <v>#VALUE!</v>
      </c>
      <c r="K49" s="54" t="e" vm="135">
        <f t="shared" si="6"/>
        <v>#VALUE!</v>
      </c>
      <c r="L49" s="20" t="e" vm="143">
        <f t="array" ref="L49">_FV(A49,"Market cap",TRUE)/10000000</f>
        <v>#VALUE!</v>
      </c>
      <c r="M49" s="21" t="e" vm="135">
        <f t="shared" si="7"/>
        <v>#VALUE!</v>
      </c>
      <c r="N49" t="s">
        <v>44</v>
      </c>
      <c r="O49" s="46" t="e" vm="48">
        <f t="array" ref="O49">_FV(A49,"Industry")</f>
        <v>#VALUE!</v>
      </c>
    </row>
    <row r="50" spans="1:15">
      <c r="A50" t="e">
        <v>#VALUE!</v>
      </c>
      <c r="B50" s="33" t="e" vm="142">
        <f t="array" ref="B50">_FV(A50,"Change (%)",TRUE)</f>
        <v>#VALUE!</v>
      </c>
      <c r="C50" s="35" t="e" vm="136">
        <f t="array" ref="C50">_FV(A50,"Previous close",TRUE)</f>
        <v>#VALUE!</v>
      </c>
      <c r="D50" s="35" t="e" vm="137">
        <f t="array" ref="D50">_FV(A50,"Price")</f>
        <v>#VALUE!</v>
      </c>
      <c r="E50" s="35" t="e" vm="138">
        <f t="array" ref="E50">_FV(A50,"Low")</f>
        <v>#VALUE!</v>
      </c>
      <c r="F50" s="35" t="e" vm="139">
        <f t="array" ref="F50">_FV(A50,"High")</f>
        <v>#VALUE!</v>
      </c>
      <c r="G50" s="35" t="e" vm="140">
        <f t="array" ref="G50">_FV(A50,"52 week low",TRUE)</f>
        <v>#VALUE!</v>
      </c>
      <c r="H50" s="36" t="e" vm="141">
        <f t="array" ref="H50">_FV(A50,"52 week high",TRUE)</f>
        <v>#VALUE!</v>
      </c>
      <c r="I50" s="40" t="e" vm="135">
        <f t="shared" si="4"/>
        <v>#VALUE!</v>
      </c>
      <c r="J50" s="39" t="e" vm="135">
        <f t="shared" si="5"/>
        <v>#VALUE!</v>
      </c>
      <c r="K50" s="54" t="e" vm="135">
        <f t="shared" si="6"/>
        <v>#VALUE!</v>
      </c>
      <c r="L50" s="20" t="e" vm="143">
        <f t="array" ref="L50">_FV(A50,"Market cap",TRUE)/10000000</f>
        <v>#VALUE!</v>
      </c>
      <c r="M50" s="21" t="e" vm="135">
        <f t="shared" si="7"/>
        <v>#VALUE!</v>
      </c>
      <c r="N50" t="s">
        <v>53</v>
      </c>
      <c r="O50" s="46" t="e" vm="48">
        <f t="array" ref="O50">_FV(A50,"Industry")</f>
        <v>#VALUE!</v>
      </c>
    </row>
    <row r="51" spans="1:15">
      <c r="A51" t="e">
        <v>#VALUE!</v>
      </c>
      <c r="B51" s="33" t="e" vm="142">
        <f t="array" ref="B51">_FV(A51,"Change (%)",TRUE)</f>
        <v>#VALUE!</v>
      </c>
      <c r="C51" s="35" t="e" vm="136">
        <f t="array" ref="C51">_FV(A51,"Previous close",TRUE)</f>
        <v>#VALUE!</v>
      </c>
      <c r="D51" s="35" t="e" vm="137">
        <f t="array" ref="D51">_FV(A51,"Price")</f>
        <v>#VALUE!</v>
      </c>
      <c r="E51" s="35" t="e" vm="138">
        <f t="array" ref="E51">_FV(A51,"Low")</f>
        <v>#VALUE!</v>
      </c>
      <c r="F51" s="35" t="e" vm="139">
        <f t="array" ref="F51">_FV(A51,"High")</f>
        <v>#VALUE!</v>
      </c>
      <c r="G51" s="35" t="e" vm="140">
        <f t="array" ref="G51">_FV(A51,"52 week low",TRUE)</f>
        <v>#VALUE!</v>
      </c>
      <c r="H51" s="36" t="e" vm="141">
        <f t="array" ref="H51">_FV(A51,"52 week high",TRUE)</f>
        <v>#VALUE!</v>
      </c>
      <c r="I51" s="40" t="e" vm="135">
        <f t="shared" si="4"/>
        <v>#VALUE!</v>
      </c>
      <c r="J51" s="39" t="e" vm="135">
        <f t="shared" si="5"/>
        <v>#VALUE!</v>
      </c>
      <c r="K51" s="54" t="e" vm="135">
        <f t="shared" si="6"/>
        <v>#VALUE!</v>
      </c>
      <c r="L51" s="20" t="e" vm="143">
        <f t="array" ref="L51">_FV(A51,"Market cap",TRUE)/10000000</f>
        <v>#VALUE!</v>
      </c>
      <c r="M51" s="21" t="e" vm="135">
        <f t="shared" si="7"/>
        <v>#VALUE!</v>
      </c>
      <c r="N51" t="s">
        <v>50</v>
      </c>
      <c r="O51" s="46" t="e" vm="48">
        <f t="array" ref="O51">_FV(A51,"Industry")</f>
        <v>#VALUE!</v>
      </c>
    </row>
    <row r="52" spans="1:15">
      <c r="A52" t="e">
        <v>#VALUE!</v>
      </c>
      <c r="B52" s="33" t="e" vm="142">
        <f t="array" ref="B52">_FV(A52,"Change (%)",TRUE)</f>
        <v>#VALUE!</v>
      </c>
      <c r="C52" s="35" t="e" vm="136">
        <f t="array" ref="C52">_FV(A52,"Previous close",TRUE)</f>
        <v>#VALUE!</v>
      </c>
      <c r="D52" s="35" t="e" vm="137">
        <f t="array" ref="D52">_FV(A52,"Price")</f>
        <v>#VALUE!</v>
      </c>
      <c r="E52" s="35" t="e" vm="138">
        <f t="array" ref="E52">_FV(A52,"Low")</f>
        <v>#VALUE!</v>
      </c>
      <c r="F52" s="35" t="e" vm="139">
        <f t="array" ref="F52">_FV(A52,"High")</f>
        <v>#VALUE!</v>
      </c>
      <c r="G52" s="35" t="e" vm="140">
        <f t="array" ref="G52">_FV(A52,"52 week low",TRUE)</f>
        <v>#VALUE!</v>
      </c>
      <c r="H52" s="36" t="e" vm="141">
        <f t="array" ref="H52">_FV(A52,"52 week high",TRUE)</f>
        <v>#VALUE!</v>
      </c>
      <c r="I52" s="40" t="e" vm="135">
        <f t="shared" si="4"/>
        <v>#VALUE!</v>
      </c>
      <c r="J52" s="39" t="e" vm="135">
        <f t="shared" si="5"/>
        <v>#VALUE!</v>
      </c>
      <c r="K52" s="54" t="e" vm="135">
        <f t="shared" si="6"/>
        <v>#VALUE!</v>
      </c>
      <c r="L52" s="20" t="e" vm="143">
        <f t="array" ref="L52">_FV(A52,"Market cap",TRUE)/10000000</f>
        <v>#VALUE!</v>
      </c>
      <c r="M52" s="21" t="e" vm="135">
        <f t="shared" si="7"/>
        <v>#VALUE!</v>
      </c>
      <c r="N52" t="s">
        <v>41</v>
      </c>
      <c r="O52" s="46" t="e" vm="48">
        <f t="array" ref="O52">_FV(A52,"Industry")</f>
        <v>#VALUE!</v>
      </c>
    </row>
    <row r="53" spans="1:15">
      <c r="A53" t="e">
        <v>#VALUE!</v>
      </c>
      <c r="B53" s="33" t="e" vm="142">
        <f t="array" ref="B53">_FV(A53,"Change (%)",TRUE)</f>
        <v>#VALUE!</v>
      </c>
      <c r="C53" s="35" t="e" vm="136">
        <f t="array" ref="C53">_FV(A53,"Previous close",TRUE)</f>
        <v>#VALUE!</v>
      </c>
      <c r="D53" s="35" t="e" vm="137">
        <f t="array" ref="D53">_FV(A53,"Price")</f>
        <v>#VALUE!</v>
      </c>
      <c r="E53" s="35" t="e" vm="138">
        <f t="array" ref="E53">_FV(A53,"Low")</f>
        <v>#VALUE!</v>
      </c>
      <c r="F53" s="35" t="e" vm="139">
        <f t="array" ref="F53">_FV(A53,"High")</f>
        <v>#VALUE!</v>
      </c>
      <c r="G53" s="35" t="e" vm="140">
        <f t="array" ref="G53">_FV(A53,"52 week low",TRUE)</f>
        <v>#VALUE!</v>
      </c>
      <c r="H53" s="36" t="e" vm="141">
        <f t="array" ref="H53">_FV(A53,"52 week high",TRUE)</f>
        <v>#VALUE!</v>
      </c>
      <c r="I53" s="40" t="e" vm="135">
        <f t="shared" si="4"/>
        <v>#VALUE!</v>
      </c>
      <c r="J53" s="39" t="e" vm="135">
        <f t="shared" si="5"/>
        <v>#VALUE!</v>
      </c>
      <c r="K53" s="54" t="e" vm="135">
        <f t="shared" si="6"/>
        <v>#VALUE!</v>
      </c>
      <c r="L53" s="20" t="e" vm="143">
        <f t="array" ref="L53">_FV(A53,"Market cap",TRUE)/10000000</f>
        <v>#VALUE!</v>
      </c>
      <c r="M53" s="21" t="e" vm="135">
        <f t="shared" si="7"/>
        <v>#VALUE!</v>
      </c>
      <c r="N53" t="s">
        <v>50</v>
      </c>
      <c r="O53" s="46" t="e" vm="48">
        <f t="array" ref="O53">_FV(A53,"Industry")</f>
        <v>#VALUE!</v>
      </c>
    </row>
    <row r="54" spans="1:15">
      <c r="A54" t="e">
        <v>#VALUE!</v>
      </c>
      <c r="B54" s="33" t="e" vm="142">
        <f t="array" ref="B54">_FV(A54,"Change (%)",TRUE)</f>
        <v>#VALUE!</v>
      </c>
      <c r="C54" s="35" t="e" vm="136">
        <f t="array" ref="C54">_FV(A54,"Previous close",TRUE)</f>
        <v>#VALUE!</v>
      </c>
      <c r="D54" s="35" t="e" vm="137">
        <f t="array" ref="D54">_FV(A54,"Price")</f>
        <v>#VALUE!</v>
      </c>
      <c r="E54" s="35" t="e" vm="138">
        <f t="array" ref="E54">_FV(A54,"Low")</f>
        <v>#VALUE!</v>
      </c>
      <c r="F54" s="35" t="e" vm="139">
        <f t="array" ref="F54">_FV(A54,"High")</f>
        <v>#VALUE!</v>
      </c>
      <c r="G54" s="35" t="e" vm="140">
        <f t="array" ref="G54">_FV(A54,"52 week low",TRUE)</f>
        <v>#VALUE!</v>
      </c>
      <c r="H54" s="36" t="e" vm="141">
        <f t="array" ref="H54">_FV(A54,"52 week high",TRUE)</f>
        <v>#VALUE!</v>
      </c>
      <c r="I54" s="40" t="e" vm="135">
        <f t="shared" si="4"/>
        <v>#VALUE!</v>
      </c>
      <c r="J54" s="39" t="e" vm="135">
        <f t="shared" si="5"/>
        <v>#VALUE!</v>
      </c>
      <c r="K54" s="54" t="e" vm="135">
        <f t="shared" si="6"/>
        <v>#VALUE!</v>
      </c>
      <c r="L54" s="20" t="e" vm="143">
        <f t="array" ref="L54">_FV(A54,"Market cap",TRUE)/10000000</f>
        <v>#VALUE!</v>
      </c>
      <c r="M54" s="21" t="e" vm="135">
        <f t="shared" si="7"/>
        <v>#VALUE!</v>
      </c>
      <c r="N54" t="s">
        <v>50</v>
      </c>
      <c r="O54" s="46" t="e" vm="48">
        <f t="array" ref="O54">_FV(A54,"Industry")</f>
        <v>#VALUE!</v>
      </c>
    </row>
    <row r="55" spans="1:15">
      <c r="A55" t="e">
        <v>#VALUE!</v>
      </c>
      <c r="B55" s="33" t="e" vm="142">
        <f t="array" ref="B55">_FV(A55,"Change (%)",TRUE)</f>
        <v>#VALUE!</v>
      </c>
      <c r="C55" s="35" t="e" vm="136">
        <f t="array" ref="C55">_FV(A55,"Previous close",TRUE)</f>
        <v>#VALUE!</v>
      </c>
      <c r="D55" s="35" t="e" vm="137">
        <f t="array" ref="D55">_FV(A55,"Price")</f>
        <v>#VALUE!</v>
      </c>
      <c r="E55" s="35" t="e" vm="138">
        <f t="array" ref="E55">_FV(A55,"Low")</f>
        <v>#VALUE!</v>
      </c>
      <c r="F55" s="35" t="e" vm="139">
        <f t="array" ref="F55">_FV(A55,"High")</f>
        <v>#VALUE!</v>
      </c>
      <c r="G55" s="35" t="e" vm="140">
        <f t="array" ref="G55">_FV(A55,"52 week low",TRUE)</f>
        <v>#VALUE!</v>
      </c>
      <c r="H55" s="36" t="e" vm="141">
        <f t="array" ref="H55">_FV(A55,"52 week high",TRUE)</f>
        <v>#VALUE!</v>
      </c>
      <c r="I55" s="40" t="e" vm="135">
        <f t="shared" si="4"/>
        <v>#VALUE!</v>
      </c>
      <c r="J55" s="39" t="e" vm="135">
        <f t="shared" si="5"/>
        <v>#VALUE!</v>
      </c>
      <c r="K55" s="54" t="e" vm="135">
        <f t="shared" si="6"/>
        <v>#VALUE!</v>
      </c>
      <c r="L55" s="20" t="e" vm="143">
        <f t="array" ref="L55">_FV(A55,"Market cap",TRUE)/10000000</f>
        <v>#VALUE!</v>
      </c>
      <c r="M55" s="21" t="e" vm="135">
        <f t="shared" si="7"/>
        <v>#VALUE!</v>
      </c>
      <c r="N55" t="s">
        <v>40</v>
      </c>
      <c r="O55" s="46" t="e" vm="48">
        <f t="array" ref="O55">_FV(A55,"Industry")</f>
        <v>#VALUE!</v>
      </c>
    </row>
    <row r="56" spans="1:15">
      <c r="A56" t="e">
        <v>#VALUE!</v>
      </c>
      <c r="B56" s="33" t="e" vm="142">
        <f t="array" ref="B56">_FV(A56,"Change (%)",TRUE)</f>
        <v>#VALUE!</v>
      </c>
      <c r="C56" s="35" t="e" vm="136">
        <f t="array" ref="C56">_FV(A56,"Previous close",TRUE)</f>
        <v>#VALUE!</v>
      </c>
      <c r="D56" s="35" t="e" vm="137">
        <f t="array" ref="D56">_FV(A56,"Price")</f>
        <v>#VALUE!</v>
      </c>
      <c r="E56" s="35" t="e" vm="138">
        <f t="array" ref="E56">_FV(A56,"Low")</f>
        <v>#VALUE!</v>
      </c>
      <c r="F56" s="35" t="e" vm="139">
        <f t="array" ref="F56">_FV(A56,"High")</f>
        <v>#VALUE!</v>
      </c>
      <c r="G56" s="35" t="e" vm="140">
        <f t="array" ref="G56">_FV(A56,"52 week low",TRUE)</f>
        <v>#VALUE!</v>
      </c>
      <c r="H56" s="36" t="e" vm="141">
        <f t="array" ref="H56">_FV(A56,"52 week high",TRUE)</f>
        <v>#VALUE!</v>
      </c>
      <c r="I56" s="40" t="e" vm="135">
        <f t="shared" si="4"/>
        <v>#VALUE!</v>
      </c>
      <c r="J56" s="39" t="e" vm="135">
        <f t="shared" si="5"/>
        <v>#VALUE!</v>
      </c>
      <c r="K56" s="54" t="e" vm="135">
        <f t="shared" si="6"/>
        <v>#VALUE!</v>
      </c>
      <c r="L56" s="20" t="e" vm="143">
        <f t="array" ref="L56">_FV(A56,"Market cap",TRUE)/10000000</f>
        <v>#VALUE!</v>
      </c>
      <c r="M56" s="21" t="e" vm="135">
        <f t="shared" si="7"/>
        <v>#VALUE!</v>
      </c>
      <c r="N56" t="s">
        <v>48</v>
      </c>
      <c r="O56" s="46" t="e" vm="48">
        <f t="array" ref="O56">_FV(A56,"Industry")</f>
        <v>#VALUE!</v>
      </c>
    </row>
    <row r="57" spans="1:15">
      <c r="A57" t="e">
        <v>#VALUE!</v>
      </c>
      <c r="B57" s="33" t="e" vm="142">
        <f t="array" ref="B57">_FV(A57,"Change (%)",TRUE)</f>
        <v>#VALUE!</v>
      </c>
      <c r="C57" s="35" t="e" vm="136">
        <f t="array" ref="C57">_FV(A57,"Previous close",TRUE)</f>
        <v>#VALUE!</v>
      </c>
      <c r="D57" s="35" t="e" vm="137">
        <f t="array" ref="D57">_FV(A57,"Price")</f>
        <v>#VALUE!</v>
      </c>
      <c r="E57" s="35" t="e" vm="138">
        <f t="array" ref="E57">_FV(A57,"Low")</f>
        <v>#VALUE!</v>
      </c>
      <c r="F57" s="35" t="e" vm="139">
        <f t="array" ref="F57">_FV(A57,"High")</f>
        <v>#VALUE!</v>
      </c>
      <c r="G57" s="35" t="e" vm="140">
        <f t="array" ref="G57">_FV(A57,"52 week low",TRUE)</f>
        <v>#VALUE!</v>
      </c>
      <c r="H57" s="36" t="e" vm="141">
        <f t="array" ref="H57">_FV(A57,"52 week high",TRUE)</f>
        <v>#VALUE!</v>
      </c>
      <c r="I57" s="40" t="e" vm="135">
        <f t="shared" si="4"/>
        <v>#VALUE!</v>
      </c>
      <c r="J57" s="39" t="e" vm="135">
        <f t="shared" si="5"/>
        <v>#VALUE!</v>
      </c>
      <c r="K57" s="54" t="e" vm="135">
        <f t="shared" si="6"/>
        <v>#VALUE!</v>
      </c>
      <c r="L57" s="20" t="e" vm="143">
        <f t="array" ref="L57">_FV(A57,"Market cap",TRUE)/10000000</f>
        <v>#VALUE!</v>
      </c>
      <c r="M57" s="21" t="e" vm="135">
        <f t="shared" si="7"/>
        <v>#VALUE!</v>
      </c>
      <c r="N57" t="s">
        <v>44</v>
      </c>
      <c r="O57" s="46" t="e" vm="48">
        <f t="array" ref="O57">_FV(A57,"Industry")</f>
        <v>#VALUE!</v>
      </c>
    </row>
    <row r="58" spans="1:15">
      <c r="A58" t="e">
        <v>#VALUE!</v>
      </c>
      <c r="B58" s="33" t="e" vm="142">
        <f t="array" ref="B58">_FV(A58,"Change (%)",TRUE)</f>
        <v>#VALUE!</v>
      </c>
      <c r="C58" s="35" t="e" vm="136">
        <f t="array" ref="C58">_FV(A58,"Previous close",TRUE)</f>
        <v>#VALUE!</v>
      </c>
      <c r="D58" s="35" t="e" vm="137">
        <f t="array" ref="D58">_FV(A58,"Price")</f>
        <v>#VALUE!</v>
      </c>
      <c r="E58" s="35" t="e" vm="138">
        <f t="array" ref="E58">_FV(A58,"Low")</f>
        <v>#VALUE!</v>
      </c>
      <c r="F58" s="35" t="e" vm="139">
        <f t="array" ref="F58">_FV(A58,"High")</f>
        <v>#VALUE!</v>
      </c>
      <c r="G58" s="35" t="e" vm="140">
        <f t="array" ref="G58">_FV(A58,"52 week low",TRUE)</f>
        <v>#VALUE!</v>
      </c>
      <c r="H58" s="36" t="e" vm="141">
        <f t="array" ref="H58">_FV(A58,"52 week high",TRUE)</f>
        <v>#VALUE!</v>
      </c>
      <c r="I58" s="40" t="e" vm="135">
        <f t="shared" si="4"/>
        <v>#VALUE!</v>
      </c>
      <c r="J58" s="39" t="e" vm="135">
        <f t="shared" si="5"/>
        <v>#VALUE!</v>
      </c>
      <c r="K58" s="54" t="e" vm="135">
        <f t="shared" si="6"/>
        <v>#VALUE!</v>
      </c>
      <c r="L58" s="20" t="e" vm="143">
        <f t="array" ref="L58">_FV(A58,"Market cap",TRUE)/10000000</f>
        <v>#VALUE!</v>
      </c>
      <c r="M58" s="21" t="e" vm="135">
        <f t="shared" si="7"/>
        <v>#VALUE!</v>
      </c>
      <c r="N58" t="s">
        <v>41</v>
      </c>
      <c r="O58" s="46" t="e" vm="48">
        <f t="array" ref="O58">_FV(A58,"Industry")</f>
        <v>#VALUE!</v>
      </c>
    </row>
    <row r="59" spans="1:15">
      <c r="A59" t="e">
        <v>#VALUE!</v>
      </c>
      <c r="B59" s="33" t="e" vm="142">
        <f t="array" ref="B59">_FV(A59,"Change (%)",TRUE)</f>
        <v>#VALUE!</v>
      </c>
      <c r="C59" s="35" t="e" vm="136">
        <f t="array" ref="C59">_FV(A59,"Previous close",TRUE)</f>
        <v>#VALUE!</v>
      </c>
      <c r="D59" s="35" t="e" vm="137">
        <f t="array" ref="D59">_FV(A59,"Price")</f>
        <v>#VALUE!</v>
      </c>
      <c r="E59" s="35" t="e" vm="138">
        <f t="array" ref="E59">_FV(A59,"Low")</f>
        <v>#VALUE!</v>
      </c>
      <c r="F59" s="35" t="e" vm="139">
        <f t="array" ref="F59">_FV(A59,"High")</f>
        <v>#VALUE!</v>
      </c>
      <c r="G59" s="35" t="e" vm="140">
        <f t="array" ref="G59">_FV(A59,"52 week low",TRUE)</f>
        <v>#VALUE!</v>
      </c>
      <c r="H59" s="36" t="e" vm="141">
        <f t="array" ref="H59">_FV(A59,"52 week high",TRUE)</f>
        <v>#VALUE!</v>
      </c>
      <c r="I59" s="40" t="e" vm="135">
        <f t="shared" si="4"/>
        <v>#VALUE!</v>
      </c>
      <c r="J59" s="39" t="e" vm="135">
        <f t="shared" si="5"/>
        <v>#VALUE!</v>
      </c>
      <c r="K59" s="54" t="e" vm="135">
        <f t="shared" si="6"/>
        <v>#VALUE!</v>
      </c>
      <c r="L59" s="20" t="e" vm="143">
        <f t="array" ref="L59">_FV(A59,"Market cap",TRUE)/10000000</f>
        <v>#VALUE!</v>
      </c>
      <c r="M59" s="21" t="e" vm="135">
        <f t="shared" si="7"/>
        <v>#VALUE!</v>
      </c>
      <c r="N59" t="s">
        <v>49</v>
      </c>
      <c r="O59" s="45" t="e" vm="48">
        <f t="array" ref="O59">_FV(A59,"Industry")</f>
        <v>#VALUE!</v>
      </c>
    </row>
    <row r="60" spans="1:15">
      <c r="A60" t="e">
        <v>#VALUE!</v>
      </c>
      <c r="B60" s="33" t="e" vm="142">
        <f t="array" ref="B60">_FV(A60,"Change (%)",TRUE)</f>
        <v>#VALUE!</v>
      </c>
      <c r="C60" s="35" t="e" vm="136">
        <f t="array" ref="C60">_FV(A60,"Previous close",TRUE)</f>
        <v>#VALUE!</v>
      </c>
      <c r="D60" s="35" t="e" vm="137">
        <f t="array" ref="D60">_FV(A60,"Price")</f>
        <v>#VALUE!</v>
      </c>
      <c r="E60" s="35" t="e" vm="138">
        <f t="array" ref="E60">_FV(A60,"Low")</f>
        <v>#VALUE!</v>
      </c>
      <c r="F60" s="35" t="e" vm="139">
        <f t="array" ref="F60">_FV(A60,"High")</f>
        <v>#VALUE!</v>
      </c>
      <c r="G60" s="35" t="e" vm="140">
        <f t="array" ref="G60">_FV(A60,"52 week low",TRUE)</f>
        <v>#VALUE!</v>
      </c>
      <c r="H60" s="36" t="e" vm="141">
        <f t="array" ref="H60">_FV(A60,"52 week high",TRUE)</f>
        <v>#VALUE!</v>
      </c>
      <c r="I60" s="40" t="e" vm="135">
        <f t="shared" si="4"/>
        <v>#VALUE!</v>
      </c>
      <c r="J60" s="39" t="e" vm="135">
        <f t="shared" si="5"/>
        <v>#VALUE!</v>
      </c>
      <c r="K60" s="54" t="e" vm="135">
        <f t="shared" si="6"/>
        <v>#VALUE!</v>
      </c>
      <c r="L60" s="20" t="e" vm="143">
        <f t="array" ref="L60">_FV(A60,"Market cap",TRUE)/10000000</f>
        <v>#VALUE!</v>
      </c>
      <c r="M60" s="21" t="e" vm="135">
        <f t="shared" si="7"/>
        <v>#VALUE!</v>
      </c>
      <c r="N60" t="s">
        <v>44</v>
      </c>
      <c r="O60" s="46" t="e" vm="48">
        <f t="array" ref="O60">_FV(A60,"Industry")</f>
        <v>#VALUE!</v>
      </c>
    </row>
    <row r="61" spans="1:15">
      <c r="A61" t="e">
        <v>#VALUE!</v>
      </c>
      <c r="B61" s="33" t="e" vm="142">
        <f t="array" ref="B61">_FV(A61,"Change (%)",TRUE)</f>
        <v>#VALUE!</v>
      </c>
      <c r="C61" s="35" t="e" vm="136">
        <f t="array" ref="C61">_FV(A61,"Previous close",TRUE)</f>
        <v>#VALUE!</v>
      </c>
      <c r="D61" s="35" t="e" vm="137">
        <f t="array" ref="D61">_FV(A61,"Price")</f>
        <v>#VALUE!</v>
      </c>
      <c r="E61" s="35" t="e" vm="138">
        <f t="array" ref="E61">_FV(A61,"Low")</f>
        <v>#VALUE!</v>
      </c>
      <c r="F61" s="35" t="e" vm="139">
        <f t="array" ref="F61">_FV(A61,"High")</f>
        <v>#VALUE!</v>
      </c>
      <c r="G61" s="35" t="e" vm="140">
        <f t="array" ref="G61">_FV(A61,"52 week low",TRUE)</f>
        <v>#VALUE!</v>
      </c>
      <c r="H61" s="36" t="e" vm="141">
        <f t="array" ref="H61">_FV(A61,"52 week high",TRUE)</f>
        <v>#VALUE!</v>
      </c>
      <c r="I61" s="40" t="e" vm="135">
        <f t="shared" si="4"/>
        <v>#VALUE!</v>
      </c>
      <c r="J61" s="39" t="e" vm="135">
        <f t="shared" si="5"/>
        <v>#VALUE!</v>
      </c>
      <c r="K61" s="54" t="e" vm="135">
        <f t="shared" si="6"/>
        <v>#VALUE!</v>
      </c>
      <c r="L61" s="20" t="e" vm="143">
        <f t="array" ref="L61">_FV(A61,"Market cap",TRUE)/10000000</f>
        <v>#VALUE!</v>
      </c>
      <c r="M61" s="21" t="e" vm="135">
        <f t="shared" si="7"/>
        <v>#VALUE!</v>
      </c>
      <c r="N61" t="s">
        <v>38</v>
      </c>
      <c r="O61" s="45" t="e" vm="48">
        <f t="array" ref="O61">_FV(A61,"Industry")</f>
        <v>#VALUE!</v>
      </c>
    </row>
    <row r="62" spans="1:15">
      <c r="A62" t="e">
        <v>#VALUE!</v>
      </c>
      <c r="B62" s="33" t="e" vm="142">
        <f t="array" ref="B62">_FV(A62,"Change (%)",TRUE)</f>
        <v>#VALUE!</v>
      </c>
      <c r="C62" s="35" t="e" vm="136">
        <f t="array" ref="C62">_FV(A62,"Previous close",TRUE)</f>
        <v>#VALUE!</v>
      </c>
      <c r="D62" s="35" t="e" vm="137">
        <f t="array" ref="D62">_FV(A62,"Price")</f>
        <v>#VALUE!</v>
      </c>
      <c r="E62" s="35" t="e" vm="138">
        <f t="array" ref="E62">_FV(A62,"Low")</f>
        <v>#VALUE!</v>
      </c>
      <c r="F62" s="35" t="e" vm="139">
        <f t="array" ref="F62">_FV(A62,"High")</f>
        <v>#VALUE!</v>
      </c>
      <c r="G62" s="35" t="e" vm="140">
        <f t="array" ref="G62">_FV(A62,"52 week low",TRUE)</f>
        <v>#VALUE!</v>
      </c>
      <c r="H62" s="36" t="e" vm="141">
        <f t="array" ref="H62">_FV(A62,"52 week high",TRUE)</f>
        <v>#VALUE!</v>
      </c>
      <c r="I62" s="40" t="e" vm="135">
        <f t="shared" si="4"/>
        <v>#VALUE!</v>
      </c>
      <c r="J62" s="39" t="e" vm="135">
        <f t="shared" si="5"/>
        <v>#VALUE!</v>
      </c>
      <c r="K62" s="54" t="e" vm="135">
        <f t="shared" si="6"/>
        <v>#VALUE!</v>
      </c>
      <c r="L62" s="20" t="e" vm="143">
        <f t="array" ref="L62">_FV(A62,"Market cap",TRUE)/10000000</f>
        <v>#VALUE!</v>
      </c>
      <c r="M62" s="21" t="e" vm="135">
        <f t="shared" si="7"/>
        <v>#VALUE!</v>
      </c>
      <c r="N62" t="s">
        <v>39</v>
      </c>
      <c r="O62" s="46" t="e" vm="48">
        <f t="array" ref="O62">_FV(A62,"Industry")</f>
        <v>#VALUE!</v>
      </c>
    </row>
    <row r="63" spans="1:15">
      <c r="A63" t="e">
        <v>#VALUE!</v>
      </c>
      <c r="B63" s="33" t="e" vm="142">
        <f t="array" ref="B63">_FV(A63,"Change (%)",TRUE)</f>
        <v>#VALUE!</v>
      </c>
      <c r="C63" s="35" t="e" vm="136">
        <f t="array" ref="C63">_FV(A63,"Previous close",TRUE)</f>
        <v>#VALUE!</v>
      </c>
      <c r="D63" s="35" t="e" vm="137">
        <f t="array" ref="D63">_FV(A63,"Price")</f>
        <v>#VALUE!</v>
      </c>
      <c r="E63" s="35" t="e" vm="138">
        <f t="array" ref="E63">_FV(A63,"Low")</f>
        <v>#VALUE!</v>
      </c>
      <c r="F63" s="35" t="e" vm="139">
        <f t="array" ref="F63">_FV(A63,"High")</f>
        <v>#VALUE!</v>
      </c>
      <c r="G63" s="35" t="e" vm="140">
        <f t="array" ref="G63">_FV(A63,"52 week low",TRUE)</f>
        <v>#VALUE!</v>
      </c>
      <c r="H63" s="36" t="e" vm="141">
        <f t="array" ref="H63">_FV(A63,"52 week high",TRUE)</f>
        <v>#VALUE!</v>
      </c>
      <c r="I63" s="40" t="e" vm="135">
        <f t="shared" si="4"/>
        <v>#VALUE!</v>
      </c>
      <c r="J63" s="39" t="e" vm="135">
        <f t="shared" si="5"/>
        <v>#VALUE!</v>
      </c>
      <c r="K63" s="54" t="e" vm="135">
        <f t="shared" si="6"/>
        <v>#VALUE!</v>
      </c>
      <c r="L63" s="20" t="e" vm="143">
        <f t="array" ref="L63">_FV(A63,"Market cap",TRUE)/10000000</f>
        <v>#VALUE!</v>
      </c>
      <c r="M63" s="21" t="e" vm="135">
        <f t="shared" si="7"/>
        <v>#VALUE!</v>
      </c>
      <c r="N63" t="s">
        <v>46</v>
      </c>
      <c r="O63" s="46" t="e" vm="48">
        <f t="array" ref="O63">_FV(A63,"Industry")</f>
        <v>#VALUE!</v>
      </c>
    </row>
    <row r="64" spans="1:15">
      <c r="A64" t="e">
        <v>#VALUE!</v>
      </c>
      <c r="B64" s="33" t="e" vm="142">
        <f t="array" ref="B64">_FV(A64,"Change (%)",TRUE)</f>
        <v>#VALUE!</v>
      </c>
      <c r="C64" s="35" t="e" vm="136">
        <f t="array" ref="C64">_FV(A64,"Previous close",TRUE)</f>
        <v>#VALUE!</v>
      </c>
      <c r="D64" s="35" t="e" vm="137">
        <f t="array" ref="D64">_FV(A64,"Price")</f>
        <v>#VALUE!</v>
      </c>
      <c r="E64" s="35" t="e" vm="138">
        <f t="array" ref="E64">_FV(A64,"Low")</f>
        <v>#VALUE!</v>
      </c>
      <c r="F64" s="35" t="e" vm="139">
        <f t="array" ref="F64">_FV(A64,"High")</f>
        <v>#VALUE!</v>
      </c>
      <c r="G64" s="35" t="e" vm="140">
        <f t="array" ref="G64">_FV(A64,"52 week low",TRUE)</f>
        <v>#VALUE!</v>
      </c>
      <c r="H64" s="36" t="e" vm="141">
        <f t="array" ref="H64">_FV(A64,"52 week high",TRUE)</f>
        <v>#VALUE!</v>
      </c>
      <c r="I64" s="40" t="e" vm="135">
        <f t="shared" si="4"/>
        <v>#VALUE!</v>
      </c>
      <c r="J64" s="39" t="e" vm="135">
        <f t="shared" si="5"/>
        <v>#VALUE!</v>
      </c>
      <c r="K64" s="54" t="e" vm="135">
        <f t="shared" si="6"/>
        <v>#VALUE!</v>
      </c>
      <c r="L64" s="20" t="e" vm="143">
        <f t="array" ref="L64">_FV(A64,"Market cap",TRUE)/10000000</f>
        <v>#VALUE!</v>
      </c>
      <c r="M64" s="21" t="e" vm="135">
        <f t="shared" si="7"/>
        <v>#VALUE!</v>
      </c>
      <c r="N64" t="s">
        <v>45</v>
      </c>
      <c r="O64" s="46" t="e" vm="48">
        <f t="array" ref="O64">_FV(A64,"Industry")</f>
        <v>#VALUE!</v>
      </c>
    </row>
    <row r="65" spans="1:15">
      <c r="A65" t="e">
        <v>#VALUE!</v>
      </c>
      <c r="B65" s="33" t="e" vm="142">
        <f t="array" ref="B65">_FV(A65,"Change (%)",TRUE)</f>
        <v>#VALUE!</v>
      </c>
      <c r="C65" s="35" t="e" vm="136">
        <f t="array" ref="C65">_FV(A65,"Previous close",TRUE)</f>
        <v>#VALUE!</v>
      </c>
      <c r="D65" s="35" t="e" vm="137">
        <f t="array" ref="D65">_FV(A65,"Price")</f>
        <v>#VALUE!</v>
      </c>
      <c r="E65" s="35" t="e" vm="138">
        <f t="array" ref="E65">_FV(A65,"Low")</f>
        <v>#VALUE!</v>
      </c>
      <c r="F65" s="35" t="e" vm="139">
        <f t="array" ref="F65">_FV(A65,"High")</f>
        <v>#VALUE!</v>
      </c>
      <c r="G65" s="35" t="e" vm="140">
        <f t="array" ref="G65">_FV(A65,"52 week low",TRUE)</f>
        <v>#VALUE!</v>
      </c>
      <c r="H65" s="36" t="e" vm="141">
        <f t="array" ref="H65">_FV(A65,"52 week high",TRUE)</f>
        <v>#VALUE!</v>
      </c>
      <c r="I65" s="40" t="e" vm="135">
        <f t="shared" si="4"/>
        <v>#VALUE!</v>
      </c>
      <c r="J65" s="39" t="e" vm="135">
        <f t="shared" si="5"/>
        <v>#VALUE!</v>
      </c>
      <c r="K65" s="54" t="e" vm="135">
        <f t="shared" si="6"/>
        <v>#VALUE!</v>
      </c>
      <c r="L65" s="20" t="e" vm="143">
        <f t="array" ref="L65">_FV(A65,"Market cap",TRUE)/10000000</f>
        <v>#VALUE!</v>
      </c>
      <c r="M65" s="21" t="e" vm="135">
        <f t="shared" si="7"/>
        <v>#VALUE!</v>
      </c>
      <c r="N65" t="s">
        <v>39</v>
      </c>
      <c r="O65" s="46" t="e" vm="48">
        <f t="array" ref="O65">_FV(A65,"Industry")</f>
        <v>#VALUE!</v>
      </c>
    </row>
    <row r="66" spans="1:15">
      <c r="A66" t="e">
        <v>#VALUE!</v>
      </c>
      <c r="B66" s="33" t="e" vm="142">
        <f t="array" ref="B66">_FV(A66,"Change (%)",TRUE)</f>
        <v>#VALUE!</v>
      </c>
      <c r="C66" s="35" t="e" vm="136">
        <f t="array" ref="C66">_FV(A66,"Previous close",TRUE)</f>
        <v>#VALUE!</v>
      </c>
      <c r="D66" s="35" t="e" vm="137">
        <f t="array" ref="D66">_FV(A66,"Price")</f>
        <v>#VALUE!</v>
      </c>
      <c r="E66" s="35" t="e" vm="138">
        <f t="array" ref="E66">_FV(A66,"Low")</f>
        <v>#VALUE!</v>
      </c>
      <c r="F66" s="35" t="e" vm="139">
        <f t="array" ref="F66">_FV(A66,"High")</f>
        <v>#VALUE!</v>
      </c>
      <c r="G66" s="35" t="e" vm="140">
        <f t="array" ref="G66">_FV(A66,"52 week low",TRUE)</f>
        <v>#VALUE!</v>
      </c>
      <c r="H66" s="36" t="e" vm="141">
        <f t="array" ref="H66">_FV(A66,"52 week high",TRUE)</f>
        <v>#VALUE!</v>
      </c>
      <c r="I66" s="40" t="e" vm="135">
        <f t="shared" ref="I66:I97" si="8">(H66-D66)*100/H66</f>
        <v>#VALUE!</v>
      </c>
      <c r="J66" s="39" t="e" vm="135">
        <f t="shared" ref="J66:J97" si="9">IF(AND(M66="HLC", I66&gt;12), "SURE HLC BUY",IF(AND(M66="HLC", I66&gt;7), "FIRST HLC BUY",IF(AND(M66="LC", I66&gt;20), "SURE LC BUY",IF(AND(M66="LC", I66&gt;10), "LC BUY",IF(AND(M66="HMC", I66&gt;30), "SURE HMC BUY",IF(AND(M66="HMC", I66&gt;20), "HMC BUY",IF(AND(M66="HMC", I66&gt;15), "FIRST HMC BUY",IF(AND(M66="MC", I66&gt;40), "SURE MC BUY",IF(AND(M66="MC", I66&gt;30), "MC BUY",IF(AND(M66="MC", I66&gt;20), "FIRST MC BUY",IF(AND(M66="HSC", I66&gt;60), "SURE HSC BUY",IF(AND(M66="HSC", I66&gt;50), "HSC BUY",IF(AND(M66="HSC", I66&gt;40), "FIRST HSC BUY",IF(AND(M66="SC", I66&gt;70), "SURE SC BUY",IF(AND(M66="SC", I66&gt;60), "SC BUY",IF(AND(M66="SC", I66&gt;50), "FIRST SC BUY",IF(AND(M66="VSC", I66&gt;80), "SURE VSC BUY",IF(AND(M66="VSC", I66&gt;70), "VSC BUY",IF(AND(M66="VSC", I66&gt;60), "FIRST VSC BUY","WATCH")))))))))))))))))))</f>
        <v>#VALUE!</v>
      </c>
      <c r="K66" s="54" t="e" vm="135">
        <f t="shared" ref="K66:K97" si="10">(G66-D66)*100/G66</f>
        <v>#VALUE!</v>
      </c>
      <c r="L66" s="20" t="e" vm="143">
        <f t="array" ref="L66">_FV(A66,"Market cap",TRUE)/10000000</f>
        <v>#VALUE!</v>
      </c>
      <c r="M66" s="21" t="e" vm="135">
        <f t="shared" ref="M66:M97" si="11">IF(L66&gt;500000,"HLC",IF(L66 &gt;100000,"LC",IF(L66 &gt;40000,"HMC",IF(L66 &gt;10000,"MC",IF(L66 &gt;=5000,"HSC",IF(L66 &gt;1000,"SC","VSC"))))))</f>
        <v>#VALUE!</v>
      </c>
      <c r="N66" t="s">
        <v>50</v>
      </c>
      <c r="O66" s="46" t="e" vm="48">
        <f t="array" ref="O66">_FV(A66,"Industry")</f>
        <v>#VALUE!</v>
      </c>
    </row>
    <row r="67" spans="1:15">
      <c r="A67" t="e">
        <v>#VALUE!</v>
      </c>
      <c r="B67" s="33" t="e" vm="142">
        <f t="array" ref="B67">_FV(A67,"Change (%)",TRUE)</f>
        <v>#VALUE!</v>
      </c>
      <c r="C67" s="35" t="e" vm="136">
        <f t="array" ref="C67">_FV(A67,"Previous close",TRUE)</f>
        <v>#VALUE!</v>
      </c>
      <c r="D67" s="35" t="e" vm="137">
        <f t="array" ref="D67">_FV(A67,"Price")</f>
        <v>#VALUE!</v>
      </c>
      <c r="E67" s="35" t="e" vm="138">
        <f t="array" ref="E67">_FV(A67,"Low")</f>
        <v>#VALUE!</v>
      </c>
      <c r="F67" s="35" t="e" vm="139">
        <f t="array" ref="F67">_FV(A67,"High")</f>
        <v>#VALUE!</v>
      </c>
      <c r="G67" s="35" t="e" vm="140">
        <f t="array" ref="G67">_FV(A67,"52 week low",TRUE)</f>
        <v>#VALUE!</v>
      </c>
      <c r="H67" s="36" t="e" vm="141">
        <f t="array" ref="H67">_FV(A67,"52 week high",TRUE)</f>
        <v>#VALUE!</v>
      </c>
      <c r="I67" s="40" t="e" vm="135">
        <f t="shared" si="8"/>
        <v>#VALUE!</v>
      </c>
      <c r="J67" s="39" t="e" vm="135">
        <f t="shared" si="9"/>
        <v>#VALUE!</v>
      </c>
      <c r="K67" s="54" t="e" vm="135">
        <f t="shared" si="10"/>
        <v>#VALUE!</v>
      </c>
      <c r="L67" s="20" t="e" vm="143">
        <f t="array" ref="L67">_FV(A67,"Market cap",TRUE)/10000000</f>
        <v>#VALUE!</v>
      </c>
      <c r="M67" s="21" t="e" vm="135">
        <f t="shared" si="11"/>
        <v>#VALUE!</v>
      </c>
      <c r="N67" t="s">
        <v>40</v>
      </c>
      <c r="O67" s="46" t="e" vm="48">
        <f t="array" ref="O67">_FV(A67,"Industry")</f>
        <v>#VALUE!</v>
      </c>
    </row>
    <row r="68" spans="1:15">
      <c r="A68" t="e">
        <v>#VALUE!</v>
      </c>
      <c r="B68" s="33" t="e" vm="142">
        <f t="array" ref="B68">_FV(A68,"Change (%)",TRUE)</f>
        <v>#VALUE!</v>
      </c>
      <c r="C68" s="35" t="e" vm="136">
        <f t="array" ref="C68">_FV(A68,"Previous close",TRUE)</f>
        <v>#VALUE!</v>
      </c>
      <c r="D68" s="35" t="e" vm="137">
        <f t="array" ref="D68">_FV(A68,"Price")</f>
        <v>#VALUE!</v>
      </c>
      <c r="E68" s="35" t="e" vm="138">
        <f t="array" ref="E68">_FV(A68,"Low")</f>
        <v>#VALUE!</v>
      </c>
      <c r="F68" s="35" t="e" vm="139">
        <f t="array" ref="F68">_FV(A68,"High")</f>
        <v>#VALUE!</v>
      </c>
      <c r="G68" s="35" t="e" vm="140">
        <f t="array" ref="G68">_FV(A68,"52 week low",TRUE)</f>
        <v>#VALUE!</v>
      </c>
      <c r="H68" s="36" t="e" vm="141">
        <f t="array" ref="H68">_FV(A68,"52 week high",TRUE)</f>
        <v>#VALUE!</v>
      </c>
      <c r="I68" s="40" t="e" vm="135">
        <f t="shared" si="8"/>
        <v>#VALUE!</v>
      </c>
      <c r="J68" s="39" t="e" vm="135">
        <f t="shared" si="9"/>
        <v>#VALUE!</v>
      </c>
      <c r="K68" s="54" t="e" vm="135">
        <f t="shared" si="10"/>
        <v>#VALUE!</v>
      </c>
      <c r="L68" s="20" t="e" vm="143">
        <f t="array" ref="L68">_FV(A68,"Market cap",TRUE)/10000000</f>
        <v>#VALUE!</v>
      </c>
      <c r="M68" s="21" t="e" vm="135">
        <f t="shared" si="11"/>
        <v>#VALUE!</v>
      </c>
      <c r="N68" t="s">
        <v>50</v>
      </c>
      <c r="O68" s="46" t="e" vm="48">
        <f t="array" ref="O68">_FV(A68,"Industry")</f>
        <v>#VALUE!</v>
      </c>
    </row>
    <row r="69" spans="1:15">
      <c r="A69" t="e">
        <v>#VALUE!</v>
      </c>
      <c r="B69" s="33" t="e" vm="142">
        <f t="array" ref="B69">_FV(A69,"Change (%)",TRUE)</f>
        <v>#VALUE!</v>
      </c>
      <c r="C69" s="35" t="e" vm="136">
        <f t="array" ref="C69">_FV(A69,"Previous close",TRUE)</f>
        <v>#VALUE!</v>
      </c>
      <c r="D69" s="35" t="e" vm="137">
        <f t="array" ref="D69">_FV(A69,"Price")</f>
        <v>#VALUE!</v>
      </c>
      <c r="E69" s="35" t="e" vm="138">
        <f t="array" ref="E69">_FV(A69,"Low")</f>
        <v>#VALUE!</v>
      </c>
      <c r="F69" s="35" t="e" vm="139">
        <f t="array" ref="F69">_FV(A69,"High")</f>
        <v>#VALUE!</v>
      </c>
      <c r="G69" s="35" t="e" vm="140">
        <f t="array" ref="G69">_FV(A69,"52 week low",TRUE)</f>
        <v>#VALUE!</v>
      </c>
      <c r="H69" s="36" t="e" vm="141">
        <f t="array" ref="H69">_FV(A69,"52 week high",TRUE)</f>
        <v>#VALUE!</v>
      </c>
      <c r="I69" s="40" t="e" vm="135">
        <f t="shared" si="8"/>
        <v>#VALUE!</v>
      </c>
      <c r="J69" s="39" t="e" vm="135">
        <f t="shared" si="9"/>
        <v>#VALUE!</v>
      </c>
      <c r="K69" s="54" t="e" vm="135">
        <f t="shared" si="10"/>
        <v>#VALUE!</v>
      </c>
      <c r="L69" s="20" t="e" vm="143">
        <f t="array" ref="L69">_FV(A69,"Market cap",TRUE)/10000000</f>
        <v>#VALUE!</v>
      </c>
      <c r="M69" s="21" t="e" vm="135">
        <f t="shared" si="11"/>
        <v>#VALUE!</v>
      </c>
      <c r="N69" t="s">
        <v>40</v>
      </c>
      <c r="O69" s="46" t="e" vm="48">
        <f t="array" ref="O69">_FV(A69,"Industry")</f>
        <v>#VALUE!</v>
      </c>
    </row>
    <row r="70" spans="1:15">
      <c r="A70" t="e">
        <v>#VALUE!</v>
      </c>
      <c r="B70" s="33" t="e" vm="142">
        <f t="array" ref="B70">_FV(A70,"Change (%)",TRUE)</f>
        <v>#VALUE!</v>
      </c>
      <c r="C70" s="35" t="e" vm="136">
        <f t="array" ref="C70">_FV(A70,"Previous close",TRUE)</f>
        <v>#VALUE!</v>
      </c>
      <c r="D70" s="35" t="e" vm="137">
        <f t="array" ref="D70">_FV(A70,"Price")</f>
        <v>#VALUE!</v>
      </c>
      <c r="E70" s="35" t="e" vm="138">
        <f t="array" ref="E70">_FV(A70,"Low")</f>
        <v>#VALUE!</v>
      </c>
      <c r="F70" s="35" t="e" vm="139">
        <f t="array" ref="F70">_FV(A70,"High")</f>
        <v>#VALUE!</v>
      </c>
      <c r="G70" s="35" t="e" vm="140">
        <f t="array" ref="G70">_FV(A70,"52 week low",TRUE)</f>
        <v>#VALUE!</v>
      </c>
      <c r="H70" s="36" t="e" vm="141">
        <f t="array" ref="H70">_FV(A70,"52 week high",TRUE)</f>
        <v>#VALUE!</v>
      </c>
      <c r="I70" s="40" t="e" vm="135">
        <f t="shared" si="8"/>
        <v>#VALUE!</v>
      </c>
      <c r="J70" s="39" t="e" vm="135">
        <f t="shared" si="9"/>
        <v>#VALUE!</v>
      </c>
      <c r="K70" s="54" t="e" vm="135">
        <f t="shared" si="10"/>
        <v>#VALUE!</v>
      </c>
      <c r="L70" s="20" t="e" vm="143">
        <f t="array" ref="L70">_FV(A70,"Market cap",TRUE)/10000000</f>
        <v>#VALUE!</v>
      </c>
      <c r="M70" s="21" t="e" vm="135">
        <f t="shared" si="11"/>
        <v>#VALUE!</v>
      </c>
      <c r="N70" t="s">
        <v>43</v>
      </c>
      <c r="O70" s="46" t="e" vm="48">
        <f t="array" ref="O70">_FV(A70,"Industry")</f>
        <v>#VALUE!</v>
      </c>
    </row>
    <row r="71" spans="1:15">
      <c r="A71" t="e">
        <v>#VALUE!</v>
      </c>
      <c r="B71" s="33" t="e" vm="142">
        <f t="array" ref="B71">_FV(A71,"Change (%)",TRUE)</f>
        <v>#VALUE!</v>
      </c>
      <c r="C71" s="35" t="e" vm="136">
        <f t="array" ref="C71">_FV(A71,"Previous close",TRUE)</f>
        <v>#VALUE!</v>
      </c>
      <c r="D71" s="35" t="e" vm="137">
        <f t="array" ref="D71">_FV(A71,"Price")</f>
        <v>#VALUE!</v>
      </c>
      <c r="E71" s="35" t="e" vm="138">
        <f t="array" ref="E71">_FV(A71,"Low")</f>
        <v>#VALUE!</v>
      </c>
      <c r="F71" s="35" t="e" vm="139">
        <f t="array" ref="F71">_FV(A71,"High")</f>
        <v>#VALUE!</v>
      </c>
      <c r="G71" s="35" t="e" vm="140">
        <f t="array" ref="G71">_FV(A71,"52 week low",TRUE)</f>
        <v>#VALUE!</v>
      </c>
      <c r="H71" s="36" t="e" vm="141">
        <f t="array" ref="H71">_FV(A71,"52 week high",TRUE)</f>
        <v>#VALUE!</v>
      </c>
      <c r="I71" s="40" t="e" vm="135">
        <f t="shared" si="8"/>
        <v>#VALUE!</v>
      </c>
      <c r="J71" s="39" t="e" vm="135">
        <f t="shared" si="9"/>
        <v>#VALUE!</v>
      </c>
      <c r="K71" s="54" t="e" vm="135">
        <f t="shared" si="10"/>
        <v>#VALUE!</v>
      </c>
      <c r="L71" s="20" t="e" vm="143">
        <f t="array" ref="L71">_FV(A71,"Market cap",TRUE)/10000000</f>
        <v>#VALUE!</v>
      </c>
      <c r="M71" s="21" t="e" vm="135">
        <f t="shared" si="11"/>
        <v>#VALUE!</v>
      </c>
      <c r="N71" t="s">
        <v>49</v>
      </c>
      <c r="O71" s="46" t="e" vm="48">
        <f t="array" ref="O71">_FV(A71,"Industry")</f>
        <v>#VALUE!</v>
      </c>
    </row>
    <row r="72" spans="1:15">
      <c r="A72" t="e">
        <v>#VALUE!</v>
      </c>
      <c r="B72" s="33" t="e" vm="142">
        <f t="array" ref="B72">_FV(A72,"Change (%)",TRUE)</f>
        <v>#VALUE!</v>
      </c>
      <c r="C72" s="35" t="e" vm="136">
        <f t="array" ref="C72">_FV(A72,"Previous close",TRUE)</f>
        <v>#VALUE!</v>
      </c>
      <c r="D72" s="35" t="e" vm="137">
        <f t="array" ref="D72">_FV(A72,"Price")</f>
        <v>#VALUE!</v>
      </c>
      <c r="E72" s="35" t="e" vm="138">
        <f t="array" ref="E72">_FV(A72,"Low")</f>
        <v>#VALUE!</v>
      </c>
      <c r="F72" s="35" t="e" vm="139">
        <f t="array" ref="F72">_FV(A72,"High")</f>
        <v>#VALUE!</v>
      </c>
      <c r="G72" s="35" t="e" vm="140">
        <f t="array" ref="G72">_FV(A72,"52 week low",TRUE)</f>
        <v>#VALUE!</v>
      </c>
      <c r="H72" s="36" t="e" vm="141">
        <f t="array" ref="H72">_FV(A72,"52 week high",TRUE)</f>
        <v>#VALUE!</v>
      </c>
      <c r="I72" s="40" t="e" vm="135">
        <f t="shared" si="8"/>
        <v>#VALUE!</v>
      </c>
      <c r="J72" s="39" t="e" vm="135">
        <f t="shared" si="9"/>
        <v>#VALUE!</v>
      </c>
      <c r="K72" s="54" t="e" vm="135">
        <f t="shared" si="10"/>
        <v>#VALUE!</v>
      </c>
      <c r="L72" s="20" t="e" vm="143">
        <f t="array" ref="L72">_FV(A72,"Market cap",TRUE)/10000000</f>
        <v>#VALUE!</v>
      </c>
      <c r="M72" s="21" t="e" vm="135">
        <f t="shared" si="11"/>
        <v>#VALUE!</v>
      </c>
      <c r="N72" t="s">
        <v>46</v>
      </c>
      <c r="O72" s="46" t="e" vm="48">
        <f t="array" ref="O72">_FV(A72,"Industry")</f>
        <v>#VALUE!</v>
      </c>
    </row>
    <row r="73" spans="1:15">
      <c r="A73" t="e">
        <v>#VALUE!</v>
      </c>
      <c r="B73" s="33" t="e" vm="142">
        <f t="array" ref="B73">_FV(A73,"Change (%)",TRUE)</f>
        <v>#VALUE!</v>
      </c>
      <c r="C73" s="35" t="e" vm="136">
        <f t="array" ref="C73">_FV(A73,"Previous close",TRUE)</f>
        <v>#VALUE!</v>
      </c>
      <c r="D73" s="35" t="e" vm="137">
        <f t="array" ref="D73">_FV(A73,"Price")</f>
        <v>#VALUE!</v>
      </c>
      <c r="E73" s="35" t="e" vm="138">
        <f t="array" ref="E73">_FV(A73,"Low")</f>
        <v>#VALUE!</v>
      </c>
      <c r="F73" s="35" t="e" vm="139">
        <f t="array" ref="F73">_FV(A73,"High")</f>
        <v>#VALUE!</v>
      </c>
      <c r="G73" s="35" t="e" vm="140">
        <f t="array" ref="G73">_FV(A73,"52 week low",TRUE)</f>
        <v>#VALUE!</v>
      </c>
      <c r="H73" s="36" t="e" vm="141">
        <f t="array" ref="H73">_FV(A73,"52 week high",TRUE)</f>
        <v>#VALUE!</v>
      </c>
      <c r="I73" s="40" t="e" vm="135">
        <f t="shared" si="8"/>
        <v>#VALUE!</v>
      </c>
      <c r="J73" s="39" t="e" vm="135">
        <f t="shared" si="9"/>
        <v>#VALUE!</v>
      </c>
      <c r="K73" s="54" t="e" vm="135">
        <f t="shared" si="10"/>
        <v>#VALUE!</v>
      </c>
      <c r="L73" s="20" t="e" vm="143">
        <f t="array" ref="L73">_FV(A73,"Market cap",TRUE)/10000000</f>
        <v>#VALUE!</v>
      </c>
      <c r="M73" s="21" t="e" vm="135">
        <f t="shared" si="11"/>
        <v>#VALUE!</v>
      </c>
      <c r="N73" t="s">
        <v>46</v>
      </c>
      <c r="O73" s="46" t="e" vm="48">
        <f t="array" ref="O73">_FV(A73,"Industry")</f>
        <v>#VALUE!</v>
      </c>
    </row>
    <row r="74" spans="1:15">
      <c r="A74" t="e">
        <v>#VALUE!</v>
      </c>
      <c r="B74" s="33" t="e" vm="142">
        <f t="array" ref="B74">_FV(A74,"Change (%)",TRUE)</f>
        <v>#VALUE!</v>
      </c>
      <c r="C74" s="35" t="e" vm="136">
        <f t="array" ref="C74">_FV(A74,"Previous close",TRUE)</f>
        <v>#VALUE!</v>
      </c>
      <c r="D74" s="35" t="e" vm="137">
        <f t="array" ref="D74">_FV(A74,"Price")</f>
        <v>#VALUE!</v>
      </c>
      <c r="E74" s="35" t="e" vm="138">
        <f t="array" ref="E74">_FV(A74,"Low")</f>
        <v>#VALUE!</v>
      </c>
      <c r="F74" s="35" t="e" vm="139">
        <f t="array" ref="F74">_FV(A74,"High")</f>
        <v>#VALUE!</v>
      </c>
      <c r="G74" s="35" t="e" vm="140">
        <f t="array" ref="G74">_FV(A74,"52 week low",TRUE)</f>
        <v>#VALUE!</v>
      </c>
      <c r="H74" s="36" t="e" vm="141">
        <f t="array" ref="H74">_FV(A74,"52 week high",TRUE)</f>
        <v>#VALUE!</v>
      </c>
      <c r="I74" s="40" t="e" vm="135">
        <f t="shared" si="8"/>
        <v>#VALUE!</v>
      </c>
      <c r="J74" s="39" t="e" vm="135">
        <f t="shared" si="9"/>
        <v>#VALUE!</v>
      </c>
      <c r="K74" s="54" t="e" vm="135">
        <f t="shared" si="10"/>
        <v>#VALUE!</v>
      </c>
      <c r="L74" s="20" t="e" vm="143">
        <f t="array" ref="L74">_FV(A74,"Market cap",TRUE)/10000000</f>
        <v>#VALUE!</v>
      </c>
      <c r="M74" s="21" t="e" vm="135">
        <f t="shared" si="11"/>
        <v>#VALUE!</v>
      </c>
      <c r="N74" t="s">
        <v>30</v>
      </c>
      <c r="O74" s="46" t="e" vm="48">
        <f t="array" ref="O74">_FV(A74,"Industry")</f>
        <v>#VALUE!</v>
      </c>
    </row>
    <row r="75" spans="1:15">
      <c r="A75" t="e">
        <v>#VALUE!</v>
      </c>
      <c r="B75" s="33" t="e" vm="142">
        <f t="array" ref="B75">_FV(A75,"Change (%)",TRUE)</f>
        <v>#VALUE!</v>
      </c>
      <c r="C75" s="35" t="e" vm="136">
        <f t="array" ref="C75">_FV(A75,"Previous close",TRUE)</f>
        <v>#VALUE!</v>
      </c>
      <c r="D75" s="35" t="e" vm="137">
        <f t="array" ref="D75">_FV(A75,"Price")</f>
        <v>#VALUE!</v>
      </c>
      <c r="E75" s="35" t="e" vm="138">
        <f t="array" ref="E75">_FV(A75,"Low")</f>
        <v>#VALUE!</v>
      </c>
      <c r="F75" s="35" t="e" vm="139">
        <f t="array" ref="F75">_FV(A75,"High")</f>
        <v>#VALUE!</v>
      </c>
      <c r="G75" s="35" t="e" vm="140">
        <f t="array" ref="G75">_FV(A75,"52 week low",TRUE)</f>
        <v>#VALUE!</v>
      </c>
      <c r="H75" s="36" t="e" vm="141">
        <f t="array" ref="H75">_FV(A75,"52 week high",TRUE)</f>
        <v>#VALUE!</v>
      </c>
      <c r="I75" s="40" t="e" vm="135">
        <f t="shared" si="8"/>
        <v>#VALUE!</v>
      </c>
      <c r="J75" s="39" t="e" vm="135">
        <f t="shared" si="9"/>
        <v>#VALUE!</v>
      </c>
      <c r="K75" s="54" t="e" vm="135">
        <f t="shared" si="10"/>
        <v>#VALUE!</v>
      </c>
      <c r="L75" s="20" t="e" vm="143">
        <f t="array" ref="L75">_FV(A75,"Market cap",TRUE)/10000000</f>
        <v>#VALUE!</v>
      </c>
      <c r="M75" s="21" t="e" vm="135">
        <f t="shared" si="11"/>
        <v>#VALUE!</v>
      </c>
      <c r="N75" t="s">
        <v>30</v>
      </c>
      <c r="O75" s="46" t="e" vm="48">
        <f t="array" ref="O75">_FV(A75,"Industry")</f>
        <v>#VALUE!</v>
      </c>
    </row>
    <row r="76" spans="1:15">
      <c r="A76" t="e">
        <v>#VALUE!</v>
      </c>
      <c r="B76" s="33" t="e" vm="142">
        <f t="array" ref="B76">_FV(A76,"Change (%)",TRUE)</f>
        <v>#VALUE!</v>
      </c>
      <c r="C76" s="35" t="e" vm="136">
        <f t="array" ref="C76">_FV(A76,"Previous close",TRUE)</f>
        <v>#VALUE!</v>
      </c>
      <c r="D76" s="35" t="e" vm="137">
        <f t="array" ref="D76">_FV(A76,"Price")</f>
        <v>#VALUE!</v>
      </c>
      <c r="E76" s="35" t="e" vm="138">
        <f t="array" ref="E76">_FV(A76,"Low")</f>
        <v>#VALUE!</v>
      </c>
      <c r="F76" s="35" t="e" vm="139">
        <f t="array" ref="F76">_FV(A76,"High")</f>
        <v>#VALUE!</v>
      </c>
      <c r="G76" s="35" t="e" vm="140">
        <f t="array" ref="G76">_FV(A76,"52 week low",TRUE)</f>
        <v>#VALUE!</v>
      </c>
      <c r="H76" s="36" t="e" vm="141">
        <f t="array" ref="H76">_FV(A76,"52 week high",TRUE)</f>
        <v>#VALUE!</v>
      </c>
      <c r="I76" s="40" t="e" vm="135">
        <f t="shared" si="8"/>
        <v>#VALUE!</v>
      </c>
      <c r="J76" s="39" t="e" vm="135">
        <f t="shared" si="9"/>
        <v>#VALUE!</v>
      </c>
      <c r="K76" s="54" t="e" vm="135">
        <f t="shared" si="10"/>
        <v>#VALUE!</v>
      </c>
      <c r="L76" s="20" t="e" vm="143">
        <f t="array" ref="L76">_FV(A76,"Market cap",TRUE)/10000000</f>
        <v>#VALUE!</v>
      </c>
      <c r="M76" s="21" t="e" vm="135">
        <f t="shared" si="11"/>
        <v>#VALUE!</v>
      </c>
      <c r="N76" t="s">
        <v>46</v>
      </c>
      <c r="O76" s="45" t="e" vm="48">
        <f t="array" ref="O76">_FV(A76,"Industry")</f>
        <v>#VALUE!</v>
      </c>
    </row>
    <row r="77" spans="1:15">
      <c r="A77" t="e">
        <v>#VALUE!</v>
      </c>
      <c r="B77" s="33" t="e" vm="142">
        <f t="array" ref="B77">_FV(A77,"Change (%)",TRUE)</f>
        <v>#VALUE!</v>
      </c>
      <c r="C77" s="35" t="e" vm="136">
        <f t="array" ref="C77">_FV(A77,"Previous close",TRUE)</f>
        <v>#VALUE!</v>
      </c>
      <c r="D77" s="35" t="e" vm="137">
        <f t="array" ref="D77">_FV(A77,"Price")</f>
        <v>#VALUE!</v>
      </c>
      <c r="E77" s="35" t="e" vm="138">
        <f t="array" ref="E77">_FV(A77,"Low")</f>
        <v>#VALUE!</v>
      </c>
      <c r="F77" s="35" t="e" vm="139">
        <f t="array" ref="F77">_FV(A77,"High")</f>
        <v>#VALUE!</v>
      </c>
      <c r="G77" s="35" t="e" vm="140">
        <f t="array" ref="G77">_FV(A77,"52 week low",TRUE)</f>
        <v>#VALUE!</v>
      </c>
      <c r="H77" s="36" t="e" vm="141">
        <f t="array" ref="H77">_FV(A77,"52 week high",TRUE)</f>
        <v>#VALUE!</v>
      </c>
      <c r="I77" s="40" t="e" vm="135">
        <f t="shared" si="8"/>
        <v>#VALUE!</v>
      </c>
      <c r="J77" s="39" t="e" vm="135">
        <f t="shared" si="9"/>
        <v>#VALUE!</v>
      </c>
      <c r="K77" s="54" t="e" vm="135">
        <f t="shared" si="10"/>
        <v>#VALUE!</v>
      </c>
      <c r="L77" s="20" t="e" vm="143">
        <f t="array" ref="L77">_FV(A77,"Market cap",TRUE)/10000000</f>
        <v>#VALUE!</v>
      </c>
      <c r="M77" s="21" t="e" vm="135">
        <f t="shared" si="11"/>
        <v>#VALUE!</v>
      </c>
      <c r="N77" t="s">
        <v>45</v>
      </c>
      <c r="O77" s="46" t="e" vm="48">
        <f t="array" ref="O77">_FV(A77,"Industry")</f>
        <v>#VALUE!</v>
      </c>
    </row>
    <row r="78" spans="1:15">
      <c r="A78" t="e">
        <v>#VALUE!</v>
      </c>
      <c r="B78" s="33" t="e" vm="142">
        <f t="array" ref="B78">_FV(A78,"Change (%)",TRUE)</f>
        <v>#VALUE!</v>
      </c>
      <c r="C78" s="35" t="e" vm="136">
        <f t="array" ref="C78">_FV(A78,"Previous close",TRUE)</f>
        <v>#VALUE!</v>
      </c>
      <c r="D78" s="35" t="e" vm="137">
        <f t="array" ref="D78">_FV(A78,"Price")</f>
        <v>#VALUE!</v>
      </c>
      <c r="E78" s="35" t="e" vm="138">
        <f t="array" ref="E78">_FV(A78,"Low")</f>
        <v>#VALUE!</v>
      </c>
      <c r="F78" s="35" t="e" vm="139">
        <f t="array" ref="F78">_FV(A78,"High")</f>
        <v>#VALUE!</v>
      </c>
      <c r="G78" s="35" t="e" vm="140">
        <f t="array" ref="G78">_FV(A78,"52 week low",TRUE)</f>
        <v>#VALUE!</v>
      </c>
      <c r="H78" s="36" t="e" vm="141">
        <f t="array" ref="H78">_FV(A78,"52 week high",TRUE)</f>
        <v>#VALUE!</v>
      </c>
      <c r="I78" s="40" t="e" vm="135">
        <f t="shared" si="8"/>
        <v>#VALUE!</v>
      </c>
      <c r="J78" s="39" t="e" vm="135">
        <f t="shared" si="9"/>
        <v>#VALUE!</v>
      </c>
      <c r="K78" s="54" t="e" vm="135">
        <f t="shared" si="10"/>
        <v>#VALUE!</v>
      </c>
      <c r="L78" s="20" t="e" vm="143">
        <f t="array" ref="L78">_FV(A78,"Market cap",TRUE)/10000000</f>
        <v>#VALUE!</v>
      </c>
      <c r="M78" s="21" t="e" vm="135">
        <f t="shared" si="11"/>
        <v>#VALUE!</v>
      </c>
      <c r="N78" t="s">
        <v>30</v>
      </c>
      <c r="O78" s="46" t="e" vm="48">
        <f t="array" ref="O78">_FV(A78,"Industry")</f>
        <v>#VALUE!</v>
      </c>
    </row>
    <row r="79" spans="1:15">
      <c r="A79" t="e">
        <v>#VALUE!</v>
      </c>
      <c r="B79" s="33" t="e" vm="142">
        <f t="array" ref="B79">_FV(A79,"Change (%)",TRUE)</f>
        <v>#VALUE!</v>
      </c>
      <c r="C79" s="35" t="e" vm="136">
        <f t="array" ref="C79">_FV(A79,"Previous close",TRUE)</f>
        <v>#VALUE!</v>
      </c>
      <c r="D79" s="35" t="e" vm="137">
        <f t="array" ref="D79">_FV(A79,"Price")</f>
        <v>#VALUE!</v>
      </c>
      <c r="E79" s="35" t="e" vm="138">
        <f t="array" ref="E79">_FV(A79,"Low")</f>
        <v>#VALUE!</v>
      </c>
      <c r="F79" s="35" t="e" vm="139">
        <f t="array" ref="F79">_FV(A79,"High")</f>
        <v>#VALUE!</v>
      </c>
      <c r="G79" s="35" t="e" vm="140">
        <f t="array" ref="G79">_FV(A79,"52 week low",TRUE)</f>
        <v>#VALUE!</v>
      </c>
      <c r="H79" s="36" t="e" vm="141">
        <f t="array" ref="H79">_FV(A79,"52 week high",TRUE)</f>
        <v>#VALUE!</v>
      </c>
      <c r="I79" s="40" t="e" vm="135">
        <f t="shared" si="8"/>
        <v>#VALUE!</v>
      </c>
      <c r="J79" s="39" t="e" vm="135">
        <f t="shared" si="9"/>
        <v>#VALUE!</v>
      </c>
      <c r="K79" s="54" t="e" vm="135">
        <f t="shared" si="10"/>
        <v>#VALUE!</v>
      </c>
      <c r="L79" s="20" t="e" vm="143">
        <f t="array" ref="L79">_FV(A79,"Market cap",TRUE)/10000000</f>
        <v>#VALUE!</v>
      </c>
      <c r="M79" s="21" t="e" vm="135">
        <f t="shared" si="11"/>
        <v>#VALUE!</v>
      </c>
      <c r="N79" t="s">
        <v>44</v>
      </c>
      <c r="O79" s="46" t="e" vm="48">
        <f t="array" ref="O79">_FV(A79,"Industry")</f>
        <v>#VALUE!</v>
      </c>
    </row>
    <row r="80" spans="1:15">
      <c r="A80" t="e">
        <v>#VALUE!</v>
      </c>
      <c r="B80" s="33" t="e" vm="142">
        <f t="array" ref="B80">_FV(A80,"Change (%)",TRUE)</f>
        <v>#VALUE!</v>
      </c>
      <c r="C80" s="35" t="e" vm="136">
        <f t="array" ref="C80">_FV(A80,"Previous close",TRUE)</f>
        <v>#VALUE!</v>
      </c>
      <c r="D80" s="35" t="e" vm="137">
        <f t="array" ref="D80">_FV(A80,"Price")</f>
        <v>#VALUE!</v>
      </c>
      <c r="E80" s="35" t="e" vm="138">
        <f t="array" ref="E80">_FV(A80,"Low")</f>
        <v>#VALUE!</v>
      </c>
      <c r="F80" s="35" t="e" vm="139">
        <f t="array" ref="F80">_FV(A80,"High")</f>
        <v>#VALUE!</v>
      </c>
      <c r="G80" s="35" t="e" vm="140">
        <f t="array" ref="G80">_FV(A80,"52 week low",TRUE)</f>
        <v>#VALUE!</v>
      </c>
      <c r="H80" s="36" t="e" vm="141">
        <f t="array" ref="H80">_FV(A80,"52 week high",TRUE)</f>
        <v>#VALUE!</v>
      </c>
      <c r="I80" s="40" t="e" vm="135">
        <f t="shared" si="8"/>
        <v>#VALUE!</v>
      </c>
      <c r="J80" s="39" t="e" vm="135">
        <f t="shared" si="9"/>
        <v>#VALUE!</v>
      </c>
      <c r="K80" s="54" t="e" vm="135">
        <f t="shared" si="10"/>
        <v>#VALUE!</v>
      </c>
      <c r="L80" s="20" t="e" vm="143">
        <f t="array" ref="L80">_FV(A80,"Market cap",TRUE)/10000000</f>
        <v>#VALUE!</v>
      </c>
      <c r="M80" s="21" t="e" vm="135">
        <f t="shared" si="11"/>
        <v>#VALUE!</v>
      </c>
      <c r="N80" t="s">
        <v>43</v>
      </c>
      <c r="O80" s="46" t="e" vm="48">
        <f t="array" ref="O80">_FV(A80,"Industry")</f>
        <v>#VALUE!</v>
      </c>
    </row>
    <row r="81" spans="1:15">
      <c r="A81" t="e">
        <v>#VALUE!</v>
      </c>
      <c r="B81" s="33" t="e" vm="142">
        <f t="array" ref="B81">_FV(A81,"Change (%)",TRUE)</f>
        <v>#VALUE!</v>
      </c>
      <c r="C81" s="35" t="e" vm="136">
        <f t="array" ref="C81">_FV(A81,"Previous close",TRUE)</f>
        <v>#VALUE!</v>
      </c>
      <c r="D81" s="35" t="e" vm="137">
        <f t="array" ref="D81">_FV(A81,"Price")</f>
        <v>#VALUE!</v>
      </c>
      <c r="E81" s="35" t="e" vm="138">
        <f t="array" ref="E81">_FV(A81,"Low")</f>
        <v>#VALUE!</v>
      </c>
      <c r="F81" s="35" t="e" vm="139">
        <f t="array" ref="F81">_FV(A81,"High")</f>
        <v>#VALUE!</v>
      </c>
      <c r="G81" s="35" t="e" vm="140">
        <f t="array" ref="G81">_FV(A81,"52 week low",TRUE)</f>
        <v>#VALUE!</v>
      </c>
      <c r="H81" s="36" t="e" vm="141">
        <f t="array" ref="H81">_FV(A81,"52 week high",TRUE)</f>
        <v>#VALUE!</v>
      </c>
      <c r="I81" s="40" t="e" vm="135">
        <f t="shared" si="8"/>
        <v>#VALUE!</v>
      </c>
      <c r="J81" s="39" t="e" vm="135">
        <f t="shared" si="9"/>
        <v>#VALUE!</v>
      </c>
      <c r="K81" s="54" t="e" vm="135">
        <f t="shared" si="10"/>
        <v>#VALUE!</v>
      </c>
      <c r="L81" s="20" t="e" vm="143">
        <f t="array" ref="L81">_FV(A81,"Market cap",TRUE)/10000000</f>
        <v>#VALUE!</v>
      </c>
      <c r="M81" s="21" t="e" vm="135">
        <f t="shared" si="11"/>
        <v>#VALUE!</v>
      </c>
      <c r="N81" t="s">
        <v>51</v>
      </c>
      <c r="O81" s="46" t="e" vm="48">
        <f t="array" ref="O81">_FV(A81,"Industry")</f>
        <v>#VALUE!</v>
      </c>
    </row>
    <row r="82" spans="1:15">
      <c r="A82" t="e">
        <v>#VALUE!</v>
      </c>
      <c r="B82" s="33" t="e" vm="142">
        <f t="array" ref="B82">_FV(A82,"Change (%)",TRUE)</f>
        <v>#VALUE!</v>
      </c>
      <c r="C82" s="35" t="e" vm="136">
        <f t="array" ref="C82">_FV(A82,"Previous close",TRUE)</f>
        <v>#VALUE!</v>
      </c>
      <c r="D82" s="35" t="e" vm="137">
        <f t="array" ref="D82">_FV(A82,"Price")</f>
        <v>#VALUE!</v>
      </c>
      <c r="E82" s="35" t="e" vm="138">
        <f t="array" ref="E82">_FV(A82,"Low")</f>
        <v>#VALUE!</v>
      </c>
      <c r="F82" s="35" t="e" vm="139">
        <f t="array" ref="F82">_FV(A82,"High")</f>
        <v>#VALUE!</v>
      </c>
      <c r="G82" s="35" t="e" vm="140">
        <f t="array" ref="G82">_FV(A82,"52 week low",TRUE)</f>
        <v>#VALUE!</v>
      </c>
      <c r="H82" s="36" t="e" vm="141">
        <f t="array" ref="H82">_FV(A82,"52 week high",TRUE)</f>
        <v>#VALUE!</v>
      </c>
      <c r="I82" s="40" t="e" vm="135">
        <f t="shared" si="8"/>
        <v>#VALUE!</v>
      </c>
      <c r="J82" s="39" t="e" vm="135">
        <f t="shared" si="9"/>
        <v>#VALUE!</v>
      </c>
      <c r="K82" s="54" t="e" vm="135">
        <f t="shared" si="10"/>
        <v>#VALUE!</v>
      </c>
      <c r="L82" s="20" t="e" vm="143">
        <f t="array" ref="L82">_FV(A82,"Market cap",TRUE)/10000000</f>
        <v>#VALUE!</v>
      </c>
      <c r="M82" s="21" t="e" vm="135">
        <f t="shared" si="11"/>
        <v>#VALUE!</v>
      </c>
      <c r="N82" t="s">
        <v>44</v>
      </c>
      <c r="O82" s="46" t="e" vm="48">
        <f t="array" ref="O82">_FV(A82,"Industry")</f>
        <v>#VALUE!</v>
      </c>
    </row>
    <row r="83" spans="1:15">
      <c r="A83" t="e">
        <v>#VALUE!</v>
      </c>
      <c r="B83" s="33" t="e" vm="142">
        <f t="array" ref="B83">_FV(A83,"Change (%)",TRUE)</f>
        <v>#VALUE!</v>
      </c>
      <c r="C83" s="35" t="e" vm="136">
        <f t="array" ref="C83">_FV(A83,"Previous close",TRUE)</f>
        <v>#VALUE!</v>
      </c>
      <c r="D83" s="35" t="e" vm="137">
        <f t="array" ref="D83">_FV(A83,"Price")</f>
        <v>#VALUE!</v>
      </c>
      <c r="E83" s="35" t="e" vm="138">
        <f t="array" ref="E83">_FV(A83,"Low")</f>
        <v>#VALUE!</v>
      </c>
      <c r="F83" s="35" t="e" vm="139">
        <f t="array" ref="F83">_FV(A83,"High")</f>
        <v>#VALUE!</v>
      </c>
      <c r="G83" s="35" t="e" vm="140">
        <f t="array" ref="G83">_FV(A83,"52 week low",TRUE)</f>
        <v>#VALUE!</v>
      </c>
      <c r="H83" s="36" t="e" vm="141">
        <f t="array" ref="H83">_FV(A83,"52 week high",TRUE)</f>
        <v>#VALUE!</v>
      </c>
      <c r="I83" s="40" t="e" vm="135">
        <f t="shared" si="8"/>
        <v>#VALUE!</v>
      </c>
      <c r="J83" s="39" t="e" vm="135">
        <f t="shared" si="9"/>
        <v>#VALUE!</v>
      </c>
      <c r="K83" s="54" t="e" vm="135">
        <f t="shared" si="10"/>
        <v>#VALUE!</v>
      </c>
      <c r="L83" s="20" t="e" vm="143">
        <f t="array" ref="L83">_FV(A83,"Market cap",TRUE)/10000000</f>
        <v>#VALUE!</v>
      </c>
      <c r="M83" s="21" t="e" vm="135">
        <f t="shared" si="11"/>
        <v>#VALUE!</v>
      </c>
      <c r="N83" t="s">
        <v>49</v>
      </c>
      <c r="O83" s="46" t="e" vm="48">
        <f t="array" ref="O83">_FV(A83,"Industry")</f>
        <v>#VALUE!</v>
      </c>
    </row>
    <row r="84" spans="1:15">
      <c r="A84" t="e">
        <v>#VALUE!</v>
      </c>
      <c r="B84" s="33" t="e" vm="142">
        <f t="array" ref="B84">_FV(A84,"Change (%)",TRUE)</f>
        <v>#VALUE!</v>
      </c>
      <c r="C84" s="35" t="e" vm="136">
        <f t="array" ref="C84">_FV(A84,"Previous close",TRUE)</f>
        <v>#VALUE!</v>
      </c>
      <c r="D84" s="35" t="e" vm="137">
        <f t="array" ref="D84">_FV(A84,"Price")</f>
        <v>#VALUE!</v>
      </c>
      <c r="E84" s="35" t="e" vm="138">
        <f t="array" ref="E84">_FV(A84,"Low")</f>
        <v>#VALUE!</v>
      </c>
      <c r="F84" s="35" t="e" vm="139">
        <f t="array" ref="F84">_FV(A84,"High")</f>
        <v>#VALUE!</v>
      </c>
      <c r="G84" s="35" t="e" vm="140">
        <f t="array" ref="G84">_FV(A84,"52 week low",TRUE)</f>
        <v>#VALUE!</v>
      </c>
      <c r="H84" s="36" t="e" vm="141">
        <f t="array" ref="H84">_FV(A84,"52 week high",TRUE)</f>
        <v>#VALUE!</v>
      </c>
      <c r="I84" s="40" t="e" vm="135">
        <f t="shared" si="8"/>
        <v>#VALUE!</v>
      </c>
      <c r="J84" s="39" t="e" vm="135">
        <f t="shared" si="9"/>
        <v>#VALUE!</v>
      </c>
      <c r="K84" s="54" t="e" vm="135">
        <f t="shared" si="10"/>
        <v>#VALUE!</v>
      </c>
      <c r="L84" s="20" t="e" vm="143">
        <f t="array" ref="L84">_FV(A84,"Market cap",TRUE)/10000000</f>
        <v>#VALUE!</v>
      </c>
      <c r="M84" s="21" t="e" vm="135">
        <f t="shared" si="11"/>
        <v>#VALUE!</v>
      </c>
      <c r="N84" t="s">
        <v>30</v>
      </c>
      <c r="O84" s="46" t="e" vm="48">
        <f t="array" ref="O84">_FV(A84,"Industry")</f>
        <v>#VALUE!</v>
      </c>
    </row>
    <row r="85" spans="1:15">
      <c r="A85" t="e">
        <v>#VALUE!</v>
      </c>
      <c r="B85" s="33" t="e" vm="142">
        <f t="array" ref="B85">_FV(A85,"Change (%)",TRUE)</f>
        <v>#VALUE!</v>
      </c>
      <c r="C85" s="35" t="e" vm="136">
        <f t="array" ref="C85">_FV(A85,"Previous close",TRUE)</f>
        <v>#VALUE!</v>
      </c>
      <c r="D85" s="35" t="e" vm="137">
        <f t="array" ref="D85">_FV(A85,"Price")</f>
        <v>#VALUE!</v>
      </c>
      <c r="E85" s="35" t="e" vm="138">
        <f t="array" ref="E85">_FV(A85,"Low")</f>
        <v>#VALUE!</v>
      </c>
      <c r="F85" s="35" t="e" vm="139">
        <f t="array" ref="F85">_FV(A85,"High")</f>
        <v>#VALUE!</v>
      </c>
      <c r="G85" s="35" t="e" vm="140">
        <f t="array" ref="G85">_FV(A85,"52 week low",TRUE)</f>
        <v>#VALUE!</v>
      </c>
      <c r="H85" s="36" t="e" vm="141">
        <f t="array" ref="H85">_FV(A85,"52 week high",TRUE)</f>
        <v>#VALUE!</v>
      </c>
      <c r="I85" s="40" t="e" vm="135">
        <f t="shared" si="8"/>
        <v>#VALUE!</v>
      </c>
      <c r="J85" s="39" t="e" vm="135">
        <f t="shared" si="9"/>
        <v>#VALUE!</v>
      </c>
      <c r="K85" s="54" t="e" vm="135">
        <f t="shared" si="10"/>
        <v>#VALUE!</v>
      </c>
      <c r="L85" s="20" t="e" vm="143">
        <f t="array" ref="L85">_FV(A85,"Market cap",TRUE)/10000000</f>
        <v>#VALUE!</v>
      </c>
      <c r="M85" s="21" t="e" vm="135">
        <f t="shared" si="11"/>
        <v>#VALUE!</v>
      </c>
      <c r="N85" t="s">
        <v>42</v>
      </c>
      <c r="O85" s="46" t="e" vm="48">
        <f t="array" ref="O85">_FV(A85,"Industry")</f>
        <v>#VALUE!</v>
      </c>
    </row>
    <row r="86" spans="1:15">
      <c r="A86" t="e">
        <v>#VALUE!</v>
      </c>
      <c r="B86" s="33" t="e" vm="142">
        <f t="array" ref="B86">_FV(A86,"Change (%)",TRUE)</f>
        <v>#VALUE!</v>
      </c>
      <c r="C86" s="35" t="e" vm="136">
        <f t="array" ref="C86">_FV(A86,"Previous close",TRUE)</f>
        <v>#VALUE!</v>
      </c>
      <c r="D86" s="35" t="e" vm="137">
        <f t="array" ref="D86">_FV(A86,"Price")</f>
        <v>#VALUE!</v>
      </c>
      <c r="E86" s="35" t="e" vm="138">
        <f t="array" ref="E86">_FV(A86,"Low")</f>
        <v>#VALUE!</v>
      </c>
      <c r="F86" s="35" t="e" vm="139">
        <f t="array" ref="F86">_FV(A86,"High")</f>
        <v>#VALUE!</v>
      </c>
      <c r="G86" s="35" t="e" vm="140">
        <f t="array" ref="G86">_FV(A86,"52 week low",TRUE)</f>
        <v>#VALUE!</v>
      </c>
      <c r="H86" s="36" t="e" vm="141">
        <f t="array" ref="H86">_FV(A86,"52 week high",TRUE)</f>
        <v>#VALUE!</v>
      </c>
      <c r="I86" s="40" t="e" vm="135">
        <f t="shared" si="8"/>
        <v>#VALUE!</v>
      </c>
      <c r="J86" s="39" t="e" vm="135">
        <f t="shared" si="9"/>
        <v>#VALUE!</v>
      </c>
      <c r="K86" s="54" t="e" vm="135">
        <f t="shared" si="10"/>
        <v>#VALUE!</v>
      </c>
      <c r="L86" s="20" t="e" vm="143">
        <f t="array" ref="L86">_FV(A86,"Market cap",TRUE)/10000000</f>
        <v>#VALUE!</v>
      </c>
      <c r="M86" s="21" t="e" vm="135">
        <f t="shared" si="11"/>
        <v>#VALUE!</v>
      </c>
      <c r="N86" t="s">
        <v>46</v>
      </c>
      <c r="O86" s="46" t="e" vm="48">
        <f t="array" ref="O86">_FV(A86,"Industry")</f>
        <v>#VALUE!</v>
      </c>
    </row>
    <row r="87" spans="1:15">
      <c r="A87" t="e">
        <v>#VALUE!</v>
      </c>
      <c r="B87" s="33" t="e" vm="142">
        <f t="array" ref="B87">_FV(A87,"Change (%)",TRUE)</f>
        <v>#VALUE!</v>
      </c>
      <c r="C87" s="35" t="e" vm="136">
        <f t="array" ref="C87">_FV(A87,"Previous close",TRUE)</f>
        <v>#VALUE!</v>
      </c>
      <c r="D87" s="35" t="e" vm="137">
        <f t="array" ref="D87">_FV(A87,"Price")</f>
        <v>#VALUE!</v>
      </c>
      <c r="E87" s="35" t="e" vm="138">
        <f t="array" ref="E87">_FV(A87,"Low")</f>
        <v>#VALUE!</v>
      </c>
      <c r="F87" s="35" t="e" vm="139">
        <f t="array" ref="F87">_FV(A87,"High")</f>
        <v>#VALUE!</v>
      </c>
      <c r="G87" s="35" t="e" vm="140">
        <f t="array" ref="G87">_FV(A87,"52 week low",TRUE)</f>
        <v>#VALUE!</v>
      </c>
      <c r="H87" s="36" t="e" vm="141">
        <f t="array" ref="H87">_FV(A87,"52 week high",TRUE)</f>
        <v>#VALUE!</v>
      </c>
      <c r="I87" s="40" t="e" vm="135">
        <f t="shared" si="8"/>
        <v>#VALUE!</v>
      </c>
      <c r="J87" s="39" t="e" vm="135">
        <f t="shared" si="9"/>
        <v>#VALUE!</v>
      </c>
      <c r="K87" s="54" t="e" vm="135">
        <f t="shared" si="10"/>
        <v>#VALUE!</v>
      </c>
      <c r="L87" s="20" t="e" vm="143">
        <f t="array" ref="L87">_FV(A87,"Market cap",TRUE)/10000000</f>
        <v>#VALUE!</v>
      </c>
      <c r="M87" s="21" t="e" vm="135">
        <f t="shared" si="11"/>
        <v>#VALUE!</v>
      </c>
      <c r="N87" t="s">
        <v>38</v>
      </c>
      <c r="O87" s="46" t="e" vm="48">
        <f t="array" ref="O87">_FV(A87,"Industry")</f>
        <v>#VALUE!</v>
      </c>
    </row>
    <row r="88" spans="1:15">
      <c r="A88" t="e">
        <v>#VALUE!</v>
      </c>
      <c r="B88" s="33" t="e" vm="142">
        <f t="array" ref="B88">_FV(A88,"Change (%)",TRUE)</f>
        <v>#VALUE!</v>
      </c>
      <c r="C88" s="35" t="e" vm="136">
        <f t="array" ref="C88">_FV(A88,"Previous close",TRUE)</f>
        <v>#VALUE!</v>
      </c>
      <c r="D88" s="35" t="e" vm="137">
        <f t="array" ref="D88">_FV(A88,"Price")</f>
        <v>#VALUE!</v>
      </c>
      <c r="E88" s="35" t="e" vm="138">
        <f t="array" ref="E88">_FV(A88,"Low")</f>
        <v>#VALUE!</v>
      </c>
      <c r="F88" s="35" t="e" vm="139">
        <f t="array" ref="F88">_FV(A88,"High")</f>
        <v>#VALUE!</v>
      </c>
      <c r="G88" s="35" t="e" vm="140">
        <f t="array" ref="G88">_FV(A88,"52 week low",TRUE)</f>
        <v>#VALUE!</v>
      </c>
      <c r="H88" s="36" t="e" vm="141">
        <f t="array" ref="H88">_FV(A88,"52 week high",TRUE)</f>
        <v>#VALUE!</v>
      </c>
      <c r="I88" s="40" t="e" vm="135">
        <f t="shared" si="8"/>
        <v>#VALUE!</v>
      </c>
      <c r="J88" s="39" t="e" vm="135">
        <f t="shared" si="9"/>
        <v>#VALUE!</v>
      </c>
      <c r="K88" s="54" t="e" vm="135">
        <f t="shared" si="10"/>
        <v>#VALUE!</v>
      </c>
      <c r="L88" s="20" t="e" vm="143">
        <f t="array" ref="L88">_FV(A88,"Market cap",TRUE)/10000000</f>
        <v>#VALUE!</v>
      </c>
      <c r="M88" s="21" t="e" vm="135">
        <f t="shared" si="11"/>
        <v>#VALUE!</v>
      </c>
      <c r="N88" t="s">
        <v>39</v>
      </c>
      <c r="O88" s="46" t="e" vm="48">
        <f t="array" ref="O88">_FV(A88,"Industry")</f>
        <v>#VALUE!</v>
      </c>
    </row>
    <row r="89" spans="1:15">
      <c r="A89" t="e">
        <v>#VALUE!</v>
      </c>
      <c r="B89" s="33" t="e" vm="142">
        <f t="array" ref="B89">_FV(A89,"Change (%)",TRUE)</f>
        <v>#VALUE!</v>
      </c>
      <c r="C89" s="35" t="e" vm="136">
        <f t="array" ref="C89">_FV(A89,"Previous close",TRUE)</f>
        <v>#VALUE!</v>
      </c>
      <c r="D89" s="35" t="e" vm="137">
        <f t="array" ref="D89">_FV(A89,"Price")</f>
        <v>#VALUE!</v>
      </c>
      <c r="E89" s="35" t="e" vm="138">
        <f t="array" ref="E89">_FV(A89,"Low")</f>
        <v>#VALUE!</v>
      </c>
      <c r="F89" s="35" t="e" vm="139">
        <f t="array" ref="F89">_FV(A89,"High")</f>
        <v>#VALUE!</v>
      </c>
      <c r="G89" s="35" t="e" vm="140">
        <f t="array" ref="G89">_FV(A89,"52 week low",TRUE)</f>
        <v>#VALUE!</v>
      </c>
      <c r="H89" s="36" t="e" vm="141">
        <f t="array" ref="H89">_FV(A89,"52 week high",TRUE)</f>
        <v>#VALUE!</v>
      </c>
      <c r="I89" s="40" t="e" vm="135">
        <f t="shared" si="8"/>
        <v>#VALUE!</v>
      </c>
      <c r="J89" s="39" t="e" vm="135">
        <f t="shared" si="9"/>
        <v>#VALUE!</v>
      </c>
      <c r="K89" s="54" t="e" vm="135">
        <f t="shared" si="10"/>
        <v>#VALUE!</v>
      </c>
      <c r="L89" s="20" t="e" vm="143">
        <f t="array" ref="L89">_FV(A89,"Market cap",TRUE)/10000000</f>
        <v>#VALUE!</v>
      </c>
      <c r="M89" s="21" t="e" vm="135">
        <f t="shared" si="11"/>
        <v>#VALUE!</v>
      </c>
      <c r="N89" t="s">
        <v>41</v>
      </c>
      <c r="O89" s="45" t="e" vm="48">
        <f t="array" ref="O89">_FV(A89,"Industry")</f>
        <v>#VALUE!</v>
      </c>
    </row>
    <row r="90" spans="1:15">
      <c r="A90" t="e">
        <v>#VALUE!</v>
      </c>
      <c r="B90" s="33" t="e" vm="142">
        <f t="array" ref="B90">_FV(A90,"Change (%)",TRUE)</f>
        <v>#VALUE!</v>
      </c>
      <c r="C90" s="35" t="e" vm="136">
        <f t="array" ref="C90">_FV(A90,"Previous close",TRUE)</f>
        <v>#VALUE!</v>
      </c>
      <c r="D90" s="35" t="e" vm="137">
        <f t="array" ref="D90">_FV(A90,"Price")</f>
        <v>#VALUE!</v>
      </c>
      <c r="E90" s="35" t="e" vm="138">
        <f t="array" ref="E90">_FV(A90,"Low")</f>
        <v>#VALUE!</v>
      </c>
      <c r="F90" s="35" t="e" vm="139">
        <f t="array" ref="F90">_FV(A90,"High")</f>
        <v>#VALUE!</v>
      </c>
      <c r="G90" s="35" t="e" vm="140">
        <f t="array" ref="G90">_FV(A90,"52 week low",TRUE)</f>
        <v>#VALUE!</v>
      </c>
      <c r="H90" s="36" t="e" vm="141">
        <f t="array" ref="H90">_FV(A90,"52 week high",TRUE)</f>
        <v>#VALUE!</v>
      </c>
      <c r="I90" s="40" t="e" vm="135">
        <f t="shared" si="8"/>
        <v>#VALUE!</v>
      </c>
      <c r="J90" s="39" t="e" vm="135">
        <f t="shared" si="9"/>
        <v>#VALUE!</v>
      </c>
      <c r="K90" s="54" t="e" vm="135">
        <f t="shared" si="10"/>
        <v>#VALUE!</v>
      </c>
      <c r="L90" s="20" t="e" vm="143">
        <f t="array" ref="L90">_FV(A90,"Market cap",TRUE)/10000000</f>
        <v>#VALUE!</v>
      </c>
      <c r="M90" s="21" t="e" vm="135">
        <f t="shared" si="11"/>
        <v>#VALUE!</v>
      </c>
      <c r="N90" t="s">
        <v>30</v>
      </c>
      <c r="O90" s="46" t="e" vm="48">
        <f t="array" ref="O90">_FV(A90,"Industry")</f>
        <v>#VALUE!</v>
      </c>
    </row>
    <row r="91" spans="1:15">
      <c r="A91" t="e">
        <v>#VALUE!</v>
      </c>
      <c r="B91" s="33" t="e" vm="142">
        <f t="array" ref="B91">_FV(A91,"Change (%)",TRUE)</f>
        <v>#VALUE!</v>
      </c>
      <c r="C91" s="35" t="e" vm="136">
        <f t="array" ref="C91">_FV(A91,"Previous close",TRUE)</f>
        <v>#VALUE!</v>
      </c>
      <c r="D91" s="35" t="e" vm="137">
        <f t="array" ref="D91">_FV(A91,"Price")</f>
        <v>#VALUE!</v>
      </c>
      <c r="E91" s="35" t="e" vm="138">
        <f t="array" ref="E91">_FV(A91,"Low")</f>
        <v>#VALUE!</v>
      </c>
      <c r="F91" s="35" t="e" vm="139">
        <f t="array" ref="F91">_FV(A91,"High")</f>
        <v>#VALUE!</v>
      </c>
      <c r="G91" s="35" t="e" vm="140">
        <f t="array" ref="G91">_FV(A91,"52 week low",TRUE)</f>
        <v>#VALUE!</v>
      </c>
      <c r="H91" s="36" t="e" vm="141">
        <f t="array" ref="H91">_FV(A91,"52 week high",TRUE)</f>
        <v>#VALUE!</v>
      </c>
      <c r="I91" s="40" t="e" vm="135">
        <f t="shared" si="8"/>
        <v>#VALUE!</v>
      </c>
      <c r="J91" s="39" t="e" vm="135">
        <f t="shared" si="9"/>
        <v>#VALUE!</v>
      </c>
      <c r="K91" s="54" t="e" vm="135">
        <f t="shared" si="10"/>
        <v>#VALUE!</v>
      </c>
      <c r="L91" s="20" t="e" vm="143">
        <f t="array" ref="L91">_FV(A91,"Market cap",TRUE)/10000000</f>
        <v>#VALUE!</v>
      </c>
      <c r="M91" s="21" t="e" vm="135">
        <f t="shared" si="11"/>
        <v>#VALUE!</v>
      </c>
      <c r="N91" t="s">
        <v>51</v>
      </c>
      <c r="O91" s="45" t="e" vm="48">
        <f t="array" ref="O91">_FV(A91,"Industry")</f>
        <v>#VALUE!</v>
      </c>
    </row>
    <row r="92" spans="1:15">
      <c r="A92" t="e">
        <v>#VALUE!</v>
      </c>
      <c r="B92" s="33" t="e" vm="142">
        <f t="array" ref="B92">_FV(A92,"Change (%)",TRUE)</f>
        <v>#VALUE!</v>
      </c>
      <c r="C92" s="35" t="e" vm="136">
        <f t="array" ref="C92">_FV(A92,"Previous close",TRUE)</f>
        <v>#VALUE!</v>
      </c>
      <c r="D92" s="35" t="e" vm="137">
        <f t="array" ref="D92">_FV(A92,"Price")</f>
        <v>#VALUE!</v>
      </c>
      <c r="E92" s="35" t="e" vm="138">
        <f t="array" ref="E92">_FV(A92,"Low")</f>
        <v>#VALUE!</v>
      </c>
      <c r="F92" s="35" t="e" vm="139">
        <f t="array" ref="F92">_FV(A92,"High")</f>
        <v>#VALUE!</v>
      </c>
      <c r="G92" s="35" t="e" vm="140">
        <f t="array" ref="G92">_FV(A92,"52 week low",TRUE)</f>
        <v>#VALUE!</v>
      </c>
      <c r="H92" s="36" t="e" vm="141">
        <f t="array" ref="H92">_FV(A92,"52 week high",TRUE)</f>
        <v>#VALUE!</v>
      </c>
      <c r="I92" s="40" t="e" vm="135">
        <f t="shared" si="8"/>
        <v>#VALUE!</v>
      </c>
      <c r="J92" s="39" t="e" vm="135">
        <f t="shared" si="9"/>
        <v>#VALUE!</v>
      </c>
      <c r="K92" s="54" t="e" vm="135">
        <f t="shared" si="10"/>
        <v>#VALUE!</v>
      </c>
      <c r="L92" s="20" t="e" vm="143">
        <f t="array" ref="L92">_FV(A92,"Market cap",TRUE)/10000000</f>
        <v>#VALUE!</v>
      </c>
      <c r="M92" s="21" t="e" vm="135">
        <f t="shared" si="11"/>
        <v>#VALUE!</v>
      </c>
      <c r="N92" t="s">
        <v>39</v>
      </c>
      <c r="O92" s="46" t="e" vm="48">
        <f t="array" ref="O92">_FV(A92,"Industry")</f>
        <v>#VALUE!</v>
      </c>
    </row>
    <row r="93" spans="1:15">
      <c r="A93" t="e">
        <v>#VALUE!</v>
      </c>
      <c r="B93" s="33" t="e" vm="142">
        <f t="array" ref="B93">_FV(A93,"Change (%)",TRUE)</f>
        <v>#VALUE!</v>
      </c>
      <c r="C93" s="35" t="e" vm="136">
        <f t="array" ref="C93">_FV(A93,"Previous close",TRUE)</f>
        <v>#VALUE!</v>
      </c>
      <c r="D93" s="35" t="e" vm="137">
        <f t="array" ref="D93">_FV(A93,"Price")</f>
        <v>#VALUE!</v>
      </c>
      <c r="E93" s="35" t="e" vm="138">
        <f t="array" ref="E93">_FV(A93,"Low")</f>
        <v>#VALUE!</v>
      </c>
      <c r="F93" s="35" t="e" vm="139">
        <f t="array" ref="F93">_FV(A93,"High")</f>
        <v>#VALUE!</v>
      </c>
      <c r="G93" s="35" t="e" vm="140">
        <f t="array" ref="G93">_FV(A93,"52 week low",TRUE)</f>
        <v>#VALUE!</v>
      </c>
      <c r="H93" s="36" t="e" vm="141">
        <f t="array" ref="H93">_FV(A93,"52 week high",TRUE)</f>
        <v>#VALUE!</v>
      </c>
      <c r="I93" s="40" t="e" vm="135">
        <f t="shared" si="8"/>
        <v>#VALUE!</v>
      </c>
      <c r="J93" s="39" t="e" vm="135">
        <f t="shared" si="9"/>
        <v>#VALUE!</v>
      </c>
      <c r="K93" s="54" t="e" vm="135">
        <f t="shared" si="10"/>
        <v>#VALUE!</v>
      </c>
      <c r="L93" s="20" t="e" vm="143">
        <f t="array" ref="L93">_FV(A93,"Market cap",TRUE)/10000000</f>
        <v>#VALUE!</v>
      </c>
      <c r="M93" s="21" t="e" vm="135">
        <f t="shared" si="11"/>
        <v>#VALUE!</v>
      </c>
      <c r="N93" t="s">
        <v>30</v>
      </c>
      <c r="O93" s="46" t="e" vm="48">
        <f t="array" ref="O93">_FV(A93,"Industry")</f>
        <v>#VALUE!</v>
      </c>
    </row>
    <row r="94" spans="1:15">
      <c r="A94" t="e">
        <v>#VALUE!</v>
      </c>
      <c r="B94" s="33" t="e" vm="142">
        <f t="array" ref="B94">_FV(A94,"Change (%)",TRUE)</f>
        <v>#VALUE!</v>
      </c>
      <c r="C94" s="35" t="e" vm="136">
        <f t="array" ref="C94">_FV(A94,"Previous close",TRUE)</f>
        <v>#VALUE!</v>
      </c>
      <c r="D94" s="35" t="e" vm="137">
        <f t="array" ref="D94">_FV(A94,"Price")</f>
        <v>#VALUE!</v>
      </c>
      <c r="E94" s="35" t="e" vm="138">
        <f t="array" ref="E94">_FV(A94,"Low")</f>
        <v>#VALUE!</v>
      </c>
      <c r="F94" s="35" t="e" vm="139">
        <f t="array" ref="F94">_FV(A94,"High")</f>
        <v>#VALUE!</v>
      </c>
      <c r="G94" s="35" t="e" vm="140">
        <f t="array" ref="G94">_FV(A94,"52 week low",TRUE)</f>
        <v>#VALUE!</v>
      </c>
      <c r="H94" s="36" t="e" vm="141">
        <f t="array" ref="H94">_FV(A94,"52 week high",TRUE)</f>
        <v>#VALUE!</v>
      </c>
      <c r="I94" s="40" t="e" vm="135">
        <f t="shared" si="8"/>
        <v>#VALUE!</v>
      </c>
      <c r="J94" s="39" t="e" vm="135">
        <f t="shared" si="9"/>
        <v>#VALUE!</v>
      </c>
      <c r="K94" s="54" t="e" vm="135">
        <f t="shared" si="10"/>
        <v>#VALUE!</v>
      </c>
      <c r="L94" s="20" t="e" vm="143">
        <f t="array" ref="L94">_FV(A94,"Market cap",TRUE)/10000000</f>
        <v>#VALUE!</v>
      </c>
      <c r="M94" s="21" t="e" vm="135">
        <f t="shared" si="11"/>
        <v>#VALUE!</v>
      </c>
      <c r="N94" t="s">
        <v>30</v>
      </c>
      <c r="O94" s="45" t="e" vm="48">
        <f t="array" ref="O94">_FV(A94,"Industry")</f>
        <v>#VALUE!</v>
      </c>
    </row>
    <row r="95" spans="1:15">
      <c r="A95" t="e">
        <v>#VALUE!</v>
      </c>
      <c r="B95" s="33" t="e" vm="142">
        <f t="array" ref="B95">_FV(A95,"Change (%)",TRUE)</f>
        <v>#VALUE!</v>
      </c>
      <c r="C95" s="35" t="e" vm="136">
        <f t="array" ref="C95">_FV(A95,"Previous close",TRUE)</f>
        <v>#VALUE!</v>
      </c>
      <c r="D95" s="35" t="e" vm="137">
        <f t="array" ref="D95">_FV(A95,"Price")</f>
        <v>#VALUE!</v>
      </c>
      <c r="E95" s="35" t="e" vm="138">
        <f t="array" ref="E95">_FV(A95,"Low")</f>
        <v>#VALUE!</v>
      </c>
      <c r="F95" s="35" t="e" vm="139">
        <f t="array" ref="F95">_FV(A95,"High")</f>
        <v>#VALUE!</v>
      </c>
      <c r="G95" s="35" t="e" vm="140">
        <f t="array" ref="G95">_FV(A95,"52 week low",TRUE)</f>
        <v>#VALUE!</v>
      </c>
      <c r="H95" s="36" t="e" vm="141">
        <f t="array" ref="H95">_FV(A95,"52 week high",TRUE)</f>
        <v>#VALUE!</v>
      </c>
      <c r="I95" s="40" t="e" vm="135">
        <f t="shared" si="8"/>
        <v>#VALUE!</v>
      </c>
      <c r="J95" s="39" t="e" vm="135">
        <f t="shared" si="9"/>
        <v>#VALUE!</v>
      </c>
      <c r="K95" s="54" t="e" vm="135">
        <f t="shared" si="10"/>
        <v>#VALUE!</v>
      </c>
      <c r="L95" s="20" t="e" vm="143">
        <f t="array" ref="L95">_FV(A95,"Market cap",TRUE)/10000000</f>
        <v>#VALUE!</v>
      </c>
      <c r="M95" s="21" t="e" vm="135">
        <f t="shared" si="11"/>
        <v>#VALUE!</v>
      </c>
      <c r="N95" t="s">
        <v>40</v>
      </c>
      <c r="O95" s="46" t="e" vm="48">
        <f t="array" ref="O95">_FV(A95,"Industry")</f>
        <v>#VALUE!</v>
      </c>
    </row>
    <row r="96" spans="1:15">
      <c r="A96" t="e">
        <v>#VALUE!</v>
      </c>
      <c r="B96" s="33" t="e" vm="142">
        <f t="array" ref="B96">_FV(A96,"Change (%)",TRUE)</f>
        <v>#VALUE!</v>
      </c>
      <c r="C96" s="35" t="e" vm="136">
        <f t="array" ref="C96">_FV(A96,"Previous close",TRUE)</f>
        <v>#VALUE!</v>
      </c>
      <c r="D96" s="35" t="e" vm="137">
        <f t="array" ref="D96">_FV(A96,"Price")</f>
        <v>#VALUE!</v>
      </c>
      <c r="E96" s="35" t="e" vm="138">
        <f t="array" ref="E96">_FV(A96,"Low")</f>
        <v>#VALUE!</v>
      </c>
      <c r="F96" s="35" t="e" vm="139">
        <f t="array" ref="F96">_FV(A96,"High")</f>
        <v>#VALUE!</v>
      </c>
      <c r="G96" s="35" t="e" vm="140">
        <f t="array" ref="G96">_FV(A96,"52 week low",TRUE)</f>
        <v>#VALUE!</v>
      </c>
      <c r="H96" s="36" t="e" vm="141">
        <f t="array" ref="H96">_FV(A96,"52 week high",TRUE)</f>
        <v>#VALUE!</v>
      </c>
      <c r="I96" s="40" t="e" vm="135">
        <f t="shared" si="8"/>
        <v>#VALUE!</v>
      </c>
      <c r="J96" s="39" t="e" vm="135">
        <f t="shared" si="9"/>
        <v>#VALUE!</v>
      </c>
      <c r="K96" s="54" t="e" vm="135">
        <f t="shared" si="10"/>
        <v>#VALUE!</v>
      </c>
      <c r="L96" s="20" t="e" vm="143">
        <f t="array" ref="L96">_FV(A96,"Market cap",TRUE)/10000000</f>
        <v>#VALUE!</v>
      </c>
      <c r="M96" s="21" t="e" vm="135">
        <f t="shared" si="11"/>
        <v>#VALUE!</v>
      </c>
      <c r="N96" t="s">
        <v>49</v>
      </c>
      <c r="O96" s="46" t="e" vm="48">
        <f t="array" ref="O96">_FV(A96,"Industry")</f>
        <v>#VALUE!</v>
      </c>
    </row>
    <row r="97" spans="1:15">
      <c r="A97" t="e">
        <v>#VALUE!</v>
      </c>
      <c r="B97" s="33" t="e" vm="142">
        <f t="array" ref="B97">_FV(A97,"Change (%)",TRUE)</f>
        <v>#VALUE!</v>
      </c>
      <c r="C97" s="35" t="e" vm="136">
        <f t="array" ref="C97">_FV(A97,"Previous close",TRUE)</f>
        <v>#VALUE!</v>
      </c>
      <c r="D97" s="35" t="e" vm="137">
        <f t="array" ref="D97">_FV(A97,"Price")</f>
        <v>#VALUE!</v>
      </c>
      <c r="E97" s="35" t="e" vm="138">
        <f t="array" ref="E97">_FV(A97,"Low")</f>
        <v>#VALUE!</v>
      </c>
      <c r="F97" s="35" t="e" vm="139">
        <f t="array" ref="F97">_FV(A97,"High")</f>
        <v>#VALUE!</v>
      </c>
      <c r="G97" s="35" t="e" vm="140">
        <f t="array" ref="G97">_FV(A97,"52 week low",TRUE)</f>
        <v>#VALUE!</v>
      </c>
      <c r="H97" s="36" t="e" vm="141">
        <f t="array" ref="H97">_FV(A97,"52 week high",TRUE)</f>
        <v>#VALUE!</v>
      </c>
      <c r="I97" s="40" t="e" vm="135">
        <f t="shared" si="8"/>
        <v>#VALUE!</v>
      </c>
      <c r="J97" s="39" t="e" vm="135">
        <f t="shared" si="9"/>
        <v>#VALUE!</v>
      </c>
      <c r="K97" s="54" t="e" vm="135">
        <f t="shared" si="10"/>
        <v>#VALUE!</v>
      </c>
      <c r="L97" s="20" t="e" vm="143">
        <f t="array" ref="L97">_FV(A97,"Market cap",TRUE)/10000000</f>
        <v>#VALUE!</v>
      </c>
      <c r="M97" s="21" t="e" vm="135">
        <f t="shared" si="11"/>
        <v>#VALUE!</v>
      </c>
      <c r="N97" t="s">
        <v>42</v>
      </c>
      <c r="O97" s="46" t="e" vm="48">
        <f t="array" ref="O97">_FV(A97,"Industry")</f>
        <v>#VALUE!</v>
      </c>
    </row>
    <row r="98" spans="1:15">
      <c r="A98" t="e">
        <v>#VALUE!</v>
      </c>
      <c r="B98" s="33" t="e" vm="142">
        <f t="array" ref="B98">_FV(A98,"Change (%)",TRUE)</f>
        <v>#VALUE!</v>
      </c>
      <c r="C98" s="35" t="e" vm="136">
        <f t="array" ref="C98">_FV(A98,"Previous close",TRUE)</f>
        <v>#VALUE!</v>
      </c>
      <c r="D98" s="35" t="e" vm="137">
        <f t="array" ref="D98">_FV(A98,"Price")</f>
        <v>#VALUE!</v>
      </c>
      <c r="E98" s="35" t="e" vm="138">
        <f t="array" ref="E98">_FV(A98,"Low")</f>
        <v>#VALUE!</v>
      </c>
      <c r="F98" s="35" t="e" vm="139">
        <f t="array" ref="F98">_FV(A98,"High")</f>
        <v>#VALUE!</v>
      </c>
      <c r="G98" s="35" t="e" vm="140">
        <f t="array" ref="G98">_FV(A98,"52 week low",TRUE)</f>
        <v>#VALUE!</v>
      </c>
      <c r="H98" s="36" t="e" vm="141">
        <f t="array" ref="H98">_FV(A98,"52 week high",TRUE)</f>
        <v>#VALUE!</v>
      </c>
      <c r="I98" s="40" t="e" vm="135">
        <f t="shared" ref="I98:I129" si="12">(H98-D98)*100/H98</f>
        <v>#VALUE!</v>
      </c>
      <c r="J98" s="39" t="e" vm="135">
        <f t="shared" ref="J98:J129" si="13">IF(AND(M98="HLC", I98&gt;12), "SURE HLC BUY",IF(AND(M98="HLC", I98&gt;7), "FIRST HLC BUY",IF(AND(M98="LC", I98&gt;20), "SURE LC BUY",IF(AND(M98="LC", I98&gt;10), "LC BUY",IF(AND(M98="HMC", I98&gt;30), "SURE HMC BUY",IF(AND(M98="HMC", I98&gt;20), "HMC BUY",IF(AND(M98="HMC", I98&gt;15), "FIRST HMC BUY",IF(AND(M98="MC", I98&gt;40), "SURE MC BUY",IF(AND(M98="MC", I98&gt;30), "MC BUY",IF(AND(M98="MC", I98&gt;20), "FIRST MC BUY",IF(AND(M98="HSC", I98&gt;60), "SURE HSC BUY",IF(AND(M98="HSC", I98&gt;50), "HSC BUY",IF(AND(M98="HSC", I98&gt;40), "FIRST HSC BUY",IF(AND(M98="SC", I98&gt;70), "SURE SC BUY",IF(AND(M98="SC", I98&gt;60), "SC BUY",IF(AND(M98="SC", I98&gt;50), "FIRST SC BUY",IF(AND(M98="VSC", I98&gt;80), "SURE VSC BUY",IF(AND(M98="VSC", I98&gt;70), "VSC BUY",IF(AND(M98="VSC", I98&gt;60), "FIRST VSC BUY","WATCH")))))))))))))))))))</f>
        <v>#VALUE!</v>
      </c>
      <c r="K98" s="54" t="e" vm="135">
        <f t="shared" ref="K98:K129" si="14">(G98-D98)*100/G98</f>
        <v>#VALUE!</v>
      </c>
      <c r="L98" s="20" t="e" vm="143">
        <f t="array" ref="L98">_FV(A98,"Market cap",TRUE)/10000000</f>
        <v>#VALUE!</v>
      </c>
      <c r="M98" s="21" t="e" vm="135">
        <f t="shared" ref="M98:M129" si="15">IF(L98&gt;500000,"HLC",IF(L98 &gt;100000,"LC",IF(L98 &gt;40000,"HMC",IF(L98 &gt;10000,"MC",IF(L98 &gt;=5000,"HSC",IF(L98 &gt;1000,"SC","VSC"))))))</f>
        <v>#VALUE!</v>
      </c>
      <c r="N98" t="s">
        <v>50</v>
      </c>
      <c r="O98" s="46" t="e" vm="48">
        <f t="array" ref="O98">_FV(A98,"Industry")</f>
        <v>#VALUE!</v>
      </c>
    </row>
    <row r="99" spans="1:15">
      <c r="A99" t="e">
        <v>#VALUE!</v>
      </c>
      <c r="B99" s="33" t="e" vm="142">
        <f t="array" ref="B99">_FV(A99,"Change (%)",TRUE)</f>
        <v>#VALUE!</v>
      </c>
      <c r="C99" s="35" t="e" vm="136">
        <f t="array" ref="C99">_FV(A99,"Previous close",TRUE)</f>
        <v>#VALUE!</v>
      </c>
      <c r="D99" s="35" t="e" vm="137">
        <f t="array" ref="D99">_FV(A99,"Price")</f>
        <v>#VALUE!</v>
      </c>
      <c r="E99" s="35" t="e" vm="138">
        <f t="array" ref="E99">_FV(A99,"Low")</f>
        <v>#VALUE!</v>
      </c>
      <c r="F99" s="35" t="e" vm="139">
        <f t="array" ref="F99">_FV(A99,"High")</f>
        <v>#VALUE!</v>
      </c>
      <c r="G99" s="35" t="e" vm="140">
        <f t="array" ref="G99">_FV(A99,"52 week low",TRUE)</f>
        <v>#VALUE!</v>
      </c>
      <c r="H99" s="36" t="e" vm="141">
        <f t="array" ref="H99">_FV(A99,"52 week high",TRUE)</f>
        <v>#VALUE!</v>
      </c>
      <c r="I99" s="40" t="e" vm="135">
        <f t="shared" si="12"/>
        <v>#VALUE!</v>
      </c>
      <c r="J99" s="39" t="e" vm="135">
        <f t="shared" si="13"/>
        <v>#VALUE!</v>
      </c>
      <c r="K99" s="54" t="e" vm="135">
        <f t="shared" si="14"/>
        <v>#VALUE!</v>
      </c>
      <c r="L99" s="20" t="e" vm="143">
        <f t="array" ref="L99">_FV(A99,"Market cap",TRUE)/10000000</f>
        <v>#VALUE!</v>
      </c>
      <c r="M99" s="21" t="e" vm="135">
        <f t="shared" si="15"/>
        <v>#VALUE!</v>
      </c>
      <c r="N99" t="s">
        <v>49</v>
      </c>
      <c r="O99" s="46" t="e" vm="48">
        <f t="array" ref="O99">_FV(A99,"Industry")</f>
        <v>#VALUE!</v>
      </c>
    </row>
    <row r="100" spans="1:15">
      <c r="A100" t="e">
        <v>#VALUE!</v>
      </c>
      <c r="B100" s="33" t="e" vm="142">
        <f t="array" ref="B100">_FV(A100,"Change (%)",TRUE)</f>
        <v>#VALUE!</v>
      </c>
      <c r="C100" s="35" t="e" vm="136">
        <f t="array" ref="C100">_FV(A100,"Previous close",TRUE)</f>
        <v>#VALUE!</v>
      </c>
      <c r="D100" s="35" t="e" vm="137">
        <f t="array" ref="D100">_FV(A100,"Price")</f>
        <v>#VALUE!</v>
      </c>
      <c r="E100" s="35" t="e" vm="138">
        <f t="array" ref="E100">_FV(A100,"Low")</f>
        <v>#VALUE!</v>
      </c>
      <c r="F100" s="35" t="e" vm="139">
        <f t="array" ref="F100">_FV(A100,"High")</f>
        <v>#VALUE!</v>
      </c>
      <c r="G100" s="35" t="e" vm="140">
        <f t="array" ref="G100">_FV(A100,"52 week low",TRUE)</f>
        <v>#VALUE!</v>
      </c>
      <c r="H100" s="36" t="e" vm="141">
        <f t="array" ref="H100">_FV(A100,"52 week high",TRUE)</f>
        <v>#VALUE!</v>
      </c>
      <c r="I100" s="40" t="e" vm="135">
        <f t="shared" si="12"/>
        <v>#VALUE!</v>
      </c>
      <c r="J100" s="39" t="e" vm="135">
        <f t="shared" si="13"/>
        <v>#VALUE!</v>
      </c>
      <c r="K100" s="54" t="e" vm="135">
        <f t="shared" si="14"/>
        <v>#VALUE!</v>
      </c>
      <c r="L100" s="20" t="e" vm="143">
        <f t="array" ref="L100">_FV(A100,"Market cap",TRUE)/10000000</f>
        <v>#VALUE!</v>
      </c>
      <c r="M100" s="21" t="e" vm="135">
        <f t="shared" si="15"/>
        <v>#VALUE!</v>
      </c>
      <c r="N100" t="s">
        <v>49</v>
      </c>
      <c r="O100" s="46" t="e" vm="48">
        <f t="array" ref="O100">_FV(A100,"Industry")</f>
        <v>#VALUE!</v>
      </c>
    </row>
    <row r="101" spans="1:15">
      <c r="A101" t="e">
        <v>#VALUE!</v>
      </c>
      <c r="B101" s="33" t="e" vm="142">
        <f t="array" ref="B101">_FV(A101,"Change (%)",TRUE)</f>
        <v>#VALUE!</v>
      </c>
      <c r="C101" s="35" t="e" vm="136">
        <f t="array" ref="C101">_FV(A101,"Previous close",TRUE)</f>
        <v>#VALUE!</v>
      </c>
      <c r="D101" s="35" t="e" vm="137">
        <f t="array" ref="D101">_FV(A101,"Price")</f>
        <v>#VALUE!</v>
      </c>
      <c r="E101" s="35" t="e" vm="138">
        <f t="array" ref="E101">_FV(A101,"Low")</f>
        <v>#VALUE!</v>
      </c>
      <c r="F101" s="35" t="e" vm="139">
        <f t="array" ref="F101">_FV(A101,"High")</f>
        <v>#VALUE!</v>
      </c>
      <c r="G101" s="35" t="e" vm="140">
        <f t="array" ref="G101">_FV(A101,"52 week low",TRUE)</f>
        <v>#VALUE!</v>
      </c>
      <c r="H101" s="36" t="e" vm="141">
        <f t="array" ref="H101">_FV(A101,"52 week high",TRUE)</f>
        <v>#VALUE!</v>
      </c>
      <c r="I101" s="40" t="e" vm="135">
        <f t="shared" si="12"/>
        <v>#VALUE!</v>
      </c>
      <c r="J101" s="39" t="e" vm="135">
        <f t="shared" si="13"/>
        <v>#VALUE!</v>
      </c>
      <c r="K101" s="54" t="e" vm="135">
        <f t="shared" si="14"/>
        <v>#VALUE!</v>
      </c>
      <c r="L101" s="20" t="e" vm="143">
        <f t="array" ref="L101">_FV(A101,"Market cap",TRUE)/10000000</f>
        <v>#VALUE!</v>
      </c>
      <c r="M101" s="21" t="e" vm="135">
        <f t="shared" si="15"/>
        <v>#VALUE!</v>
      </c>
      <c r="N101" t="s">
        <v>45</v>
      </c>
      <c r="O101" s="46" t="e" vm="48">
        <f t="array" ref="O101">_FV(A101,"Industry")</f>
        <v>#VALUE!</v>
      </c>
    </row>
    <row r="102" spans="1:15">
      <c r="A102" t="e">
        <v>#VALUE!</v>
      </c>
      <c r="B102" s="33" t="e" vm="142">
        <f t="array" ref="B102">_FV(A102,"Change (%)",TRUE)</f>
        <v>#VALUE!</v>
      </c>
      <c r="C102" s="35" t="e" vm="136">
        <f t="array" ref="C102">_FV(A102,"Previous close",TRUE)</f>
        <v>#VALUE!</v>
      </c>
      <c r="D102" s="35" t="e" vm="137">
        <f t="array" ref="D102">_FV(A102,"Price")</f>
        <v>#VALUE!</v>
      </c>
      <c r="E102" s="35" t="e" vm="138">
        <f t="array" ref="E102">_FV(A102,"Low")</f>
        <v>#VALUE!</v>
      </c>
      <c r="F102" s="35" t="e" vm="139">
        <f t="array" ref="F102">_FV(A102,"High")</f>
        <v>#VALUE!</v>
      </c>
      <c r="G102" s="35" t="e" vm="140">
        <f t="array" ref="G102">_FV(A102,"52 week low",TRUE)</f>
        <v>#VALUE!</v>
      </c>
      <c r="H102" s="36" t="e" vm="141">
        <f t="array" ref="H102">_FV(A102,"52 week high",TRUE)</f>
        <v>#VALUE!</v>
      </c>
      <c r="I102" s="40" t="e" vm="135">
        <f t="shared" si="12"/>
        <v>#VALUE!</v>
      </c>
      <c r="J102" s="39" t="e" vm="135">
        <f t="shared" si="13"/>
        <v>#VALUE!</v>
      </c>
      <c r="K102" s="54" t="e" vm="135">
        <f t="shared" si="14"/>
        <v>#VALUE!</v>
      </c>
      <c r="L102" s="20" t="e" vm="143">
        <f t="array" ref="L102">_FV(A102,"Market cap",TRUE)/10000000</f>
        <v>#VALUE!</v>
      </c>
      <c r="M102" s="21" t="e" vm="135">
        <f t="shared" si="15"/>
        <v>#VALUE!</v>
      </c>
      <c r="N102" t="s">
        <v>30</v>
      </c>
      <c r="O102" s="46" t="e" vm="48">
        <f t="array" ref="O102">_FV(A102,"Industry")</f>
        <v>#VALUE!</v>
      </c>
    </row>
    <row r="103" spans="1:15">
      <c r="A103" t="e">
        <v>#VALUE!</v>
      </c>
      <c r="B103" s="33" t="e" vm="142">
        <f t="array" ref="B103">_FV(A103,"Change (%)",TRUE)</f>
        <v>#VALUE!</v>
      </c>
      <c r="C103" s="35" t="e" vm="136">
        <f t="array" ref="C103">_FV(A103,"Previous close",TRUE)</f>
        <v>#VALUE!</v>
      </c>
      <c r="D103" s="35" t="e" vm="137">
        <f t="array" ref="D103">_FV(A103,"Price")</f>
        <v>#VALUE!</v>
      </c>
      <c r="E103" s="35" t="e" vm="138">
        <f t="array" ref="E103">_FV(A103,"Low")</f>
        <v>#VALUE!</v>
      </c>
      <c r="F103" s="35" t="e" vm="139">
        <f t="array" ref="F103">_FV(A103,"High")</f>
        <v>#VALUE!</v>
      </c>
      <c r="G103" s="35" t="e" vm="140">
        <f t="array" ref="G103">_FV(A103,"52 week low",TRUE)</f>
        <v>#VALUE!</v>
      </c>
      <c r="H103" s="36" t="e" vm="141">
        <f t="array" ref="H103">_FV(A103,"52 week high",TRUE)</f>
        <v>#VALUE!</v>
      </c>
      <c r="I103" s="40" t="e" vm="135">
        <f t="shared" si="12"/>
        <v>#VALUE!</v>
      </c>
      <c r="J103" s="39" t="e" vm="135">
        <f t="shared" si="13"/>
        <v>#VALUE!</v>
      </c>
      <c r="K103" s="54" t="e" vm="135">
        <f t="shared" si="14"/>
        <v>#VALUE!</v>
      </c>
      <c r="L103" s="20" t="e" vm="143">
        <f t="array" ref="L103">_FV(A103,"Market cap",TRUE)/10000000</f>
        <v>#VALUE!</v>
      </c>
      <c r="M103" s="21" t="e" vm="135">
        <f t="shared" si="15"/>
        <v>#VALUE!</v>
      </c>
      <c r="N103" t="s">
        <v>48</v>
      </c>
      <c r="O103" s="46" t="e" vm="48">
        <f t="array" ref="O103">_FV(A103,"Industry")</f>
        <v>#VALUE!</v>
      </c>
    </row>
    <row r="104" spans="1:15">
      <c r="A104" t="e">
        <v>#VALUE!</v>
      </c>
      <c r="B104" s="33" t="e" vm="142">
        <f t="array" ref="B104">_FV(A104,"Change (%)",TRUE)</f>
        <v>#VALUE!</v>
      </c>
      <c r="C104" s="35" t="e" vm="136">
        <f t="array" ref="C104">_FV(A104,"Previous close",TRUE)</f>
        <v>#VALUE!</v>
      </c>
      <c r="D104" s="35" t="e" vm="137">
        <f t="array" ref="D104">_FV(A104,"Price")</f>
        <v>#VALUE!</v>
      </c>
      <c r="E104" s="35" t="e" vm="138">
        <f t="array" ref="E104">_FV(A104,"Low")</f>
        <v>#VALUE!</v>
      </c>
      <c r="F104" s="35" t="e" vm="139">
        <f t="array" ref="F104">_FV(A104,"High")</f>
        <v>#VALUE!</v>
      </c>
      <c r="G104" s="35" t="e" vm="140">
        <f t="array" ref="G104">_FV(A104,"52 week low",TRUE)</f>
        <v>#VALUE!</v>
      </c>
      <c r="H104" s="36" t="e" vm="141">
        <f t="array" ref="H104">_FV(A104,"52 week high",TRUE)</f>
        <v>#VALUE!</v>
      </c>
      <c r="I104" s="40" t="e" vm="135">
        <f t="shared" si="12"/>
        <v>#VALUE!</v>
      </c>
      <c r="J104" s="39" t="e" vm="135">
        <f t="shared" si="13"/>
        <v>#VALUE!</v>
      </c>
      <c r="K104" s="54" t="e" vm="135">
        <f t="shared" si="14"/>
        <v>#VALUE!</v>
      </c>
      <c r="L104" s="20" t="e" vm="143">
        <f t="array" ref="L104">_FV(A104,"Market cap",TRUE)/10000000</f>
        <v>#VALUE!</v>
      </c>
      <c r="M104" s="21" t="e" vm="135">
        <f t="shared" si="15"/>
        <v>#VALUE!</v>
      </c>
      <c r="N104" t="s">
        <v>39</v>
      </c>
      <c r="O104" s="46" t="e" vm="48">
        <f t="array" ref="O104">_FV(A104,"Industry")</f>
        <v>#VALUE!</v>
      </c>
    </row>
    <row r="105" spans="1:15">
      <c r="A105" t="e">
        <v>#VALUE!</v>
      </c>
      <c r="B105" s="33" t="e" vm="142">
        <f t="array" ref="B105">_FV(A105,"Change (%)",TRUE)</f>
        <v>#VALUE!</v>
      </c>
      <c r="C105" s="35" t="e" vm="136">
        <f t="array" ref="C105">_FV(A105,"Previous close",TRUE)</f>
        <v>#VALUE!</v>
      </c>
      <c r="D105" s="35" t="e" vm="137">
        <f t="array" ref="D105">_FV(A105,"Price")</f>
        <v>#VALUE!</v>
      </c>
      <c r="E105" s="35" t="e" vm="138">
        <f t="array" ref="E105">_FV(A105,"Low")</f>
        <v>#VALUE!</v>
      </c>
      <c r="F105" s="35" t="e" vm="139">
        <f t="array" ref="F105">_FV(A105,"High")</f>
        <v>#VALUE!</v>
      </c>
      <c r="G105" s="35" t="e" vm="140">
        <f t="array" ref="G105">_FV(A105,"52 week low",TRUE)</f>
        <v>#VALUE!</v>
      </c>
      <c r="H105" s="36" t="e" vm="141">
        <f t="array" ref="H105">_FV(A105,"52 week high",TRUE)</f>
        <v>#VALUE!</v>
      </c>
      <c r="I105" s="40" t="e" vm="135">
        <f t="shared" si="12"/>
        <v>#VALUE!</v>
      </c>
      <c r="J105" s="39" t="e" vm="135">
        <f t="shared" si="13"/>
        <v>#VALUE!</v>
      </c>
      <c r="K105" s="54" t="e" vm="135">
        <f t="shared" si="14"/>
        <v>#VALUE!</v>
      </c>
      <c r="L105" s="20" t="e" vm="143">
        <f t="array" ref="L105">_FV(A105,"Market cap",TRUE)/10000000</f>
        <v>#VALUE!</v>
      </c>
      <c r="M105" s="21" t="e" vm="135">
        <f t="shared" si="15"/>
        <v>#VALUE!</v>
      </c>
      <c r="N105" t="s">
        <v>46</v>
      </c>
      <c r="O105" s="46" t="e" vm="48">
        <f t="array" ref="O105">_FV(A105,"Industry")</f>
        <v>#VALUE!</v>
      </c>
    </row>
    <row r="106" spans="1:15">
      <c r="A106" t="e">
        <v>#VALUE!</v>
      </c>
      <c r="B106" s="33" t="e" vm="142">
        <f t="array" ref="B106">_FV(A106,"Change (%)",TRUE)</f>
        <v>#VALUE!</v>
      </c>
      <c r="C106" s="35" t="e" vm="136">
        <f t="array" ref="C106">_FV(A106,"Previous close",TRUE)</f>
        <v>#VALUE!</v>
      </c>
      <c r="D106" s="35" t="e" vm="137">
        <f t="array" ref="D106">_FV(A106,"Price")</f>
        <v>#VALUE!</v>
      </c>
      <c r="E106" s="35" t="e" vm="138">
        <f t="array" ref="E106">_FV(A106,"Low")</f>
        <v>#VALUE!</v>
      </c>
      <c r="F106" s="35" t="e" vm="139">
        <f t="array" ref="F106">_FV(A106,"High")</f>
        <v>#VALUE!</v>
      </c>
      <c r="G106" s="35" t="e" vm="140">
        <f t="array" ref="G106">_FV(A106,"52 week low",TRUE)</f>
        <v>#VALUE!</v>
      </c>
      <c r="H106" s="36" t="e" vm="141">
        <f t="array" ref="H106">_FV(A106,"52 week high",TRUE)</f>
        <v>#VALUE!</v>
      </c>
      <c r="I106" s="40" t="e" vm="135">
        <f t="shared" si="12"/>
        <v>#VALUE!</v>
      </c>
      <c r="J106" s="39" t="e" vm="135">
        <f t="shared" si="13"/>
        <v>#VALUE!</v>
      </c>
      <c r="K106" s="54" t="e" vm="135">
        <f t="shared" si="14"/>
        <v>#VALUE!</v>
      </c>
      <c r="L106" s="20" t="e" vm="143">
        <f t="array" ref="L106">_FV(A106,"Market cap",TRUE)/10000000</f>
        <v>#VALUE!</v>
      </c>
      <c r="M106" s="21" t="e" vm="135">
        <f t="shared" si="15"/>
        <v>#VALUE!</v>
      </c>
      <c r="N106" t="s">
        <v>43</v>
      </c>
      <c r="O106" s="46" t="e" vm="48">
        <f t="array" ref="O106">_FV(A106,"Industry")</f>
        <v>#VALUE!</v>
      </c>
    </row>
    <row r="107" spans="1:15">
      <c r="A107" t="e">
        <v>#VALUE!</v>
      </c>
      <c r="B107" s="33" t="e" vm="142">
        <f t="array" ref="B107">_FV(A107,"Change (%)",TRUE)</f>
        <v>#VALUE!</v>
      </c>
      <c r="C107" s="35" t="e" vm="136">
        <f t="array" ref="C107">_FV(A107,"Previous close",TRUE)</f>
        <v>#VALUE!</v>
      </c>
      <c r="D107" s="35" t="e" vm="137">
        <f t="array" ref="D107">_FV(A107,"Price")</f>
        <v>#VALUE!</v>
      </c>
      <c r="E107" s="35" t="e" vm="138">
        <f t="array" ref="E107">_FV(A107,"Low")</f>
        <v>#VALUE!</v>
      </c>
      <c r="F107" s="35" t="e" vm="139">
        <f t="array" ref="F107">_FV(A107,"High")</f>
        <v>#VALUE!</v>
      </c>
      <c r="G107" s="35" t="e" vm="140">
        <f t="array" ref="G107">_FV(A107,"52 week low",TRUE)</f>
        <v>#VALUE!</v>
      </c>
      <c r="H107" s="36" t="e" vm="141">
        <f t="array" ref="H107">_FV(A107,"52 week high",TRUE)</f>
        <v>#VALUE!</v>
      </c>
      <c r="I107" s="40" t="e" vm="135">
        <f t="shared" si="12"/>
        <v>#VALUE!</v>
      </c>
      <c r="J107" s="39" t="e" vm="135">
        <f t="shared" si="13"/>
        <v>#VALUE!</v>
      </c>
      <c r="K107" s="54" t="e" vm="135">
        <f t="shared" si="14"/>
        <v>#VALUE!</v>
      </c>
      <c r="L107" s="20" t="e" vm="143">
        <f t="array" ref="L107">_FV(A107,"Market cap",TRUE)/10000000</f>
        <v>#VALUE!</v>
      </c>
      <c r="M107" s="21" t="e" vm="135">
        <f t="shared" si="15"/>
        <v>#VALUE!</v>
      </c>
      <c r="N107" t="s">
        <v>46</v>
      </c>
      <c r="O107" s="46" t="e" vm="48">
        <f t="array" ref="O107">_FV(A107,"Industry")</f>
        <v>#VALUE!</v>
      </c>
    </row>
    <row r="108" spans="1:15">
      <c r="A108" t="e">
        <v>#VALUE!</v>
      </c>
      <c r="B108" s="33" t="e" vm="142">
        <f t="array" ref="B108">_FV(A108,"Change (%)",TRUE)</f>
        <v>#VALUE!</v>
      </c>
      <c r="C108" s="35" t="e" vm="136">
        <f t="array" ref="C108">_FV(A108,"Previous close",TRUE)</f>
        <v>#VALUE!</v>
      </c>
      <c r="D108" s="35" t="e" vm="137">
        <f t="array" ref="D108">_FV(A108,"Price")</f>
        <v>#VALUE!</v>
      </c>
      <c r="E108" s="35" t="e" vm="138">
        <f t="array" ref="E108">_FV(A108,"Low")</f>
        <v>#VALUE!</v>
      </c>
      <c r="F108" s="35" t="e" vm="139">
        <f t="array" ref="F108">_FV(A108,"High")</f>
        <v>#VALUE!</v>
      </c>
      <c r="G108" s="35" t="e" vm="140">
        <f t="array" ref="G108">_FV(A108,"52 week low",TRUE)</f>
        <v>#VALUE!</v>
      </c>
      <c r="H108" s="36" t="e" vm="141">
        <f t="array" ref="H108">_FV(A108,"52 week high",TRUE)</f>
        <v>#VALUE!</v>
      </c>
      <c r="I108" s="40" t="e" vm="135">
        <f t="shared" si="12"/>
        <v>#VALUE!</v>
      </c>
      <c r="J108" s="39" t="e" vm="135">
        <f t="shared" si="13"/>
        <v>#VALUE!</v>
      </c>
      <c r="K108" s="54" t="e" vm="135">
        <f t="shared" si="14"/>
        <v>#VALUE!</v>
      </c>
      <c r="L108" s="20" t="e" vm="143">
        <f t="array" ref="L108">_FV(A108,"Market cap",TRUE)/10000000</f>
        <v>#VALUE!</v>
      </c>
      <c r="M108" s="21" t="e" vm="135">
        <f t="shared" si="15"/>
        <v>#VALUE!</v>
      </c>
      <c r="N108" t="s">
        <v>30</v>
      </c>
      <c r="O108" s="46" t="e" vm="48">
        <f t="array" ref="O108">_FV(A108,"Industry")</f>
        <v>#VALUE!</v>
      </c>
    </row>
    <row r="109" spans="1:15">
      <c r="A109" t="e">
        <v>#VALUE!</v>
      </c>
      <c r="B109" s="33" t="e" vm="142">
        <f t="array" ref="B109">_FV(A109,"Change (%)",TRUE)</f>
        <v>#VALUE!</v>
      </c>
      <c r="C109" s="35" t="e" vm="136">
        <f t="array" ref="C109">_FV(A109,"Previous close",TRUE)</f>
        <v>#VALUE!</v>
      </c>
      <c r="D109" s="35" t="e" vm="137">
        <f t="array" ref="D109">_FV(A109,"Price")</f>
        <v>#VALUE!</v>
      </c>
      <c r="E109" s="35" t="e" vm="138">
        <f t="array" ref="E109">_FV(A109,"Low")</f>
        <v>#VALUE!</v>
      </c>
      <c r="F109" s="35" t="e" vm="139">
        <f t="array" ref="F109">_FV(A109,"High")</f>
        <v>#VALUE!</v>
      </c>
      <c r="G109" s="35" t="e" vm="140">
        <f t="array" ref="G109">_FV(A109,"52 week low",TRUE)</f>
        <v>#VALUE!</v>
      </c>
      <c r="H109" s="36" t="e" vm="141">
        <f t="array" ref="H109">_FV(A109,"52 week high",TRUE)</f>
        <v>#VALUE!</v>
      </c>
      <c r="I109" s="40" t="e" vm="135">
        <f t="shared" si="12"/>
        <v>#VALUE!</v>
      </c>
      <c r="J109" s="39" t="e" vm="135">
        <f t="shared" si="13"/>
        <v>#VALUE!</v>
      </c>
      <c r="K109" s="54" t="e" vm="135">
        <f t="shared" si="14"/>
        <v>#VALUE!</v>
      </c>
      <c r="L109" s="20" t="e" vm="143">
        <f t="array" ref="L109">_FV(A109,"Market cap",TRUE)/10000000</f>
        <v>#VALUE!</v>
      </c>
      <c r="M109" s="21" t="e" vm="135">
        <f t="shared" si="15"/>
        <v>#VALUE!</v>
      </c>
      <c r="N109" t="s">
        <v>49</v>
      </c>
      <c r="O109" s="46" t="e" vm="48">
        <f t="array" ref="O109">_FV(A109,"Industry")</f>
        <v>#VALUE!</v>
      </c>
    </row>
    <row r="110" spans="1:15">
      <c r="A110" t="e">
        <v>#VALUE!</v>
      </c>
      <c r="B110" s="33" t="e" vm="142">
        <f t="array" ref="B110">_FV(A110,"Change (%)",TRUE)</f>
        <v>#VALUE!</v>
      </c>
      <c r="C110" s="35" t="e" vm="136">
        <f t="array" ref="C110">_FV(A110,"Previous close",TRUE)</f>
        <v>#VALUE!</v>
      </c>
      <c r="D110" s="35" t="e" vm="137">
        <f t="array" ref="D110">_FV(A110,"Price")</f>
        <v>#VALUE!</v>
      </c>
      <c r="E110" s="35" t="e" vm="138">
        <f t="array" ref="E110">_FV(A110,"Low")</f>
        <v>#VALUE!</v>
      </c>
      <c r="F110" s="35" t="e" vm="139">
        <f t="array" ref="F110">_FV(A110,"High")</f>
        <v>#VALUE!</v>
      </c>
      <c r="G110" s="35" t="e" vm="140">
        <f t="array" ref="G110">_FV(A110,"52 week low",TRUE)</f>
        <v>#VALUE!</v>
      </c>
      <c r="H110" s="36" t="e" vm="141">
        <f t="array" ref="H110">_FV(A110,"52 week high",TRUE)</f>
        <v>#VALUE!</v>
      </c>
      <c r="I110" s="40" t="e" vm="135">
        <f t="shared" si="12"/>
        <v>#VALUE!</v>
      </c>
      <c r="J110" s="39" t="e" vm="135">
        <f t="shared" si="13"/>
        <v>#VALUE!</v>
      </c>
      <c r="K110" s="54" t="e" vm="135">
        <f t="shared" si="14"/>
        <v>#VALUE!</v>
      </c>
      <c r="L110" s="20" t="e" vm="143">
        <f t="array" ref="L110">_FV(A110,"Market cap",TRUE)/10000000</f>
        <v>#VALUE!</v>
      </c>
      <c r="M110" s="21" t="e" vm="135">
        <f t="shared" si="15"/>
        <v>#VALUE!</v>
      </c>
      <c r="N110" t="s">
        <v>54</v>
      </c>
      <c r="O110" s="46" t="e" vm="48">
        <f t="array" ref="O110">_FV(A110,"Industry")</f>
        <v>#VALUE!</v>
      </c>
    </row>
    <row r="111" spans="1:15">
      <c r="A111" t="e">
        <v>#VALUE!</v>
      </c>
      <c r="B111" s="33" t="e" vm="142">
        <f t="array" ref="B111">_FV(A111,"Change (%)",TRUE)</f>
        <v>#VALUE!</v>
      </c>
      <c r="C111" s="35" t="e" vm="136">
        <f t="array" ref="C111">_FV(A111,"Previous close",TRUE)</f>
        <v>#VALUE!</v>
      </c>
      <c r="D111" s="35" t="e" vm="137">
        <f t="array" ref="D111">_FV(A111,"Price")</f>
        <v>#VALUE!</v>
      </c>
      <c r="E111" s="35" t="e" vm="138">
        <f t="array" ref="E111">_FV(A111,"Low")</f>
        <v>#VALUE!</v>
      </c>
      <c r="F111" s="35" t="e" vm="139">
        <f t="array" ref="F111">_FV(A111,"High")</f>
        <v>#VALUE!</v>
      </c>
      <c r="G111" s="35" t="e" vm="140">
        <f t="array" ref="G111">_FV(A111,"52 week low",TRUE)</f>
        <v>#VALUE!</v>
      </c>
      <c r="H111" s="36" t="e" vm="141">
        <f t="array" ref="H111">_FV(A111,"52 week high",TRUE)</f>
        <v>#VALUE!</v>
      </c>
      <c r="I111" s="40" t="e" vm="135">
        <f t="shared" si="12"/>
        <v>#VALUE!</v>
      </c>
      <c r="J111" s="39" t="e" vm="135">
        <f t="shared" si="13"/>
        <v>#VALUE!</v>
      </c>
      <c r="K111" s="54" t="e" vm="135">
        <f t="shared" si="14"/>
        <v>#VALUE!</v>
      </c>
      <c r="L111" s="20" t="e" vm="143">
        <f t="array" ref="L111">_FV(A111,"Market cap",TRUE)/10000000</f>
        <v>#VALUE!</v>
      </c>
      <c r="M111" s="21" t="e" vm="135">
        <f t="shared" si="15"/>
        <v>#VALUE!</v>
      </c>
      <c r="N111" t="s">
        <v>30</v>
      </c>
      <c r="O111" s="46" t="e" vm="48">
        <f t="array" ref="O111">_FV(A111,"Industry")</f>
        <v>#VALUE!</v>
      </c>
    </row>
    <row r="112" spans="1:15">
      <c r="A112" t="e">
        <v>#VALUE!</v>
      </c>
      <c r="B112" s="33" t="e" vm="142">
        <f t="array" ref="B112">_FV(A112,"Change (%)",TRUE)</f>
        <v>#VALUE!</v>
      </c>
      <c r="C112" s="35" t="e" vm="136">
        <f t="array" ref="C112">_FV(A112,"Previous close",TRUE)</f>
        <v>#VALUE!</v>
      </c>
      <c r="D112" s="35" t="e" vm="137">
        <f t="array" ref="D112">_FV(A112,"Price")</f>
        <v>#VALUE!</v>
      </c>
      <c r="E112" s="35" t="e" vm="138">
        <f t="array" ref="E112">_FV(A112,"Low")</f>
        <v>#VALUE!</v>
      </c>
      <c r="F112" s="35" t="e" vm="139">
        <f t="array" ref="F112">_FV(A112,"High")</f>
        <v>#VALUE!</v>
      </c>
      <c r="G112" s="35" t="e" vm="140">
        <f t="array" ref="G112">_FV(A112,"52 week low",TRUE)</f>
        <v>#VALUE!</v>
      </c>
      <c r="H112" s="36" t="e" vm="141">
        <f t="array" ref="H112">_FV(A112,"52 week high",TRUE)</f>
        <v>#VALUE!</v>
      </c>
      <c r="I112" s="40" t="e" vm="135">
        <f t="shared" si="12"/>
        <v>#VALUE!</v>
      </c>
      <c r="J112" s="39" t="e" vm="135">
        <f t="shared" si="13"/>
        <v>#VALUE!</v>
      </c>
      <c r="K112" s="54" t="e" vm="135">
        <f t="shared" si="14"/>
        <v>#VALUE!</v>
      </c>
      <c r="L112" s="20" t="e" vm="143">
        <f t="array" ref="L112">_FV(A112,"Market cap",TRUE)/10000000</f>
        <v>#VALUE!</v>
      </c>
      <c r="M112" s="21" t="e" vm="135">
        <f t="shared" si="15"/>
        <v>#VALUE!</v>
      </c>
      <c r="N112" t="s">
        <v>50</v>
      </c>
      <c r="O112" s="46" t="e" vm="48">
        <f t="array" ref="O112">_FV(A112,"Industry")</f>
        <v>#VALUE!</v>
      </c>
    </row>
    <row r="113" spans="1:15">
      <c r="A113" t="e">
        <v>#VALUE!</v>
      </c>
      <c r="B113" s="33" t="e" vm="142">
        <f t="array" ref="B113">_FV(A113,"Change (%)",TRUE)</f>
        <v>#VALUE!</v>
      </c>
      <c r="C113" s="35" t="e" vm="136">
        <f t="array" ref="C113">_FV(A113,"Previous close",TRUE)</f>
        <v>#VALUE!</v>
      </c>
      <c r="D113" s="35" t="e" vm="137">
        <f t="array" ref="D113">_FV(A113,"Price")</f>
        <v>#VALUE!</v>
      </c>
      <c r="E113" s="35" t="e" vm="138">
        <f t="array" ref="E113">_FV(A113,"Low")</f>
        <v>#VALUE!</v>
      </c>
      <c r="F113" s="35" t="e" vm="139">
        <f t="array" ref="F113">_FV(A113,"High")</f>
        <v>#VALUE!</v>
      </c>
      <c r="G113" s="35" t="e" vm="140">
        <f t="array" ref="G113">_FV(A113,"52 week low",TRUE)</f>
        <v>#VALUE!</v>
      </c>
      <c r="H113" s="36" t="e" vm="141">
        <f t="array" ref="H113">_FV(A113,"52 week high",TRUE)</f>
        <v>#VALUE!</v>
      </c>
      <c r="I113" s="40" t="e" vm="135">
        <f t="shared" si="12"/>
        <v>#VALUE!</v>
      </c>
      <c r="J113" s="39" t="e" vm="135">
        <f t="shared" si="13"/>
        <v>#VALUE!</v>
      </c>
      <c r="K113" s="54" t="e" vm="135">
        <f t="shared" si="14"/>
        <v>#VALUE!</v>
      </c>
      <c r="L113" s="20" t="e" vm="143">
        <f t="array" ref="L113">_FV(A113,"Market cap",TRUE)/10000000</f>
        <v>#VALUE!</v>
      </c>
      <c r="M113" s="21" t="e" vm="135">
        <f t="shared" si="15"/>
        <v>#VALUE!</v>
      </c>
      <c r="N113" t="s">
        <v>49</v>
      </c>
      <c r="O113" s="46" t="e" vm="48">
        <f t="array" ref="O113">_FV(A113,"Industry")</f>
        <v>#VALUE!</v>
      </c>
    </row>
    <row r="114" spans="1:15">
      <c r="A114" t="e">
        <v>#VALUE!</v>
      </c>
      <c r="B114" s="33" t="e" vm="142">
        <f t="array" ref="B114">_FV(A114,"Change (%)",TRUE)</f>
        <v>#VALUE!</v>
      </c>
      <c r="C114" s="35" t="e" vm="136">
        <f t="array" ref="C114">_FV(A114,"Previous close",TRUE)</f>
        <v>#VALUE!</v>
      </c>
      <c r="D114" s="35" t="e" vm="137">
        <f t="array" ref="D114">_FV(A114,"Price")</f>
        <v>#VALUE!</v>
      </c>
      <c r="E114" s="35" t="e" vm="138">
        <f t="array" ref="E114">_FV(A114,"Low")</f>
        <v>#VALUE!</v>
      </c>
      <c r="F114" s="35" t="e" vm="139">
        <f t="array" ref="F114">_FV(A114,"High")</f>
        <v>#VALUE!</v>
      </c>
      <c r="G114" s="35" t="e" vm="140">
        <f t="array" ref="G114">_FV(A114,"52 week low",TRUE)</f>
        <v>#VALUE!</v>
      </c>
      <c r="H114" s="36" t="e" vm="141">
        <f t="array" ref="H114">_FV(A114,"52 week high",TRUE)</f>
        <v>#VALUE!</v>
      </c>
      <c r="I114" s="40" t="e" vm="135">
        <f t="shared" si="12"/>
        <v>#VALUE!</v>
      </c>
      <c r="J114" s="39" t="e" vm="135">
        <f t="shared" si="13"/>
        <v>#VALUE!</v>
      </c>
      <c r="K114" s="54" t="e" vm="135">
        <f t="shared" si="14"/>
        <v>#VALUE!</v>
      </c>
      <c r="L114" s="20" t="e" vm="143">
        <f t="array" ref="L114">_FV(A114,"Market cap",TRUE)/10000000</f>
        <v>#VALUE!</v>
      </c>
      <c r="M114" s="21" t="e" vm="135">
        <f t="shared" si="15"/>
        <v>#VALUE!</v>
      </c>
      <c r="N114" t="s">
        <v>38</v>
      </c>
      <c r="O114" s="46" t="e" vm="48">
        <f t="array" ref="O114">_FV(A114,"Industry")</f>
        <v>#VALUE!</v>
      </c>
    </row>
    <row r="115" spans="1:15">
      <c r="A115" t="e">
        <v>#VALUE!</v>
      </c>
      <c r="B115" s="33" t="e" vm="142">
        <f t="array" ref="B115">_FV(A115,"Change (%)",TRUE)</f>
        <v>#VALUE!</v>
      </c>
      <c r="C115" s="35" t="e" vm="136">
        <f t="array" ref="C115">_FV(A115,"Previous close",TRUE)</f>
        <v>#VALUE!</v>
      </c>
      <c r="D115" s="35" t="e" vm="137">
        <f t="array" ref="D115">_FV(A115,"Price")</f>
        <v>#VALUE!</v>
      </c>
      <c r="E115" s="35" t="e" vm="138">
        <f t="array" ref="E115">_FV(A115,"Low")</f>
        <v>#VALUE!</v>
      </c>
      <c r="F115" s="35" t="e" vm="139">
        <f t="array" ref="F115">_FV(A115,"High")</f>
        <v>#VALUE!</v>
      </c>
      <c r="G115" s="35" t="e" vm="140">
        <f t="array" ref="G115">_FV(A115,"52 week low",TRUE)</f>
        <v>#VALUE!</v>
      </c>
      <c r="H115" s="36" t="e" vm="141">
        <f t="array" ref="H115">_FV(A115,"52 week high",TRUE)</f>
        <v>#VALUE!</v>
      </c>
      <c r="I115" s="40" t="e" vm="135">
        <f t="shared" si="12"/>
        <v>#VALUE!</v>
      </c>
      <c r="J115" s="39" t="e" vm="135">
        <f t="shared" si="13"/>
        <v>#VALUE!</v>
      </c>
      <c r="K115" s="54" t="e" vm="135">
        <f t="shared" si="14"/>
        <v>#VALUE!</v>
      </c>
      <c r="L115" s="20" t="e" vm="143">
        <f t="array" ref="L115">_FV(A115,"Market cap",TRUE)/10000000</f>
        <v>#VALUE!</v>
      </c>
      <c r="M115" s="21" t="e" vm="135">
        <f t="shared" si="15"/>
        <v>#VALUE!</v>
      </c>
      <c r="N115" t="s">
        <v>30</v>
      </c>
      <c r="O115" s="45" t="e" vm="48">
        <f t="array" ref="O115">_FV(A115,"Industry")</f>
        <v>#VALUE!</v>
      </c>
    </row>
    <row r="116" spans="1:15">
      <c r="A116" t="e">
        <v>#VALUE!</v>
      </c>
      <c r="B116" s="33" t="e" vm="142">
        <f t="array" ref="B116">_FV(A116,"Change (%)",TRUE)</f>
        <v>#VALUE!</v>
      </c>
      <c r="C116" s="35" t="e" vm="136">
        <f t="array" ref="C116">_FV(A116,"Previous close",TRUE)</f>
        <v>#VALUE!</v>
      </c>
      <c r="D116" s="35" t="e" vm="137">
        <f t="array" ref="D116">_FV(A116,"Price")</f>
        <v>#VALUE!</v>
      </c>
      <c r="E116" s="35" t="e" vm="138">
        <f t="array" ref="E116">_FV(A116,"Low")</f>
        <v>#VALUE!</v>
      </c>
      <c r="F116" s="35" t="e" vm="139">
        <f t="array" ref="F116">_FV(A116,"High")</f>
        <v>#VALUE!</v>
      </c>
      <c r="G116" s="35" t="e" vm="140">
        <f t="array" ref="G116">_FV(A116,"52 week low",TRUE)</f>
        <v>#VALUE!</v>
      </c>
      <c r="H116" s="36" t="e" vm="141">
        <f t="array" ref="H116">_FV(A116,"52 week high",TRUE)</f>
        <v>#VALUE!</v>
      </c>
      <c r="I116" s="40" t="e" vm="135">
        <f t="shared" si="12"/>
        <v>#VALUE!</v>
      </c>
      <c r="J116" s="39" t="e" vm="135">
        <f t="shared" si="13"/>
        <v>#VALUE!</v>
      </c>
      <c r="K116" s="54" t="e" vm="135">
        <f t="shared" si="14"/>
        <v>#VALUE!</v>
      </c>
      <c r="L116" s="20" t="e" vm="143">
        <f t="array" ref="L116">_FV(A116,"Market cap",TRUE)/10000000</f>
        <v>#VALUE!</v>
      </c>
      <c r="M116" s="21" t="e" vm="135">
        <f t="shared" si="15"/>
        <v>#VALUE!</v>
      </c>
      <c r="N116" t="s">
        <v>30</v>
      </c>
      <c r="O116" s="45" t="e" vm="48">
        <f t="array" ref="O116">_FV(A116,"Industry")</f>
        <v>#VALUE!</v>
      </c>
    </row>
    <row r="117" spans="1:15">
      <c r="A117" t="e">
        <v>#VALUE!</v>
      </c>
      <c r="B117" s="33" t="e" vm="142">
        <f t="array" ref="B117">_FV(A117,"Change (%)",TRUE)</f>
        <v>#VALUE!</v>
      </c>
      <c r="C117" s="35" t="e" vm="136">
        <f t="array" ref="C117">_FV(A117,"Previous close",TRUE)</f>
        <v>#VALUE!</v>
      </c>
      <c r="D117" s="35" t="e" vm="137">
        <f t="array" ref="D117">_FV(A117,"Price")</f>
        <v>#VALUE!</v>
      </c>
      <c r="E117" s="35" t="e" vm="138">
        <f t="array" ref="E117">_FV(A117,"Low")</f>
        <v>#VALUE!</v>
      </c>
      <c r="F117" s="35" t="e" vm="139">
        <f t="array" ref="F117">_FV(A117,"High")</f>
        <v>#VALUE!</v>
      </c>
      <c r="G117" s="35" t="e" vm="140">
        <f t="array" ref="G117">_FV(A117,"52 week low",TRUE)</f>
        <v>#VALUE!</v>
      </c>
      <c r="H117" s="36" t="e" vm="141">
        <f t="array" ref="H117">_FV(A117,"52 week high",TRUE)</f>
        <v>#VALUE!</v>
      </c>
      <c r="I117" s="40" t="e" vm="135">
        <f t="shared" si="12"/>
        <v>#VALUE!</v>
      </c>
      <c r="J117" s="39" t="e" vm="135">
        <f t="shared" si="13"/>
        <v>#VALUE!</v>
      </c>
      <c r="K117" s="54" t="e" vm="135">
        <f t="shared" si="14"/>
        <v>#VALUE!</v>
      </c>
      <c r="L117" s="20" t="e" vm="143">
        <f t="array" ref="L117">_FV(A117,"Market cap",TRUE)/10000000</f>
        <v>#VALUE!</v>
      </c>
      <c r="M117" s="21" t="e" vm="135">
        <f t="shared" si="15"/>
        <v>#VALUE!</v>
      </c>
      <c r="N117" t="s">
        <v>46</v>
      </c>
      <c r="O117" s="46" t="e" vm="48">
        <f t="array" ref="O117">_FV(A117,"Industry")</f>
        <v>#VALUE!</v>
      </c>
    </row>
    <row r="118" spans="1:15">
      <c r="A118" t="e">
        <v>#VALUE!</v>
      </c>
      <c r="B118" s="33" t="e" vm="142">
        <f t="array" ref="B118">_FV(A118,"Change (%)",TRUE)</f>
        <v>#VALUE!</v>
      </c>
      <c r="C118" s="35" t="e" vm="136">
        <f t="array" ref="C118">_FV(A118,"Previous close",TRUE)</f>
        <v>#VALUE!</v>
      </c>
      <c r="D118" s="35" t="e" vm="137">
        <f t="array" ref="D118">_FV(A118,"Price")</f>
        <v>#VALUE!</v>
      </c>
      <c r="E118" s="35" t="e" vm="138">
        <f t="array" ref="E118">_FV(A118,"Low")</f>
        <v>#VALUE!</v>
      </c>
      <c r="F118" s="35" t="e" vm="139">
        <f t="array" ref="F118">_FV(A118,"High")</f>
        <v>#VALUE!</v>
      </c>
      <c r="G118" s="35" t="e" vm="140">
        <f t="array" ref="G118">_FV(A118,"52 week low",TRUE)</f>
        <v>#VALUE!</v>
      </c>
      <c r="H118" s="36" t="e" vm="141">
        <f t="array" ref="H118">_FV(A118,"52 week high",TRUE)</f>
        <v>#VALUE!</v>
      </c>
      <c r="I118" s="40" t="e" vm="135">
        <f t="shared" si="12"/>
        <v>#VALUE!</v>
      </c>
      <c r="J118" s="39" t="e" vm="135">
        <f t="shared" si="13"/>
        <v>#VALUE!</v>
      </c>
      <c r="K118" s="54" t="e" vm="135">
        <f t="shared" si="14"/>
        <v>#VALUE!</v>
      </c>
      <c r="L118" s="20" t="e" vm="143">
        <f t="array" ref="L118">_FV(A118,"Market cap",TRUE)/10000000</f>
        <v>#VALUE!</v>
      </c>
      <c r="M118" s="21" t="e" vm="135">
        <f t="shared" si="15"/>
        <v>#VALUE!</v>
      </c>
      <c r="N118" t="s">
        <v>50</v>
      </c>
      <c r="O118" s="46" t="e" vm="48">
        <f t="array" ref="O118">_FV(A118,"Industry")</f>
        <v>#VALUE!</v>
      </c>
    </row>
    <row r="119" spans="1:15">
      <c r="A119" t="e">
        <v>#VALUE!</v>
      </c>
      <c r="B119" s="33" t="e" vm="142">
        <f t="array" ref="B119">_FV(A119,"Change (%)",TRUE)</f>
        <v>#VALUE!</v>
      </c>
      <c r="C119" s="35" t="e" vm="136">
        <f t="array" ref="C119">_FV(A119,"Previous close",TRUE)</f>
        <v>#VALUE!</v>
      </c>
      <c r="D119" s="35" t="e" vm="137">
        <f t="array" ref="D119">_FV(A119,"Price")</f>
        <v>#VALUE!</v>
      </c>
      <c r="E119" s="35" t="e" vm="138">
        <f t="array" ref="E119">_FV(A119,"Low")</f>
        <v>#VALUE!</v>
      </c>
      <c r="F119" s="35" t="e" vm="139">
        <f t="array" ref="F119">_FV(A119,"High")</f>
        <v>#VALUE!</v>
      </c>
      <c r="G119" s="35" t="e" vm="140">
        <f t="array" ref="G119">_FV(A119,"52 week low",TRUE)</f>
        <v>#VALUE!</v>
      </c>
      <c r="H119" s="36" t="e" vm="141">
        <f t="array" ref="H119">_FV(A119,"52 week high",TRUE)</f>
        <v>#VALUE!</v>
      </c>
      <c r="I119" s="40" t="e" vm="135">
        <f t="shared" si="12"/>
        <v>#VALUE!</v>
      </c>
      <c r="J119" s="39" t="e" vm="135">
        <f t="shared" si="13"/>
        <v>#VALUE!</v>
      </c>
      <c r="K119" s="54" t="e" vm="135">
        <f t="shared" si="14"/>
        <v>#VALUE!</v>
      </c>
      <c r="L119" s="20" t="e" vm="143">
        <f t="array" ref="L119">_FV(A119,"Market cap",TRUE)/10000000</f>
        <v>#VALUE!</v>
      </c>
      <c r="M119" s="21" t="e" vm="135">
        <f t="shared" si="15"/>
        <v>#VALUE!</v>
      </c>
      <c r="N119" t="s">
        <v>51</v>
      </c>
      <c r="O119" s="46" t="e" vm="48">
        <f t="array" ref="O119">_FV(A119,"Industry")</f>
        <v>#VALUE!</v>
      </c>
    </row>
    <row r="120" spans="1:15">
      <c r="A120" t="e">
        <v>#VALUE!</v>
      </c>
      <c r="B120" s="33" t="e" vm="142">
        <f t="array" ref="B120">_FV(A120,"Change (%)",TRUE)</f>
        <v>#VALUE!</v>
      </c>
      <c r="C120" s="35" t="e" vm="136">
        <f t="array" ref="C120">_FV(A120,"Previous close",TRUE)</f>
        <v>#VALUE!</v>
      </c>
      <c r="D120" s="35" t="e" vm="137">
        <f t="array" ref="D120">_FV(A120,"Price")</f>
        <v>#VALUE!</v>
      </c>
      <c r="E120" s="35" t="e" vm="138">
        <f t="array" ref="E120">_FV(A120,"Low")</f>
        <v>#VALUE!</v>
      </c>
      <c r="F120" s="35" t="e" vm="139">
        <f t="array" ref="F120">_FV(A120,"High")</f>
        <v>#VALUE!</v>
      </c>
      <c r="G120" s="35" t="e" vm="140">
        <f t="array" ref="G120">_FV(A120,"52 week low",TRUE)</f>
        <v>#VALUE!</v>
      </c>
      <c r="H120" s="36" t="e" vm="141">
        <f t="array" ref="H120">_FV(A120,"52 week high",TRUE)</f>
        <v>#VALUE!</v>
      </c>
      <c r="I120" s="40" t="e" vm="135">
        <f t="shared" si="12"/>
        <v>#VALUE!</v>
      </c>
      <c r="J120" s="39" t="e" vm="135">
        <f t="shared" si="13"/>
        <v>#VALUE!</v>
      </c>
      <c r="K120" s="54" t="e" vm="135">
        <f t="shared" si="14"/>
        <v>#VALUE!</v>
      </c>
      <c r="L120" s="20" t="e" vm="143">
        <f t="array" ref="L120">_FV(A120,"Market cap",TRUE)/10000000</f>
        <v>#VALUE!</v>
      </c>
      <c r="M120" s="21" t="e" vm="135">
        <f t="shared" si="15"/>
        <v>#VALUE!</v>
      </c>
      <c r="N120" t="s">
        <v>42</v>
      </c>
      <c r="O120" s="46" t="e" vm="48">
        <f t="array" ref="O120">_FV(A120,"Industry")</f>
        <v>#VALUE!</v>
      </c>
    </row>
    <row r="121" spans="1:15">
      <c r="A121" t="e">
        <v>#VALUE!</v>
      </c>
      <c r="B121" s="33" t="e" vm="142">
        <f t="array" ref="B121">_FV(A121,"Change (%)",TRUE)</f>
        <v>#VALUE!</v>
      </c>
      <c r="C121" s="35" t="e" vm="136">
        <f t="array" ref="C121">_FV(A121,"Previous close",TRUE)</f>
        <v>#VALUE!</v>
      </c>
      <c r="D121" s="35" t="e" vm="137">
        <f t="array" ref="D121">_FV(A121,"Price")</f>
        <v>#VALUE!</v>
      </c>
      <c r="E121" s="35" t="e" vm="138">
        <f t="array" ref="E121">_FV(A121,"Low")</f>
        <v>#VALUE!</v>
      </c>
      <c r="F121" s="35" t="e" vm="139">
        <f t="array" ref="F121">_FV(A121,"High")</f>
        <v>#VALUE!</v>
      </c>
      <c r="G121" s="35" t="e" vm="140">
        <f t="array" ref="G121">_FV(A121,"52 week low",TRUE)</f>
        <v>#VALUE!</v>
      </c>
      <c r="H121" s="36" t="e" vm="141">
        <f t="array" ref="H121">_FV(A121,"52 week high",TRUE)</f>
        <v>#VALUE!</v>
      </c>
      <c r="I121" s="40" t="e" vm="135">
        <f t="shared" si="12"/>
        <v>#VALUE!</v>
      </c>
      <c r="J121" s="39" t="e" vm="135">
        <f t="shared" si="13"/>
        <v>#VALUE!</v>
      </c>
      <c r="K121" s="54" t="e" vm="135">
        <f t="shared" si="14"/>
        <v>#VALUE!</v>
      </c>
      <c r="L121" s="20" t="e" vm="143">
        <f t="array" ref="L121">_FV(A121,"Market cap",TRUE)/10000000</f>
        <v>#VALUE!</v>
      </c>
      <c r="M121" s="21" t="e" vm="135">
        <f t="shared" si="15"/>
        <v>#VALUE!</v>
      </c>
      <c r="N121" t="s">
        <v>44</v>
      </c>
      <c r="O121" s="46" t="e" vm="48">
        <f t="array" ref="O121">_FV(A121,"Industry")</f>
        <v>#VALUE!</v>
      </c>
    </row>
    <row r="122" spans="1:15">
      <c r="A122" t="e">
        <v>#VALUE!</v>
      </c>
      <c r="B122" s="33" t="e" vm="142">
        <f t="array" ref="B122">_FV(A122,"Change (%)",TRUE)</f>
        <v>#VALUE!</v>
      </c>
      <c r="C122" s="35" t="e" vm="136">
        <f t="array" ref="C122">_FV(A122,"Previous close",TRUE)</f>
        <v>#VALUE!</v>
      </c>
      <c r="D122" s="35" t="e" vm="137">
        <f t="array" ref="D122">_FV(A122,"Price")</f>
        <v>#VALUE!</v>
      </c>
      <c r="E122" s="35" t="e" vm="138">
        <f t="array" ref="E122">_FV(A122,"Low")</f>
        <v>#VALUE!</v>
      </c>
      <c r="F122" s="35" t="e" vm="139">
        <f t="array" ref="F122">_FV(A122,"High")</f>
        <v>#VALUE!</v>
      </c>
      <c r="G122" s="35" t="e" vm="140">
        <f t="array" ref="G122">_FV(A122,"52 week low",TRUE)</f>
        <v>#VALUE!</v>
      </c>
      <c r="H122" s="36" t="e" vm="141">
        <f t="array" ref="H122">_FV(A122,"52 week high",TRUE)</f>
        <v>#VALUE!</v>
      </c>
      <c r="I122" s="40" t="e" vm="135">
        <f t="shared" si="12"/>
        <v>#VALUE!</v>
      </c>
      <c r="J122" s="39" t="e" vm="135">
        <f t="shared" si="13"/>
        <v>#VALUE!</v>
      </c>
      <c r="K122" s="54" t="e" vm="135">
        <f t="shared" si="14"/>
        <v>#VALUE!</v>
      </c>
      <c r="L122" s="20" t="e" vm="143">
        <f t="array" ref="L122">_FV(A122,"Market cap",TRUE)/10000000</f>
        <v>#VALUE!</v>
      </c>
      <c r="M122" s="21" t="e" vm="135">
        <f t="shared" si="15"/>
        <v>#VALUE!</v>
      </c>
      <c r="N122" t="s">
        <v>30</v>
      </c>
      <c r="O122" s="46" t="e" vm="48">
        <f t="array" ref="O122">_FV(A122,"Industry")</f>
        <v>#VALUE!</v>
      </c>
    </row>
    <row r="123" spans="1:15">
      <c r="A123" t="e">
        <v>#VALUE!</v>
      </c>
      <c r="B123" s="33" t="e" vm="142">
        <f t="array" ref="B123">_FV(A123,"Change (%)",TRUE)</f>
        <v>#VALUE!</v>
      </c>
      <c r="C123" s="35" t="e" vm="136">
        <f t="array" ref="C123">_FV(A123,"Previous close",TRUE)</f>
        <v>#VALUE!</v>
      </c>
      <c r="D123" s="35" t="e" vm="137">
        <f t="array" ref="D123">_FV(A123,"Price")</f>
        <v>#VALUE!</v>
      </c>
      <c r="E123" s="35" t="e" vm="138">
        <f t="array" ref="E123">_FV(A123,"Low")</f>
        <v>#VALUE!</v>
      </c>
      <c r="F123" s="35" t="e" vm="139">
        <f t="array" ref="F123">_FV(A123,"High")</f>
        <v>#VALUE!</v>
      </c>
      <c r="G123" s="35" t="e" vm="140">
        <f t="array" ref="G123">_FV(A123,"52 week low",TRUE)</f>
        <v>#VALUE!</v>
      </c>
      <c r="H123" s="36" t="e" vm="141">
        <f t="array" ref="H123">_FV(A123,"52 week high",TRUE)</f>
        <v>#VALUE!</v>
      </c>
      <c r="I123" s="40" t="e" vm="135">
        <f t="shared" si="12"/>
        <v>#VALUE!</v>
      </c>
      <c r="J123" s="39" t="e" vm="135">
        <f t="shared" si="13"/>
        <v>#VALUE!</v>
      </c>
      <c r="K123" s="54" t="e" vm="135">
        <f t="shared" si="14"/>
        <v>#VALUE!</v>
      </c>
      <c r="L123" s="20" t="e" vm="143">
        <f t="array" ref="L123">_FV(A123,"Market cap",TRUE)/10000000</f>
        <v>#VALUE!</v>
      </c>
      <c r="M123" s="21" t="e" vm="135">
        <f t="shared" si="15"/>
        <v>#VALUE!</v>
      </c>
      <c r="N123" t="s">
        <v>42</v>
      </c>
      <c r="O123" s="46" t="e" vm="48">
        <f t="array" ref="O123">_FV(A123,"Industry")</f>
        <v>#VALUE!</v>
      </c>
    </row>
    <row r="124" spans="1:15">
      <c r="A124" t="e">
        <v>#VALUE!</v>
      </c>
      <c r="B124" s="33" t="e" vm="142">
        <f t="array" ref="B124">_FV(A124,"Change (%)",TRUE)</f>
        <v>#VALUE!</v>
      </c>
      <c r="C124" s="35" t="e" vm="136">
        <f t="array" ref="C124">_FV(A124,"Previous close",TRUE)</f>
        <v>#VALUE!</v>
      </c>
      <c r="D124" s="35" t="e" vm="137">
        <f t="array" ref="D124">_FV(A124,"Price")</f>
        <v>#VALUE!</v>
      </c>
      <c r="E124" s="35" t="e" vm="138">
        <f t="array" ref="E124">_FV(A124,"Low")</f>
        <v>#VALUE!</v>
      </c>
      <c r="F124" s="35" t="e" vm="139">
        <f t="array" ref="F124">_FV(A124,"High")</f>
        <v>#VALUE!</v>
      </c>
      <c r="G124" s="35" t="e" vm="140">
        <f t="array" ref="G124">_FV(A124,"52 week low",TRUE)</f>
        <v>#VALUE!</v>
      </c>
      <c r="H124" s="36" t="e" vm="141">
        <f t="array" ref="H124">_FV(A124,"52 week high",TRUE)</f>
        <v>#VALUE!</v>
      </c>
      <c r="I124" s="40" t="e" vm="135">
        <f t="shared" si="12"/>
        <v>#VALUE!</v>
      </c>
      <c r="J124" s="39" t="e" vm="135">
        <f t="shared" si="13"/>
        <v>#VALUE!</v>
      </c>
      <c r="K124" s="54" t="e" vm="135">
        <f t="shared" si="14"/>
        <v>#VALUE!</v>
      </c>
      <c r="L124" s="20" t="e" vm="143">
        <f t="array" ref="L124">_FV(A124,"Market cap",TRUE)/10000000</f>
        <v>#VALUE!</v>
      </c>
      <c r="M124" s="21" t="e" vm="135">
        <f t="shared" si="15"/>
        <v>#VALUE!</v>
      </c>
      <c r="N124" t="s">
        <v>30</v>
      </c>
      <c r="O124" s="45" t="e" vm="48">
        <f t="array" ref="O124">_FV(A124,"Industry")</f>
        <v>#VALUE!</v>
      </c>
    </row>
    <row r="125" spans="1:15">
      <c r="A125" t="e">
        <v>#VALUE!</v>
      </c>
      <c r="B125" s="33" t="e" vm="142">
        <f t="array" ref="B125">_FV(A125,"Change (%)",TRUE)</f>
        <v>#VALUE!</v>
      </c>
      <c r="C125" s="35" t="e" vm="136">
        <f t="array" ref="C125">_FV(A125,"Previous close",TRUE)</f>
        <v>#VALUE!</v>
      </c>
      <c r="D125" s="35" t="e" vm="137">
        <f t="array" ref="D125">_FV(A125,"Price")</f>
        <v>#VALUE!</v>
      </c>
      <c r="E125" s="35" t="e" vm="138">
        <f t="array" ref="E125">_FV(A125,"Low")</f>
        <v>#VALUE!</v>
      </c>
      <c r="F125" s="35" t="e" vm="139">
        <f t="array" ref="F125">_FV(A125,"High")</f>
        <v>#VALUE!</v>
      </c>
      <c r="G125" s="35" t="e" vm="140">
        <f t="array" ref="G125">_FV(A125,"52 week low",TRUE)</f>
        <v>#VALUE!</v>
      </c>
      <c r="H125" s="36" t="e" vm="141">
        <f t="array" ref="H125">_FV(A125,"52 week high",TRUE)</f>
        <v>#VALUE!</v>
      </c>
      <c r="I125" s="40" t="e" vm="135">
        <f t="shared" si="12"/>
        <v>#VALUE!</v>
      </c>
      <c r="J125" s="39" t="e" vm="135">
        <f t="shared" si="13"/>
        <v>#VALUE!</v>
      </c>
      <c r="K125" s="54" t="e" vm="135">
        <f t="shared" si="14"/>
        <v>#VALUE!</v>
      </c>
      <c r="L125" s="20" t="e" vm="143">
        <f t="array" ref="L125">_FV(A125,"Market cap",TRUE)/10000000</f>
        <v>#VALUE!</v>
      </c>
      <c r="M125" s="21" t="e" vm="135">
        <f t="shared" si="15"/>
        <v>#VALUE!</v>
      </c>
      <c r="N125" t="s">
        <v>30</v>
      </c>
      <c r="O125" s="46" t="e" vm="48">
        <f t="array" ref="O125">_FV(A125,"Industry")</f>
        <v>#VALUE!</v>
      </c>
    </row>
    <row r="126" spans="1:15">
      <c r="A126" t="e">
        <v>#VALUE!</v>
      </c>
      <c r="B126" s="33" t="e" vm="142">
        <f t="array" ref="B126">_FV(A126,"Change (%)",TRUE)</f>
        <v>#VALUE!</v>
      </c>
      <c r="C126" s="35" t="e" vm="136">
        <f t="array" ref="C126">_FV(A126,"Previous close",TRUE)</f>
        <v>#VALUE!</v>
      </c>
      <c r="D126" s="35" t="e" vm="137">
        <f t="array" ref="D126">_FV(A126,"Price")</f>
        <v>#VALUE!</v>
      </c>
      <c r="E126" s="35" t="e" vm="138">
        <f t="array" ref="E126">_FV(A126,"Low")</f>
        <v>#VALUE!</v>
      </c>
      <c r="F126" s="35" t="e" vm="139">
        <f t="array" ref="F126">_FV(A126,"High")</f>
        <v>#VALUE!</v>
      </c>
      <c r="G126" s="35" t="e" vm="140">
        <f t="array" ref="G126">_FV(A126,"52 week low",TRUE)</f>
        <v>#VALUE!</v>
      </c>
      <c r="H126" s="36" t="e" vm="141">
        <f t="array" ref="H126">_FV(A126,"52 week high",TRUE)</f>
        <v>#VALUE!</v>
      </c>
      <c r="I126" s="40" t="e" vm="135">
        <f t="shared" si="12"/>
        <v>#VALUE!</v>
      </c>
      <c r="J126" s="39" t="e" vm="135">
        <f t="shared" si="13"/>
        <v>#VALUE!</v>
      </c>
      <c r="K126" s="54" t="e" vm="135">
        <f t="shared" si="14"/>
        <v>#VALUE!</v>
      </c>
      <c r="L126" s="20" t="e" vm="143">
        <f t="array" ref="L126">_FV(A126,"Market cap",TRUE)/10000000</f>
        <v>#VALUE!</v>
      </c>
      <c r="M126" s="21" t="e" vm="135">
        <f t="shared" si="15"/>
        <v>#VALUE!</v>
      </c>
      <c r="N126" t="s">
        <v>51</v>
      </c>
      <c r="O126" s="46" t="e" vm="48">
        <f t="array" ref="O126">_FV(A126,"Industry")</f>
        <v>#VALUE!</v>
      </c>
    </row>
    <row r="127" spans="1:15">
      <c r="A127" t="e">
        <v>#VALUE!</v>
      </c>
      <c r="B127" s="33" t="e" vm="142">
        <f t="array" ref="B127">_FV(A127,"Change (%)",TRUE)</f>
        <v>#VALUE!</v>
      </c>
      <c r="C127" s="35" t="e" vm="136">
        <f t="array" ref="C127">_FV(A127,"Previous close",TRUE)</f>
        <v>#VALUE!</v>
      </c>
      <c r="D127" s="35" t="e" vm="137">
        <f t="array" ref="D127">_FV(A127,"Price")</f>
        <v>#VALUE!</v>
      </c>
      <c r="E127" s="35" t="e" vm="138">
        <f t="array" ref="E127">_FV(A127,"Low")</f>
        <v>#VALUE!</v>
      </c>
      <c r="F127" s="35" t="e" vm="139">
        <f t="array" ref="F127">_FV(A127,"High")</f>
        <v>#VALUE!</v>
      </c>
      <c r="G127" s="35" t="e" vm="140">
        <f t="array" ref="G127">_FV(A127,"52 week low",TRUE)</f>
        <v>#VALUE!</v>
      </c>
      <c r="H127" s="36" t="e" vm="141">
        <f t="array" ref="H127">_FV(A127,"52 week high",TRUE)</f>
        <v>#VALUE!</v>
      </c>
      <c r="I127" s="40" t="e" vm="135">
        <f t="shared" si="12"/>
        <v>#VALUE!</v>
      </c>
      <c r="J127" s="39" t="e" vm="135">
        <f t="shared" si="13"/>
        <v>#VALUE!</v>
      </c>
      <c r="K127" s="54" t="e" vm="135">
        <f t="shared" si="14"/>
        <v>#VALUE!</v>
      </c>
      <c r="L127" s="20" t="e" vm="143">
        <f t="array" ref="L127">_FV(A127,"Market cap",TRUE)/10000000</f>
        <v>#VALUE!</v>
      </c>
      <c r="M127" s="21" t="e" vm="135">
        <f t="shared" si="15"/>
        <v>#VALUE!</v>
      </c>
      <c r="N127" t="s">
        <v>50</v>
      </c>
      <c r="O127" s="46" t="e" vm="48">
        <f t="array" ref="O127">_FV(A127,"Industry")</f>
        <v>#VALUE!</v>
      </c>
    </row>
    <row r="128" spans="1:15">
      <c r="A128" t="e">
        <v>#VALUE!</v>
      </c>
      <c r="B128" s="33" t="e" vm="142">
        <f t="array" ref="B128">_FV(A128,"Change (%)",TRUE)</f>
        <v>#VALUE!</v>
      </c>
      <c r="C128" s="35" t="e" vm="136">
        <f t="array" ref="C128">_FV(A128,"Previous close",TRUE)</f>
        <v>#VALUE!</v>
      </c>
      <c r="D128" s="35" t="e" vm="137">
        <f t="array" ref="D128">_FV(A128,"Price")</f>
        <v>#VALUE!</v>
      </c>
      <c r="E128" s="35" t="e" vm="138">
        <f t="array" ref="E128">_FV(A128,"Low")</f>
        <v>#VALUE!</v>
      </c>
      <c r="F128" s="35" t="e" vm="139">
        <f t="array" ref="F128">_FV(A128,"High")</f>
        <v>#VALUE!</v>
      </c>
      <c r="G128" s="35" t="e" vm="140">
        <f t="array" ref="G128">_FV(A128,"52 week low",TRUE)</f>
        <v>#VALUE!</v>
      </c>
      <c r="H128" s="36" t="e" vm="141">
        <f t="array" ref="H128">_FV(A128,"52 week high",TRUE)</f>
        <v>#VALUE!</v>
      </c>
      <c r="I128" s="40" t="e" vm="135">
        <f t="shared" si="12"/>
        <v>#VALUE!</v>
      </c>
      <c r="J128" s="39" t="e" vm="135">
        <f t="shared" si="13"/>
        <v>#VALUE!</v>
      </c>
      <c r="K128" s="54" t="e" vm="135">
        <f t="shared" si="14"/>
        <v>#VALUE!</v>
      </c>
      <c r="L128" s="20" t="e" vm="143">
        <f t="array" ref="L128">_FV(A128,"Market cap",TRUE)/10000000</f>
        <v>#VALUE!</v>
      </c>
      <c r="M128" s="21" t="e" vm="135">
        <f t="shared" si="15"/>
        <v>#VALUE!</v>
      </c>
      <c r="N128" t="s">
        <v>38</v>
      </c>
      <c r="O128" s="45" t="e" vm="48">
        <f t="array" ref="O128">_FV(A128,"Industry")</f>
        <v>#VALUE!</v>
      </c>
    </row>
    <row r="129" spans="1:15">
      <c r="A129" t="e">
        <v>#VALUE!</v>
      </c>
      <c r="B129" s="33" t="e" vm="142">
        <f t="array" ref="B129">_FV(A129,"Change (%)",TRUE)</f>
        <v>#VALUE!</v>
      </c>
      <c r="C129" s="35" t="e" vm="136">
        <f t="array" ref="C129">_FV(A129,"Previous close",TRUE)</f>
        <v>#VALUE!</v>
      </c>
      <c r="D129" s="35" t="e" vm="137">
        <f t="array" ref="D129">_FV(A129,"Price")</f>
        <v>#VALUE!</v>
      </c>
      <c r="E129" s="35" t="e" vm="138">
        <f t="array" ref="E129">_FV(A129,"Low")</f>
        <v>#VALUE!</v>
      </c>
      <c r="F129" s="35" t="e" vm="139">
        <f t="array" ref="F129">_FV(A129,"High")</f>
        <v>#VALUE!</v>
      </c>
      <c r="G129" s="35" t="e" vm="140">
        <f t="array" ref="G129">_FV(A129,"52 week low",TRUE)</f>
        <v>#VALUE!</v>
      </c>
      <c r="H129" s="36" t="e" vm="141">
        <f t="array" ref="H129">_FV(A129,"52 week high",TRUE)</f>
        <v>#VALUE!</v>
      </c>
      <c r="I129" s="40" t="e" vm="135">
        <f t="shared" si="12"/>
        <v>#VALUE!</v>
      </c>
      <c r="J129" s="39" t="e" vm="135">
        <f t="shared" si="13"/>
        <v>#VALUE!</v>
      </c>
      <c r="K129" s="54" t="e" vm="135">
        <f t="shared" si="14"/>
        <v>#VALUE!</v>
      </c>
      <c r="L129" s="20" t="e" vm="143">
        <f t="array" ref="L129">_FV(A129,"Market cap",TRUE)/10000000</f>
        <v>#VALUE!</v>
      </c>
      <c r="M129" s="21" t="e" vm="135">
        <f t="shared" si="15"/>
        <v>#VALUE!</v>
      </c>
      <c r="N129" t="s">
        <v>38</v>
      </c>
      <c r="O129" s="46" t="e" vm="48">
        <f t="array" ref="O129">_FV(A129,"Industry")</f>
        <v>#VALUE!</v>
      </c>
    </row>
    <row r="130" spans="1:15">
      <c r="A130" t="e">
        <v>#VALUE!</v>
      </c>
      <c r="B130" s="33" t="e" vm="142">
        <f t="array" ref="B130">_FV(A130,"Change (%)",TRUE)</f>
        <v>#VALUE!</v>
      </c>
      <c r="C130" s="35" t="e" vm="136">
        <f t="array" ref="C130">_FV(A130,"Previous close",TRUE)</f>
        <v>#VALUE!</v>
      </c>
      <c r="D130" s="35" t="e" vm="137">
        <f t="array" ref="D130">_FV(A130,"Price")</f>
        <v>#VALUE!</v>
      </c>
      <c r="E130" s="35" t="e" vm="138">
        <f t="array" ref="E130">_FV(A130,"Low")</f>
        <v>#VALUE!</v>
      </c>
      <c r="F130" s="35" t="e" vm="139">
        <f t="array" ref="F130">_FV(A130,"High")</f>
        <v>#VALUE!</v>
      </c>
      <c r="G130" s="35" t="e" vm="140">
        <f t="array" ref="G130">_FV(A130,"52 week low",TRUE)</f>
        <v>#VALUE!</v>
      </c>
      <c r="H130" s="36" t="e" vm="141">
        <f t="array" ref="H130">_FV(A130,"52 week high",TRUE)</f>
        <v>#VALUE!</v>
      </c>
      <c r="I130" s="40" t="e" vm="135">
        <f t="shared" ref="I130:I161" si="16">(H130-D130)*100/H130</f>
        <v>#VALUE!</v>
      </c>
      <c r="J130" s="39" t="e" vm="135">
        <f t="shared" ref="J130:J161" si="17">IF(AND(M130="HLC", I130&gt;12), "SURE HLC BUY",IF(AND(M130="HLC", I130&gt;7), "FIRST HLC BUY",IF(AND(M130="LC", I130&gt;20), "SURE LC BUY",IF(AND(M130="LC", I130&gt;10), "LC BUY",IF(AND(M130="HMC", I130&gt;30), "SURE HMC BUY",IF(AND(M130="HMC", I130&gt;20), "HMC BUY",IF(AND(M130="HMC", I130&gt;15), "FIRST HMC BUY",IF(AND(M130="MC", I130&gt;40), "SURE MC BUY",IF(AND(M130="MC", I130&gt;30), "MC BUY",IF(AND(M130="MC", I130&gt;20), "FIRST MC BUY",IF(AND(M130="HSC", I130&gt;60), "SURE HSC BUY",IF(AND(M130="HSC", I130&gt;50), "HSC BUY",IF(AND(M130="HSC", I130&gt;40), "FIRST HSC BUY",IF(AND(M130="SC", I130&gt;70), "SURE SC BUY",IF(AND(M130="SC", I130&gt;60), "SC BUY",IF(AND(M130="SC", I130&gt;50), "FIRST SC BUY",IF(AND(M130="VSC", I130&gt;80), "SURE VSC BUY",IF(AND(M130="VSC", I130&gt;70), "VSC BUY",IF(AND(M130="VSC", I130&gt;60), "FIRST VSC BUY","WATCH")))))))))))))))))))</f>
        <v>#VALUE!</v>
      </c>
      <c r="K130" s="54" t="e" vm="135">
        <f t="shared" ref="K130:K161" si="18">(G130-D130)*100/G130</f>
        <v>#VALUE!</v>
      </c>
      <c r="L130" s="20" t="e" vm="143">
        <f t="array" ref="L130">_FV(A130,"Market cap",TRUE)/10000000</f>
        <v>#VALUE!</v>
      </c>
      <c r="M130" s="21" t="e" vm="135">
        <f t="shared" ref="M130:M161" si="19">IF(L130&gt;500000,"HLC",IF(L130 &gt;100000,"LC",IF(L130 &gt;40000,"HMC",IF(L130 &gt;10000,"MC",IF(L130 &gt;=5000,"HSC",IF(L130 &gt;1000,"SC","VSC"))))))</f>
        <v>#VALUE!</v>
      </c>
      <c r="N130" t="s">
        <v>30</v>
      </c>
      <c r="O130" s="46" t="e" vm="48">
        <f t="array" ref="O130">_FV(A130,"Industry")</f>
        <v>#VALUE!</v>
      </c>
    </row>
    <row r="131" spans="1:15">
      <c r="A131" t="e">
        <v>#VALUE!</v>
      </c>
      <c r="B131" s="33" t="e" vm="142">
        <f t="array" ref="B131">_FV(A131,"Change (%)",TRUE)</f>
        <v>#VALUE!</v>
      </c>
      <c r="C131" s="35" t="e" vm="136">
        <f t="array" ref="C131">_FV(A131,"Previous close",TRUE)</f>
        <v>#VALUE!</v>
      </c>
      <c r="D131" s="35" t="e" vm="137">
        <f t="array" ref="D131">_FV(A131,"Price")</f>
        <v>#VALUE!</v>
      </c>
      <c r="E131" s="35" t="e" vm="138">
        <f t="array" ref="E131">_FV(A131,"Low")</f>
        <v>#VALUE!</v>
      </c>
      <c r="F131" s="35" t="e" vm="139">
        <f t="array" ref="F131">_FV(A131,"High")</f>
        <v>#VALUE!</v>
      </c>
      <c r="G131" s="35" t="e" vm="140">
        <f t="array" ref="G131">_FV(A131,"52 week low",TRUE)</f>
        <v>#VALUE!</v>
      </c>
      <c r="H131" s="36" t="e" vm="141">
        <f t="array" ref="H131">_FV(A131,"52 week high",TRUE)</f>
        <v>#VALUE!</v>
      </c>
      <c r="I131" s="40" t="e" vm="135">
        <f t="shared" si="16"/>
        <v>#VALUE!</v>
      </c>
      <c r="J131" s="39" t="e" vm="135">
        <f t="shared" si="17"/>
        <v>#VALUE!</v>
      </c>
      <c r="K131" s="54" t="e" vm="135">
        <f t="shared" si="18"/>
        <v>#VALUE!</v>
      </c>
      <c r="L131" s="20" t="e" vm="143">
        <f t="array" ref="L131">_FV(A131,"Market cap",TRUE)/10000000</f>
        <v>#VALUE!</v>
      </c>
      <c r="M131" s="21" t="e" vm="135">
        <f t="shared" si="19"/>
        <v>#VALUE!</v>
      </c>
      <c r="N131" t="s">
        <v>30</v>
      </c>
      <c r="O131" s="46" t="e" vm="48">
        <f t="array" ref="O131">_FV(A131,"Industry")</f>
        <v>#VALUE!</v>
      </c>
    </row>
    <row r="132" spans="1:15">
      <c r="A132" t="e">
        <v>#VALUE!</v>
      </c>
      <c r="B132" s="33" t="e" vm="142">
        <f t="array" ref="B132">_FV(A132,"Change (%)",TRUE)</f>
        <v>#VALUE!</v>
      </c>
      <c r="C132" s="35" t="e" vm="136">
        <f t="array" ref="C132">_FV(A132,"Previous close",TRUE)</f>
        <v>#VALUE!</v>
      </c>
      <c r="D132" s="35" t="e" vm="137">
        <f t="array" ref="D132">_FV(A132,"Price")</f>
        <v>#VALUE!</v>
      </c>
      <c r="E132" s="35" t="e" vm="138">
        <f t="array" ref="E132">_FV(A132,"Low")</f>
        <v>#VALUE!</v>
      </c>
      <c r="F132" s="35" t="e" vm="139">
        <f t="array" ref="F132">_FV(A132,"High")</f>
        <v>#VALUE!</v>
      </c>
      <c r="G132" s="35" t="e" vm="140">
        <f t="array" ref="G132">_FV(A132,"52 week low",TRUE)</f>
        <v>#VALUE!</v>
      </c>
      <c r="H132" s="36" t="e" vm="141">
        <f t="array" ref="H132">_FV(A132,"52 week high",TRUE)</f>
        <v>#VALUE!</v>
      </c>
      <c r="I132" s="40" t="e" vm="135">
        <f t="shared" si="16"/>
        <v>#VALUE!</v>
      </c>
      <c r="J132" s="39" t="e" vm="135">
        <f t="shared" si="17"/>
        <v>#VALUE!</v>
      </c>
      <c r="K132" s="54" t="e" vm="135">
        <f t="shared" si="18"/>
        <v>#VALUE!</v>
      </c>
      <c r="L132" s="20" t="e" vm="143">
        <f t="array" ref="L132">_FV(A132,"Market cap",TRUE)/10000000</f>
        <v>#VALUE!</v>
      </c>
      <c r="M132" s="21" t="e" vm="135">
        <f t="shared" si="19"/>
        <v>#VALUE!</v>
      </c>
      <c r="N132" t="s">
        <v>30</v>
      </c>
      <c r="O132" s="46" t="e" vm="48">
        <f t="array" ref="O132">_FV(A132,"Industry")</f>
        <v>#VALUE!</v>
      </c>
    </row>
    <row r="133" spans="1:15">
      <c r="A133" t="e">
        <v>#VALUE!</v>
      </c>
      <c r="B133" s="33" t="e" vm="142">
        <f t="array" ref="B133">_FV(A133,"Change (%)",TRUE)</f>
        <v>#VALUE!</v>
      </c>
      <c r="C133" s="35" t="e" vm="136">
        <f t="array" ref="C133">_FV(A133,"Previous close",TRUE)</f>
        <v>#VALUE!</v>
      </c>
      <c r="D133" s="35" t="e" vm="137">
        <f t="array" ref="D133">_FV(A133,"Price")</f>
        <v>#VALUE!</v>
      </c>
      <c r="E133" s="35" t="e" vm="138">
        <f t="array" ref="E133">_FV(A133,"Low")</f>
        <v>#VALUE!</v>
      </c>
      <c r="F133" s="35" t="e" vm="139">
        <f t="array" ref="F133">_FV(A133,"High")</f>
        <v>#VALUE!</v>
      </c>
      <c r="G133" s="35" t="e" vm="140">
        <f t="array" ref="G133">_FV(A133,"52 week low",TRUE)</f>
        <v>#VALUE!</v>
      </c>
      <c r="H133" s="36" t="e" vm="141">
        <f t="array" ref="H133">_FV(A133,"52 week high",TRUE)</f>
        <v>#VALUE!</v>
      </c>
      <c r="I133" s="40" t="e" vm="135">
        <f t="shared" si="16"/>
        <v>#VALUE!</v>
      </c>
      <c r="J133" s="39" t="e" vm="135">
        <f t="shared" si="17"/>
        <v>#VALUE!</v>
      </c>
      <c r="K133" s="54" t="e" vm="135">
        <f t="shared" si="18"/>
        <v>#VALUE!</v>
      </c>
      <c r="L133" s="20" t="e" vm="143">
        <f t="array" ref="L133">_FV(A133,"Market cap",TRUE)/10000000</f>
        <v>#VALUE!</v>
      </c>
      <c r="M133" s="21" t="e" vm="135">
        <f t="shared" si="19"/>
        <v>#VALUE!</v>
      </c>
      <c r="N133" t="s">
        <v>46</v>
      </c>
      <c r="O133" s="46" t="e" vm="48">
        <f t="array" ref="O133">_FV(A133,"Industry")</f>
        <v>#VALUE!</v>
      </c>
    </row>
    <row r="134" spans="1:15">
      <c r="A134" t="e">
        <v>#VALUE!</v>
      </c>
      <c r="B134" s="33" t="e" vm="142">
        <f t="array" ref="B134">_FV(A134,"Change (%)",TRUE)</f>
        <v>#VALUE!</v>
      </c>
      <c r="C134" s="35" t="e" vm="136">
        <f t="array" ref="C134">_FV(A134,"Previous close",TRUE)</f>
        <v>#VALUE!</v>
      </c>
      <c r="D134" s="35" t="e" vm="137">
        <f t="array" ref="D134">_FV(A134,"Price")</f>
        <v>#VALUE!</v>
      </c>
      <c r="E134" s="35" t="e" vm="138">
        <f t="array" ref="E134">_FV(A134,"Low")</f>
        <v>#VALUE!</v>
      </c>
      <c r="F134" s="35" t="e" vm="139">
        <f t="array" ref="F134">_FV(A134,"High")</f>
        <v>#VALUE!</v>
      </c>
      <c r="G134" s="35" t="e" vm="140">
        <f t="array" ref="G134">_FV(A134,"52 week low",TRUE)</f>
        <v>#VALUE!</v>
      </c>
      <c r="H134" s="36" t="e" vm="141">
        <f t="array" ref="H134">_FV(A134,"52 week high",TRUE)</f>
        <v>#VALUE!</v>
      </c>
      <c r="I134" s="40" t="e" vm="135">
        <f t="shared" si="16"/>
        <v>#VALUE!</v>
      </c>
      <c r="J134" s="39" t="e" vm="135">
        <f t="shared" si="17"/>
        <v>#VALUE!</v>
      </c>
      <c r="K134" s="54" t="e" vm="135">
        <f t="shared" si="18"/>
        <v>#VALUE!</v>
      </c>
      <c r="L134" s="20" t="e" vm="143">
        <f t="array" ref="L134">_FV(A134,"Market cap",TRUE)/10000000</f>
        <v>#VALUE!</v>
      </c>
      <c r="M134" s="21" t="e" vm="135">
        <f t="shared" si="19"/>
        <v>#VALUE!</v>
      </c>
      <c r="N134" t="s">
        <v>41</v>
      </c>
      <c r="O134" s="46" t="e" vm="48">
        <f t="array" ref="O134">_FV(A134,"Industry")</f>
        <v>#VALUE!</v>
      </c>
    </row>
    <row r="135" spans="1:15">
      <c r="A135" t="e">
        <v>#VALUE!</v>
      </c>
      <c r="B135" s="33" t="e" vm="142">
        <f t="array" ref="B135">_FV(A135,"Change (%)",TRUE)</f>
        <v>#VALUE!</v>
      </c>
      <c r="C135" s="35" t="e" vm="136">
        <f t="array" ref="C135">_FV(A135,"Previous close",TRUE)</f>
        <v>#VALUE!</v>
      </c>
      <c r="D135" s="35" t="e" vm="137">
        <f t="array" ref="D135">_FV(A135,"Price")</f>
        <v>#VALUE!</v>
      </c>
      <c r="E135" s="35" t="e" vm="138">
        <f t="array" ref="E135">_FV(A135,"Low")</f>
        <v>#VALUE!</v>
      </c>
      <c r="F135" s="35" t="e" vm="139">
        <f t="array" ref="F135">_FV(A135,"High")</f>
        <v>#VALUE!</v>
      </c>
      <c r="G135" s="35" t="e" vm="140">
        <f t="array" ref="G135">_FV(A135,"52 week low",TRUE)</f>
        <v>#VALUE!</v>
      </c>
      <c r="H135" s="36" t="e" vm="141">
        <f t="array" ref="H135">_FV(A135,"52 week high",TRUE)</f>
        <v>#VALUE!</v>
      </c>
      <c r="I135" s="40" t="e" vm="135">
        <f t="shared" si="16"/>
        <v>#VALUE!</v>
      </c>
      <c r="J135" s="39" t="e" vm="135">
        <f t="shared" si="17"/>
        <v>#VALUE!</v>
      </c>
      <c r="K135" s="54" t="e" vm="135">
        <f t="shared" si="18"/>
        <v>#VALUE!</v>
      </c>
      <c r="L135" s="20" t="e" vm="143">
        <f t="array" ref="L135">_FV(A135,"Market cap",TRUE)/10000000</f>
        <v>#VALUE!</v>
      </c>
      <c r="M135" s="21" t="e" vm="135">
        <f t="shared" si="19"/>
        <v>#VALUE!</v>
      </c>
      <c r="N135" t="s">
        <v>30</v>
      </c>
      <c r="O135" s="46" t="e" vm="48">
        <f t="array" ref="O135">_FV(A135,"Industry")</f>
        <v>#VALUE!</v>
      </c>
    </row>
    <row r="136" spans="1:15">
      <c r="A136" t="e">
        <v>#VALUE!</v>
      </c>
      <c r="B136" s="33" t="e" vm="142">
        <f t="array" ref="B136">_FV(A136,"Change (%)",TRUE)</f>
        <v>#VALUE!</v>
      </c>
      <c r="C136" s="35" t="e" vm="136">
        <f t="array" ref="C136">_FV(A136,"Previous close",TRUE)</f>
        <v>#VALUE!</v>
      </c>
      <c r="D136" s="35" t="e" vm="137">
        <f t="array" ref="D136">_FV(A136,"Price")</f>
        <v>#VALUE!</v>
      </c>
      <c r="E136" s="35" t="e" vm="138">
        <f t="array" ref="E136">_FV(A136,"Low")</f>
        <v>#VALUE!</v>
      </c>
      <c r="F136" s="35" t="e" vm="139">
        <f t="array" ref="F136">_FV(A136,"High")</f>
        <v>#VALUE!</v>
      </c>
      <c r="G136" s="35" t="e" vm="140">
        <f t="array" ref="G136">_FV(A136,"52 week low",TRUE)</f>
        <v>#VALUE!</v>
      </c>
      <c r="H136" s="36" t="e" vm="141">
        <f t="array" ref="H136">_FV(A136,"52 week high",TRUE)</f>
        <v>#VALUE!</v>
      </c>
      <c r="I136" s="40" t="e" vm="135">
        <f t="shared" si="16"/>
        <v>#VALUE!</v>
      </c>
      <c r="J136" s="39" t="e" vm="135">
        <f t="shared" si="17"/>
        <v>#VALUE!</v>
      </c>
      <c r="K136" s="54" t="e" vm="135">
        <f t="shared" si="18"/>
        <v>#VALUE!</v>
      </c>
      <c r="L136" s="20" t="e" vm="143">
        <f t="array" ref="L136">_FV(A136,"Market cap",TRUE)/10000000</f>
        <v>#VALUE!</v>
      </c>
      <c r="M136" s="21" t="e" vm="135">
        <f t="shared" si="19"/>
        <v>#VALUE!</v>
      </c>
      <c r="N136" t="s">
        <v>46</v>
      </c>
      <c r="O136" s="46" t="e" vm="48">
        <f t="array" ref="O136">_FV(A136,"Industry")</f>
        <v>#VALUE!</v>
      </c>
    </row>
    <row r="137" spans="1:15">
      <c r="A137" t="e">
        <v>#VALUE!</v>
      </c>
      <c r="B137" s="33" t="e" vm="142">
        <f t="array" ref="B137">_FV(A137,"Change (%)",TRUE)</f>
        <v>#VALUE!</v>
      </c>
      <c r="C137" s="35" t="e" vm="136">
        <f t="array" ref="C137">_FV(A137,"Previous close",TRUE)</f>
        <v>#VALUE!</v>
      </c>
      <c r="D137" s="35" t="e" vm="137">
        <f t="array" ref="D137">_FV(A137,"Price")</f>
        <v>#VALUE!</v>
      </c>
      <c r="E137" s="35" t="e" vm="138">
        <f t="array" ref="E137">_FV(A137,"Low")</f>
        <v>#VALUE!</v>
      </c>
      <c r="F137" s="35" t="e" vm="139">
        <f t="array" ref="F137">_FV(A137,"High")</f>
        <v>#VALUE!</v>
      </c>
      <c r="G137" s="35" t="e" vm="140">
        <f t="array" ref="G137">_FV(A137,"52 week low",TRUE)</f>
        <v>#VALUE!</v>
      </c>
      <c r="H137" s="36" t="e" vm="141">
        <f t="array" ref="H137">_FV(A137,"52 week high",TRUE)</f>
        <v>#VALUE!</v>
      </c>
      <c r="I137" s="40" t="e" vm="135">
        <f t="shared" si="16"/>
        <v>#VALUE!</v>
      </c>
      <c r="J137" s="39" t="e" vm="135">
        <f t="shared" si="17"/>
        <v>#VALUE!</v>
      </c>
      <c r="K137" s="54" t="e" vm="135">
        <f t="shared" si="18"/>
        <v>#VALUE!</v>
      </c>
      <c r="L137" s="20" t="e" vm="143">
        <f t="array" ref="L137">_FV(A137,"Market cap",TRUE)/10000000</f>
        <v>#VALUE!</v>
      </c>
      <c r="M137" s="21" t="e" vm="135">
        <f t="shared" si="19"/>
        <v>#VALUE!</v>
      </c>
      <c r="N137" t="s">
        <v>38</v>
      </c>
      <c r="O137" s="46" t="e" vm="48">
        <f t="array" ref="O137">_FV(A137,"Industry")</f>
        <v>#VALUE!</v>
      </c>
    </row>
    <row r="138" spans="1:15">
      <c r="A138" t="e">
        <v>#VALUE!</v>
      </c>
      <c r="B138" s="33" t="e" vm="142">
        <f t="array" ref="B138">_FV(A138,"Change (%)",TRUE)</f>
        <v>#VALUE!</v>
      </c>
      <c r="C138" s="35" t="e" vm="136">
        <f t="array" ref="C138">_FV(A138,"Previous close",TRUE)</f>
        <v>#VALUE!</v>
      </c>
      <c r="D138" s="35" t="e" vm="137">
        <f t="array" ref="D138">_FV(A138,"Price")</f>
        <v>#VALUE!</v>
      </c>
      <c r="E138" s="35" t="e" vm="138">
        <f t="array" ref="E138">_FV(A138,"Low")</f>
        <v>#VALUE!</v>
      </c>
      <c r="F138" s="35" t="e" vm="139">
        <f t="array" ref="F138">_FV(A138,"High")</f>
        <v>#VALUE!</v>
      </c>
      <c r="G138" s="35" t="e" vm="140">
        <f t="array" ref="G138">_FV(A138,"52 week low",TRUE)</f>
        <v>#VALUE!</v>
      </c>
      <c r="H138" s="36" t="e" vm="141">
        <f t="array" ref="H138">_FV(A138,"52 week high",TRUE)</f>
        <v>#VALUE!</v>
      </c>
      <c r="I138" s="40" t="e" vm="135">
        <f t="shared" si="16"/>
        <v>#VALUE!</v>
      </c>
      <c r="J138" s="39" t="e" vm="135">
        <f t="shared" si="17"/>
        <v>#VALUE!</v>
      </c>
      <c r="K138" s="54" t="e" vm="135">
        <f t="shared" si="18"/>
        <v>#VALUE!</v>
      </c>
      <c r="L138" s="20" t="e" vm="143">
        <f t="array" ref="L138">_FV(A138,"Market cap",TRUE)/10000000</f>
        <v>#VALUE!</v>
      </c>
      <c r="M138" s="21" t="e" vm="135">
        <f t="shared" si="19"/>
        <v>#VALUE!</v>
      </c>
      <c r="N138" t="s">
        <v>30</v>
      </c>
      <c r="O138" s="46" t="e" vm="48">
        <f t="array" ref="O138">_FV(A138,"Industry")</f>
        <v>#VALUE!</v>
      </c>
    </row>
    <row r="139" spans="1:15">
      <c r="A139" t="e">
        <v>#VALUE!</v>
      </c>
      <c r="B139" s="33" t="e" vm="142">
        <f t="array" ref="B139">_FV(A139,"Change (%)",TRUE)</f>
        <v>#VALUE!</v>
      </c>
      <c r="C139" s="35" t="e" vm="136">
        <f t="array" ref="C139">_FV(A139,"Previous close",TRUE)</f>
        <v>#VALUE!</v>
      </c>
      <c r="D139" s="35" t="e" vm="137">
        <f t="array" ref="D139">_FV(A139,"Price")</f>
        <v>#VALUE!</v>
      </c>
      <c r="E139" s="35" t="e" vm="138">
        <f t="array" ref="E139">_FV(A139,"Low")</f>
        <v>#VALUE!</v>
      </c>
      <c r="F139" s="35" t="e" vm="139">
        <f t="array" ref="F139">_FV(A139,"High")</f>
        <v>#VALUE!</v>
      </c>
      <c r="G139" s="35" t="e" vm="140">
        <f t="array" ref="G139">_FV(A139,"52 week low",TRUE)</f>
        <v>#VALUE!</v>
      </c>
      <c r="H139" s="36" t="e" vm="141">
        <f t="array" ref="H139">_FV(A139,"52 week high",TRUE)</f>
        <v>#VALUE!</v>
      </c>
      <c r="I139" s="40" t="e" vm="135">
        <f t="shared" si="16"/>
        <v>#VALUE!</v>
      </c>
      <c r="J139" s="39" t="e" vm="135">
        <f t="shared" si="17"/>
        <v>#VALUE!</v>
      </c>
      <c r="K139" s="54" t="e" vm="135">
        <f t="shared" si="18"/>
        <v>#VALUE!</v>
      </c>
      <c r="L139" s="20" t="e" vm="143">
        <f t="array" ref="L139">_FV(A139,"Market cap",TRUE)/10000000</f>
        <v>#VALUE!</v>
      </c>
      <c r="M139" s="21" t="e" vm="135">
        <f t="shared" si="19"/>
        <v>#VALUE!</v>
      </c>
      <c r="N139" t="s">
        <v>40</v>
      </c>
      <c r="O139" s="46" t="e" vm="48">
        <f t="array" ref="O139">_FV(A139,"Industry")</f>
        <v>#VALUE!</v>
      </c>
    </row>
    <row r="140" spans="1:15">
      <c r="A140" t="e">
        <v>#VALUE!</v>
      </c>
      <c r="B140" s="33" t="e" vm="142">
        <f t="array" ref="B140">_FV(A140,"Change (%)",TRUE)</f>
        <v>#VALUE!</v>
      </c>
      <c r="C140" s="35" t="e" vm="136">
        <f t="array" ref="C140">_FV(A140,"Previous close",TRUE)</f>
        <v>#VALUE!</v>
      </c>
      <c r="D140" s="35" t="e" vm="137">
        <f t="array" ref="D140">_FV(A140,"Price")</f>
        <v>#VALUE!</v>
      </c>
      <c r="E140" s="35" t="e" vm="138">
        <f t="array" ref="E140">_FV(A140,"Low")</f>
        <v>#VALUE!</v>
      </c>
      <c r="F140" s="35" t="e" vm="139">
        <f t="array" ref="F140">_FV(A140,"High")</f>
        <v>#VALUE!</v>
      </c>
      <c r="G140" s="35" t="e" vm="140">
        <f t="array" ref="G140">_FV(A140,"52 week low",TRUE)</f>
        <v>#VALUE!</v>
      </c>
      <c r="H140" s="36" t="e" vm="141">
        <f t="array" ref="H140">_FV(A140,"52 week high",TRUE)</f>
        <v>#VALUE!</v>
      </c>
      <c r="I140" s="40" t="e" vm="135">
        <f t="shared" si="16"/>
        <v>#VALUE!</v>
      </c>
      <c r="J140" s="39" t="e" vm="135">
        <f t="shared" si="17"/>
        <v>#VALUE!</v>
      </c>
      <c r="K140" s="54" t="e" vm="135">
        <f t="shared" si="18"/>
        <v>#VALUE!</v>
      </c>
      <c r="L140" s="20" t="e" vm="143">
        <f t="array" ref="L140">_FV(A140,"Market cap",TRUE)/10000000</f>
        <v>#VALUE!</v>
      </c>
      <c r="M140" s="21" t="e" vm="135">
        <f t="shared" si="19"/>
        <v>#VALUE!</v>
      </c>
      <c r="N140" t="s">
        <v>51</v>
      </c>
      <c r="O140" s="46" t="e" vm="48">
        <f t="array" ref="O140">_FV(A140,"Industry")</f>
        <v>#VALUE!</v>
      </c>
    </row>
    <row r="141" spans="1:15">
      <c r="A141" t="e">
        <v>#VALUE!</v>
      </c>
      <c r="B141" s="33" t="e" vm="142">
        <f t="array" ref="B141">_FV(A141,"Change (%)",TRUE)</f>
        <v>#VALUE!</v>
      </c>
      <c r="C141" s="35" t="e" vm="136">
        <f t="array" ref="C141">_FV(A141,"Previous close",TRUE)</f>
        <v>#VALUE!</v>
      </c>
      <c r="D141" s="35" t="e" vm="137">
        <f t="array" ref="D141">_FV(A141,"Price")</f>
        <v>#VALUE!</v>
      </c>
      <c r="E141" s="35" t="e" vm="138">
        <f t="array" ref="E141">_FV(A141,"Low")</f>
        <v>#VALUE!</v>
      </c>
      <c r="F141" s="35" t="e" vm="139">
        <f t="array" ref="F141">_FV(A141,"High")</f>
        <v>#VALUE!</v>
      </c>
      <c r="G141" s="35" t="e" vm="140">
        <f t="array" ref="G141">_FV(A141,"52 week low",TRUE)</f>
        <v>#VALUE!</v>
      </c>
      <c r="H141" s="36" t="e" vm="141">
        <f t="array" ref="H141">_FV(A141,"52 week high",TRUE)</f>
        <v>#VALUE!</v>
      </c>
      <c r="I141" s="40" t="e" vm="135">
        <f t="shared" si="16"/>
        <v>#VALUE!</v>
      </c>
      <c r="J141" s="39" t="e" vm="135">
        <f t="shared" si="17"/>
        <v>#VALUE!</v>
      </c>
      <c r="K141" s="54" t="e" vm="135">
        <f t="shared" si="18"/>
        <v>#VALUE!</v>
      </c>
      <c r="L141" s="20" t="e" vm="143">
        <f t="array" ref="L141">_FV(A141,"Market cap",TRUE)/10000000</f>
        <v>#VALUE!</v>
      </c>
      <c r="M141" s="21" t="e" vm="135">
        <f t="shared" si="19"/>
        <v>#VALUE!</v>
      </c>
      <c r="N141" t="s">
        <v>30</v>
      </c>
      <c r="O141" s="46" t="e" vm="48">
        <f t="array" ref="O141">_FV(A141,"Industry")</f>
        <v>#VALUE!</v>
      </c>
    </row>
    <row r="142" spans="1:15">
      <c r="A142" t="e">
        <v>#VALUE!</v>
      </c>
      <c r="B142" s="33" t="e" vm="142">
        <f t="array" ref="B142">_FV(A142,"Change (%)",TRUE)</f>
        <v>#VALUE!</v>
      </c>
      <c r="C142" s="35" t="e" vm="136">
        <f t="array" ref="C142">_FV(A142,"Previous close",TRUE)</f>
        <v>#VALUE!</v>
      </c>
      <c r="D142" s="35" t="e" vm="137">
        <f t="array" ref="D142">_FV(A142,"Price")</f>
        <v>#VALUE!</v>
      </c>
      <c r="E142" s="35" t="e" vm="138">
        <f t="array" ref="E142">_FV(A142,"Low")</f>
        <v>#VALUE!</v>
      </c>
      <c r="F142" s="35" t="e" vm="139">
        <f t="array" ref="F142">_FV(A142,"High")</f>
        <v>#VALUE!</v>
      </c>
      <c r="G142" s="35" t="e" vm="140">
        <f t="array" ref="G142">_FV(A142,"52 week low",TRUE)</f>
        <v>#VALUE!</v>
      </c>
      <c r="H142" s="36" t="e" vm="141">
        <f t="array" ref="H142">_FV(A142,"52 week high",TRUE)</f>
        <v>#VALUE!</v>
      </c>
      <c r="I142" s="40" t="e" vm="135">
        <f t="shared" si="16"/>
        <v>#VALUE!</v>
      </c>
      <c r="J142" s="39" t="e" vm="135">
        <f t="shared" si="17"/>
        <v>#VALUE!</v>
      </c>
      <c r="K142" s="54" t="e" vm="135">
        <f t="shared" si="18"/>
        <v>#VALUE!</v>
      </c>
      <c r="L142" s="20" t="e" vm="143">
        <f t="array" ref="L142">_FV(A142,"Market cap",TRUE)/10000000</f>
        <v>#VALUE!</v>
      </c>
      <c r="M142" s="21" t="e" vm="135">
        <f t="shared" si="19"/>
        <v>#VALUE!</v>
      </c>
      <c r="N142" t="s">
        <v>46</v>
      </c>
      <c r="O142" s="46" t="e" vm="48">
        <f t="array" ref="O142">_FV(A142,"Industry")</f>
        <v>#VALUE!</v>
      </c>
    </row>
    <row r="143" spans="1:15">
      <c r="A143" t="e">
        <v>#VALUE!</v>
      </c>
      <c r="B143" s="33" t="e" vm="142">
        <f t="array" ref="B143">_FV(A143,"Change (%)",TRUE)</f>
        <v>#VALUE!</v>
      </c>
      <c r="C143" s="35" t="e" vm="136">
        <f t="array" ref="C143">_FV(A143,"Previous close",TRUE)</f>
        <v>#VALUE!</v>
      </c>
      <c r="D143" s="35" t="e" vm="137">
        <f t="array" ref="D143">_FV(A143,"Price")</f>
        <v>#VALUE!</v>
      </c>
      <c r="E143" s="35" t="e" vm="138">
        <f t="array" ref="E143">_FV(A143,"Low")</f>
        <v>#VALUE!</v>
      </c>
      <c r="F143" s="35" t="e" vm="139">
        <f t="array" ref="F143">_FV(A143,"High")</f>
        <v>#VALUE!</v>
      </c>
      <c r="G143" s="35" t="e" vm="140">
        <f t="array" ref="G143">_FV(A143,"52 week low",TRUE)</f>
        <v>#VALUE!</v>
      </c>
      <c r="H143" s="36" t="e" vm="141">
        <f t="array" ref="H143">_FV(A143,"52 week high",TRUE)</f>
        <v>#VALUE!</v>
      </c>
      <c r="I143" s="40" t="e" vm="135">
        <f t="shared" si="16"/>
        <v>#VALUE!</v>
      </c>
      <c r="J143" s="39" t="e" vm="135">
        <f t="shared" si="17"/>
        <v>#VALUE!</v>
      </c>
      <c r="K143" s="54" t="e" vm="135">
        <f t="shared" si="18"/>
        <v>#VALUE!</v>
      </c>
      <c r="L143" s="20" t="e" vm="143">
        <f t="array" ref="L143">_FV(A143,"Market cap",TRUE)/10000000</f>
        <v>#VALUE!</v>
      </c>
      <c r="M143" s="21" t="e" vm="135">
        <f t="shared" si="19"/>
        <v>#VALUE!</v>
      </c>
      <c r="N143" t="s">
        <v>44</v>
      </c>
      <c r="O143" s="46" t="e" vm="48">
        <f t="array" ref="O143">_FV(A143,"Industry")</f>
        <v>#VALUE!</v>
      </c>
    </row>
    <row r="144" spans="1:15">
      <c r="A144" t="e">
        <v>#VALUE!</v>
      </c>
      <c r="B144" s="33" t="e" vm="142">
        <f t="array" ref="B144">_FV(A144,"Change (%)",TRUE)</f>
        <v>#VALUE!</v>
      </c>
      <c r="C144" s="35" t="e" vm="136">
        <f t="array" ref="C144">_FV(A144,"Previous close",TRUE)</f>
        <v>#VALUE!</v>
      </c>
      <c r="D144" s="35" t="e" vm="137">
        <f t="array" ref="D144">_FV(A144,"Price")</f>
        <v>#VALUE!</v>
      </c>
      <c r="E144" s="35" t="e" vm="138">
        <f t="array" ref="E144">_FV(A144,"Low")</f>
        <v>#VALUE!</v>
      </c>
      <c r="F144" s="35" t="e" vm="139">
        <f t="array" ref="F144">_FV(A144,"High")</f>
        <v>#VALUE!</v>
      </c>
      <c r="G144" s="35" t="e" vm="140">
        <f t="array" ref="G144">_FV(A144,"52 week low",TRUE)</f>
        <v>#VALUE!</v>
      </c>
      <c r="H144" s="36" t="e" vm="141">
        <f t="array" ref="H144">_FV(A144,"52 week high",TRUE)</f>
        <v>#VALUE!</v>
      </c>
      <c r="I144" s="40" t="e" vm="135">
        <f t="shared" si="16"/>
        <v>#VALUE!</v>
      </c>
      <c r="J144" s="39" t="e" vm="135">
        <f t="shared" si="17"/>
        <v>#VALUE!</v>
      </c>
      <c r="K144" s="54" t="e" vm="135">
        <f t="shared" si="18"/>
        <v>#VALUE!</v>
      </c>
      <c r="L144" s="20" t="e" vm="143">
        <f t="array" ref="L144">_FV(A144,"Market cap",TRUE)/10000000</f>
        <v>#VALUE!</v>
      </c>
      <c r="M144" s="21" t="e" vm="135">
        <f t="shared" si="19"/>
        <v>#VALUE!</v>
      </c>
      <c r="N144" t="s">
        <v>30</v>
      </c>
      <c r="O144" s="46" t="e" vm="48">
        <f t="array" ref="O144">_FV(A144,"Industry")</f>
        <v>#VALUE!</v>
      </c>
    </row>
    <row r="145" spans="1:15">
      <c r="A145" t="e">
        <v>#VALUE!</v>
      </c>
      <c r="B145" s="33" t="e" vm="142">
        <f t="array" ref="B145">_FV(A145,"Change (%)",TRUE)</f>
        <v>#VALUE!</v>
      </c>
      <c r="C145" s="35" t="e" vm="136">
        <f t="array" ref="C145">_FV(A145,"Previous close",TRUE)</f>
        <v>#VALUE!</v>
      </c>
      <c r="D145" s="35" t="e" vm="137">
        <f t="array" ref="D145">_FV(A145,"Price")</f>
        <v>#VALUE!</v>
      </c>
      <c r="E145" s="35" t="e" vm="138">
        <f t="array" ref="E145">_FV(A145,"Low")</f>
        <v>#VALUE!</v>
      </c>
      <c r="F145" s="35" t="e" vm="139">
        <f t="array" ref="F145">_FV(A145,"High")</f>
        <v>#VALUE!</v>
      </c>
      <c r="G145" s="35" t="e" vm="140">
        <f t="array" ref="G145">_FV(A145,"52 week low",TRUE)</f>
        <v>#VALUE!</v>
      </c>
      <c r="H145" s="36" t="e" vm="141">
        <f t="array" ref="H145">_FV(A145,"52 week high",TRUE)</f>
        <v>#VALUE!</v>
      </c>
      <c r="I145" s="40" t="e" vm="135">
        <f t="shared" si="16"/>
        <v>#VALUE!</v>
      </c>
      <c r="J145" s="39" t="e" vm="135">
        <f t="shared" si="17"/>
        <v>#VALUE!</v>
      </c>
      <c r="K145" s="54" t="e" vm="135">
        <f t="shared" si="18"/>
        <v>#VALUE!</v>
      </c>
      <c r="L145" s="20" t="e" vm="143">
        <f t="array" ref="L145">_FV(A145,"Market cap",TRUE)/10000000</f>
        <v>#VALUE!</v>
      </c>
      <c r="M145" s="21" t="e" vm="135">
        <f t="shared" si="19"/>
        <v>#VALUE!</v>
      </c>
      <c r="N145" t="s">
        <v>30</v>
      </c>
      <c r="O145" s="46" t="e" vm="48">
        <f t="array" ref="O145">_FV(A145,"Industry")</f>
        <v>#VALUE!</v>
      </c>
    </row>
    <row r="146" spans="1:15">
      <c r="A146" t="e">
        <v>#VALUE!</v>
      </c>
      <c r="B146" s="33" t="e" vm="142">
        <f t="array" ref="B146">_FV(A146,"Change (%)",TRUE)</f>
        <v>#VALUE!</v>
      </c>
      <c r="C146" s="35" t="e" vm="136">
        <f t="array" ref="C146">_FV(A146,"Previous close",TRUE)</f>
        <v>#VALUE!</v>
      </c>
      <c r="D146" s="35" t="e" vm="137">
        <f t="array" ref="D146">_FV(A146,"Price")</f>
        <v>#VALUE!</v>
      </c>
      <c r="E146" s="35" t="e" vm="138">
        <f t="array" ref="E146">_FV(A146,"Low")</f>
        <v>#VALUE!</v>
      </c>
      <c r="F146" s="35" t="e" vm="139">
        <f t="array" ref="F146">_FV(A146,"High")</f>
        <v>#VALUE!</v>
      </c>
      <c r="G146" s="35" t="e" vm="140">
        <f t="array" ref="G146">_FV(A146,"52 week low",TRUE)</f>
        <v>#VALUE!</v>
      </c>
      <c r="H146" s="36" t="e" vm="141">
        <f t="array" ref="H146">_FV(A146,"52 week high",TRUE)</f>
        <v>#VALUE!</v>
      </c>
      <c r="I146" s="40" t="e" vm="135">
        <f t="shared" si="16"/>
        <v>#VALUE!</v>
      </c>
      <c r="J146" s="39" t="e" vm="135">
        <f t="shared" si="17"/>
        <v>#VALUE!</v>
      </c>
      <c r="K146" s="54" t="e" vm="135">
        <f t="shared" si="18"/>
        <v>#VALUE!</v>
      </c>
      <c r="L146" s="20" t="e" vm="143">
        <f t="array" ref="L146">_FV(A146,"Market cap",TRUE)/10000000</f>
        <v>#VALUE!</v>
      </c>
      <c r="M146" s="21" t="e" vm="135">
        <f t="shared" si="19"/>
        <v>#VALUE!</v>
      </c>
      <c r="N146" t="s">
        <v>43</v>
      </c>
      <c r="O146" s="46" t="e" vm="48">
        <f t="array" ref="O146">_FV(A146,"Industry")</f>
        <v>#VALUE!</v>
      </c>
    </row>
    <row r="147" spans="1:15">
      <c r="A147" t="e">
        <v>#VALUE!</v>
      </c>
      <c r="B147" s="33" t="e" vm="142">
        <f t="array" ref="B147">_FV(A147,"Change (%)",TRUE)</f>
        <v>#VALUE!</v>
      </c>
      <c r="C147" s="35" t="e" vm="136">
        <f t="array" ref="C147">_FV(A147,"Previous close",TRUE)</f>
        <v>#VALUE!</v>
      </c>
      <c r="D147" s="35" t="e" vm="137">
        <f t="array" ref="D147">_FV(A147,"Price")</f>
        <v>#VALUE!</v>
      </c>
      <c r="E147" s="35" t="e" vm="138">
        <f t="array" ref="E147">_FV(A147,"Low")</f>
        <v>#VALUE!</v>
      </c>
      <c r="F147" s="35" t="e" vm="139">
        <f t="array" ref="F147">_FV(A147,"High")</f>
        <v>#VALUE!</v>
      </c>
      <c r="G147" s="35" t="e" vm="140">
        <f t="array" ref="G147">_FV(A147,"52 week low",TRUE)</f>
        <v>#VALUE!</v>
      </c>
      <c r="H147" s="36" t="e" vm="141">
        <f t="array" ref="H147">_FV(A147,"52 week high",TRUE)</f>
        <v>#VALUE!</v>
      </c>
      <c r="I147" s="40" t="e" vm="135">
        <f t="shared" si="16"/>
        <v>#VALUE!</v>
      </c>
      <c r="J147" s="39" t="e" vm="135">
        <f t="shared" si="17"/>
        <v>#VALUE!</v>
      </c>
      <c r="K147" s="54" t="e" vm="135">
        <f t="shared" si="18"/>
        <v>#VALUE!</v>
      </c>
      <c r="L147" s="20" t="e" vm="143">
        <f t="array" ref="L147">_FV(A147,"Market cap",TRUE)/10000000</f>
        <v>#VALUE!</v>
      </c>
      <c r="M147" s="21" t="e" vm="135">
        <f t="shared" si="19"/>
        <v>#VALUE!</v>
      </c>
      <c r="N147" t="s">
        <v>38</v>
      </c>
      <c r="O147" s="45" t="e" vm="48">
        <f t="array" ref="O147">_FV(A147,"Industry")</f>
        <v>#VALUE!</v>
      </c>
    </row>
    <row r="148" spans="1:15">
      <c r="A148" t="e">
        <v>#VALUE!</v>
      </c>
      <c r="B148" s="33" t="e" vm="142">
        <f t="array" ref="B148">_FV(A148,"Change (%)",TRUE)</f>
        <v>#VALUE!</v>
      </c>
      <c r="C148" s="35" t="e" vm="136">
        <f t="array" ref="C148">_FV(A148,"Previous close",TRUE)</f>
        <v>#VALUE!</v>
      </c>
      <c r="D148" s="35" t="e" vm="137">
        <f t="array" ref="D148">_FV(A148,"Price")</f>
        <v>#VALUE!</v>
      </c>
      <c r="E148" s="35" t="e" vm="138">
        <f t="array" ref="E148">_FV(A148,"Low")</f>
        <v>#VALUE!</v>
      </c>
      <c r="F148" s="35" t="e" vm="139">
        <f t="array" ref="F148">_FV(A148,"High")</f>
        <v>#VALUE!</v>
      </c>
      <c r="G148" s="35" t="e" vm="140">
        <f t="array" ref="G148">_FV(A148,"52 week low",TRUE)</f>
        <v>#VALUE!</v>
      </c>
      <c r="H148" s="36" t="e" vm="141">
        <f t="array" ref="H148">_FV(A148,"52 week high",TRUE)</f>
        <v>#VALUE!</v>
      </c>
      <c r="I148" s="40" t="e" vm="135">
        <f t="shared" si="16"/>
        <v>#VALUE!</v>
      </c>
      <c r="J148" s="39" t="e" vm="135">
        <f t="shared" si="17"/>
        <v>#VALUE!</v>
      </c>
      <c r="K148" s="54" t="e" vm="135">
        <f t="shared" si="18"/>
        <v>#VALUE!</v>
      </c>
      <c r="L148" s="20" t="e" vm="143">
        <f t="array" ref="L148">_FV(A148,"Market cap",TRUE)/10000000</f>
        <v>#VALUE!</v>
      </c>
      <c r="M148" s="21" t="e" vm="135">
        <f t="shared" si="19"/>
        <v>#VALUE!</v>
      </c>
      <c r="N148" t="s">
        <v>53</v>
      </c>
      <c r="O148" s="45" t="e" vm="48">
        <f t="array" ref="O148">_FV(A148,"Industry")</f>
        <v>#VALUE!</v>
      </c>
    </row>
    <row r="149" spans="1:15">
      <c r="A149" t="e">
        <v>#VALUE!</v>
      </c>
      <c r="B149" s="33" t="e" vm="142">
        <f t="array" ref="B149">_FV(A149,"Change (%)",TRUE)</f>
        <v>#VALUE!</v>
      </c>
      <c r="C149" s="35" t="e" vm="136">
        <f t="array" ref="C149">_FV(A149,"Previous close",TRUE)</f>
        <v>#VALUE!</v>
      </c>
      <c r="D149" s="35" t="e" vm="137">
        <f t="array" ref="D149">_FV(A149,"Price")</f>
        <v>#VALUE!</v>
      </c>
      <c r="E149" s="35" t="e" vm="138">
        <f t="array" ref="E149">_FV(A149,"Low")</f>
        <v>#VALUE!</v>
      </c>
      <c r="F149" s="35" t="e" vm="139">
        <f t="array" ref="F149">_FV(A149,"High")</f>
        <v>#VALUE!</v>
      </c>
      <c r="G149" s="35" t="e" vm="140">
        <f t="array" ref="G149">_FV(A149,"52 week low",TRUE)</f>
        <v>#VALUE!</v>
      </c>
      <c r="H149" s="36" t="e" vm="141">
        <f t="array" ref="H149">_FV(A149,"52 week high",TRUE)</f>
        <v>#VALUE!</v>
      </c>
      <c r="I149" s="40" t="e" vm="135">
        <f t="shared" si="16"/>
        <v>#VALUE!</v>
      </c>
      <c r="J149" s="39" t="e" vm="135">
        <f t="shared" si="17"/>
        <v>#VALUE!</v>
      </c>
      <c r="K149" s="54" t="e" vm="135">
        <f t="shared" si="18"/>
        <v>#VALUE!</v>
      </c>
      <c r="L149" s="20" t="e" vm="143">
        <f t="array" ref="L149">_FV(A149,"Market cap",TRUE)/10000000</f>
        <v>#VALUE!</v>
      </c>
      <c r="M149" s="21" t="e" vm="135">
        <f t="shared" si="19"/>
        <v>#VALUE!</v>
      </c>
      <c r="N149" t="s">
        <v>30</v>
      </c>
      <c r="O149" s="45" t="e" vm="48">
        <f t="array" ref="O149">_FV(A149,"Industry")</f>
        <v>#VALUE!</v>
      </c>
    </row>
    <row r="150" spans="1:15">
      <c r="A150" t="e">
        <v>#VALUE!</v>
      </c>
      <c r="B150" s="33" t="e" vm="142">
        <f t="array" ref="B150">_FV(A150,"Change (%)",TRUE)</f>
        <v>#VALUE!</v>
      </c>
      <c r="C150" s="35" t="e" vm="136">
        <f t="array" ref="C150">_FV(A150,"Previous close",TRUE)</f>
        <v>#VALUE!</v>
      </c>
      <c r="D150" s="35" t="e" vm="137">
        <f t="array" ref="D150">_FV(A150,"Price")</f>
        <v>#VALUE!</v>
      </c>
      <c r="E150" s="35" t="e" vm="138">
        <f t="array" ref="E150">_FV(A150,"Low")</f>
        <v>#VALUE!</v>
      </c>
      <c r="F150" s="35" t="e" vm="139">
        <f t="array" ref="F150">_FV(A150,"High")</f>
        <v>#VALUE!</v>
      </c>
      <c r="G150" s="35" t="e" vm="140">
        <f t="array" ref="G150">_FV(A150,"52 week low",TRUE)</f>
        <v>#VALUE!</v>
      </c>
      <c r="H150" s="36" t="e" vm="141">
        <f t="array" ref="H150">_FV(A150,"52 week high",TRUE)</f>
        <v>#VALUE!</v>
      </c>
      <c r="I150" s="40" t="e" vm="135">
        <f t="shared" si="16"/>
        <v>#VALUE!</v>
      </c>
      <c r="J150" s="39" t="e" vm="135">
        <f t="shared" si="17"/>
        <v>#VALUE!</v>
      </c>
      <c r="K150" s="54" t="e" vm="135">
        <f t="shared" si="18"/>
        <v>#VALUE!</v>
      </c>
      <c r="L150" s="20" t="e" vm="143">
        <f t="array" ref="L150">_FV(A150,"Market cap",TRUE)/10000000</f>
        <v>#VALUE!</v>
      </c>
      <c r="M150" s="21" t="e" vm="135">
        <f t="shared" si="19"/>
        <v>#VALUE!</v>
      </c>
      <c r="N150" t="s">
        <v>30</v>
      </c>
      <c r="O150" s="46" t="e" vm="48">
        <f t="array" ref="O150">_FV(A150,"Industry")</f>
        <v>#VALUE!</v>
      </c>
    </row>
    <row r="151" spans="1:15">
      <c r="A151" t="e">
        <v>#VALUE!</v>
      </c>
      <c r="B151" s="33" t="e" vm="142">
        <f t="array" ref="B151">_FV(A151,"Change (%)",TRUE)</f>
        <v>#VALUE!</v>
      </c>
      <c r="C151" s="35" t="e" vm="136">
        <f t="array" ref="C151">_FV(A151,"Previous close",TRUE)</f>
        <v>#VALUE!</v>
      </c>
      <c r="D151" s="35" t="e" vm="137">
        <f t="array" ref="D151">_FV(A151,"Price")</f>
        <v>#VALUE!</v>
      </c>
      <c r="E151" s="35" t="e" vm="138">
        <f t="array" ref="E151">_FV(A151,"Low")</f>
        <v>#VALUE!</v>
      </c>
      <c r="F151" s="35" t="e" vm="139">
        <f t="array" ref="F151">_FV(A151,"High")</f>
        <v>#VALUE!</v>
      </c>
      <c r="G151" s="35" t="e" vm="140">
        <f t="array" ref="G151">_FV(A151,"52 week low",TRUE)</f>
        <v>#VALUE!</v>
      </c>
      <c r="H151" s="36" t="e" vm="141">
        <f t="array" ref="H151">_FV(A151,"52 week high",TRUE)</f>
        <v>#VALUE!</v>
      </c>
      <c r="I151" s="40" t="e" vm="135">
        <f t="shared" si="16"/>
        <v>#VALUE!</v>
      </c>
      <c r="J151" s="39" t="e" vm="135">
        <f t="shared" si="17"/>
        <v>#VALUE!</v>
      </c>
      <c r="K151" s="54" t="e" vm="135">
        <f t="shared" si="18"/>
        <v>#VALUE!</v>
      </c>
      <c r="L151" s="20" t="e" vm="143">
        <f t="array" ref="L151">_FV(A151,"Market cap",TRUE)/10000000</f>
        <v>#VALUE!</v>
      </c>
      <c r="M151" s="21" t="e" vm="135">
        <f t="shared" si="19"/>
        <v>#VALUE!</v>
      </c>
      <c r="N151" t="s">
        <v>42</v>
      </c>
      <c r="O151" s="46" t="e" vm="48">
        <f t="array" ref="O151">_FV(A151,"Industry")</f>
        <v>#VALUE!</v>
      </c>
    </row>
    <row r="152" spans="1:15">
      <c r="A152" t="e">
        <v>#VALUE!</v>
      </c>
      <c r="B152" s="33" t="e" vm="142">
        <f t="array" ref="B152">_FV(A152,"Change (%)",TRUE)</f>
        <v>#VALUE!</v>
      </c>
      <c r="C152" s="35" t="e" vm="136">
        <f t="array" ref="C152">_FV(A152,"Previous close",TRUE)</f>
        <v>#VALUE!</v>
      </c>
      <c r="D152" s="35" t="e" vm="137">
        <f t="array" ref="D152">_FV(A152,"Price")</f>
        <v>#VALUE!</v>
      </c>
      <c r="E152" s="35" t="e" vm="138">
        <f t="array" ref="E152">_FV(A152,"Low")</f>
        <v>#VALUE!</v>
      </c>
      <c r="F152" s="35" t="e" vm="139">
        <f t="array" ref="F152">_FV(A152,"High")</f>
        <v>#VALUE!</v>
      </c>
      <c r="G152" s="35" t="e" vm="140">
        <f t="array" ref="G152">_FV(A152,"52 week low",TRUE)</f>
        <v>#VALUE!</v>
      </c>
      <c r="H152" s="36" t="e" vm="141">
        <f t="array" ref="H152">_FV(A152,"52 week high",TRUE)</f>
        <v>#VALUE!</v>
      </c>
      <c r="I152" s="40" t="e" vm="135">
        <f t="shared" si="16"/>
        <v>#VALUE!</v>
      </c>
      <c r="J152" s="39" t="e" vm="135">
        <f t="shared" si="17"/>
        <v>#VALUE!</v>
      </c>
      <c r="K152" s="54" t="e" vm="135">
        <f t="shared" si="18"/>
        <v>#VALUE!</v>
      </c>
      <c r="L152" s="20" t="e" vm="143">
        <f t="array" ref="L152">_FV(A152,"Market cap",TRUE)/10000000</f>
        <v>#VALUE!</v>
      </c>
      <c r="M152" s="21" t="e" vm="135">
        <f t="shared" si="19"/>
        <v>#VALUE!</v>
      </c>
      <c r="N152" t="s">
        <v>44</v>
      </c>
      <c r="O152" s="46" t="e" vm="48">
        <f t="array" ref="O152">_FV(A152,"Industry")</f>
        <v>#VALUE!</v>
      </c>
    </row>
    <row r="153" spans="1:15">
      <c r="A153" t="e">
        <v>#VALUE!</v>
      </c>
      <c r="B153" s="33" t="e" vm="142">
        <f t="array" ref="B153">_FV(A153,"Change (%)",TRUE)</f>
        <v>#VALUE!</v>
      </c>
      <c r="C153" s="35" t="e" vm="136">
        <f t="array" ref="C153">_FV(A153,"Previous close",TRUE)</f>
        <v>#VALUE!</v>
      </c>
      <c r="D153" s="35" t="e" vm="137">
        <f t="array" ref="D153">_FV(A153,"Price")</f>
        <v>#VALUE!</v>
      </c>
      <c r="E153" s="35" t="e" vm="138">
        <f t="array" ref="E153">_FV(A153,"Low")</f>
        <v>#VALUE!</v>
      </c>
      <c r="F153" s="35" t="e" vm="139">
        <f t="array" ref="F153">_FV(A153,"High")</f>
        <v>#VALUE!</v>
      </c>
      <c r="G153" s="35" t="e" vm="140">
        <f t="array" ref="G153">_FV(A153,"52 week low",TRUE)</f>
        <v>#VALUE!</v>
      </c>
      <c r="H153" s="36" t="e" vm="141">
        <f t="array" ref="H153">_FV(A153,"52 week high",TRUE)</f>
        <v>#VALUE!</v>
      </c>
      <c r="I153" s="40" t="e" vm="135">
        <f t="shared" si="16"/>
        <v>#VALUE!</v>
      </c>
      <c r="J153" s="39" t="e" vm="135">
        <f t="shared" si="17"/>
        <v>#VALUE!</v>
      </c>
      <c r="K153" s="54" t="e" vm="135">
        <f t="shared" si="18"/>
        <v>#VALUE!</v>
      </c>
      <c r="L153" s="20" t="e" vm="143">
        <f t="array" ref="L153">_FV(A153,"Market cap",TRUE)/10000000</f>
        <v>#VALUE!</v>
      </c>
      <c r="M153" s="21" t="e" vm="135">
        <f t="shared" si="19"/>
        <v>#VALUE!</v>
      </c>
      <c r="N153" t="s">
        <v>38</v>
      </c>
      <c r="O153" s="46" t="e" vm="48">
        <f t="array" ref="O153">_FV(A153,"Industry")</f>
        <v>#VALUE!</v>
      </c>
    </row>
    <row r="154" spans="1:15">
      <c r="A154" t="e">
        <v>#VALUE!</v>
      </c>
      <c r="B154" s="33" t="e" vm="142">
        <f t="array" ref="B154">_FV(A154,"Change (%)",TRUE)</f>
        <v>#VALUE!</v>
      </c>
      <c r="C154" s="35" t="e" vm="136">
        <f t="array" ref="C154">_FV(A154,"Previous close",TRUE)</f>
        <v>#VALUE!</v>
      </c>
      <c r="D154" s="35" t="e" vm="137">
        <f t="array" ref="D154">_FV(A154,"Price")</f>
        <v>#VALUE!</v>
      </c>
      <c r="E154" s="35" t="e" vm="138">
        <f t="array" ref="E154">_FV(A154,"Low")</f>
        <v>#VALUE!</v>
      </c>
      <c r="F154" s="35" t="e" vm="139">
        <f t="array" ref="F154">_FV(A154,"High")</f>
        <v>#VALUE!</v>
      </c>
      <c r="G154" s="35" t="e" vm="140">
        <f t="array" ref="G154">_FV(A154,"52 week low",TRUE)</f>
        <v>#VALUE!</v>
      </c>
      <c r="H154" s="36" t="e" vm="141">
        <f t="array" ref="H154">_FV(A154,"52 week high",TRUE)</f>
        <v>#VALUE!</v>
      </c>
      <c r="I154" s="40" t="e" vm="135">
        <f t="shared" si="16"/>
        <v>#VALUE!</v>
      </c>
      <c r="J154" s="39" t="e" vm="135">
        <f t="shared" si="17"/>
        <v>#VALUE!</v>
      </c>
      <c r="K154" s="54" t="e" vm="135">
        <f t="shared" si="18"/>
        <v>#VALUE!</v>
      </c>
      <c r="L154" s="20" t="e" vm="143">
        <f t="array" ref="L154">_FV(A154,"Market cap",TRUE)/10000000</f>
        <v>#VALUE!</v>
      </c>
      <c r="M154" s="21" t="e" vm="135">
        <f t="shared" si="19"/>
        <v>#VALUE!</v>
      </c>
      <c r="N154" t="s">
        <v>46</v>
      </c>
      <c r="O154" s="45" t="e" vm="197">
        <f t="array" ref="O154">_FV(A154,"Instrument type",TRUE)</f>
        <v>#VALUE!</v>
      </c>
    </row>
    <row r="155" spans="1:15">
      <c r="A155" t="e">
        <v>#VALUE!</v>
      </c>
      <c r="B155" s="33" t="e" vm="142">
        <f t="array" ref="B155">_FV(A155,"Change (%)",TRUE)</f>
        <v>#VALUE!</v>
      </c>
      <c r="C155" s="35" t="e" vm="136">
        <f t="array" ref="C155">_FV(A155,"Previous close",TRUE)</f>
        <v>#VALUE!</v>
      </c>
      <c r="D155" s="35" t="e" vm="137">
        <f t="array" ref="D155">_FV(A155,"Price")</f>
        <v>#VALUE!</v>
      </c>
      <c r="E155" s="35" t="e" vm="138">
        <f t="array" ref="E155">_FV(A155,"Low")</f>
        <v>#VALUE!</v>
      </c>
      <c r="F155" s="35" t="e" vm="139">
        <f t="array" ref="F155">_FV(A155,"High")</f>
        <v>#VALUE!</v>
      </c>
      <c r="G155" s="35" t="e" vm="140">
        <f t="array" ref="G155">_FV(A155,"52 week low",TRUE)</f>
        <v>#VALUE!</v>
      </c>
      <c r="H155" s="36" t="e" vm="141">
        <f t="array" ref="H155">_FV(A155,"52 week high",TRUE)</f>
        <v>#VALUE!</v>
      </c>
      <c r="I155" s="40" t="e" vm="135">
        <f t="shared" si="16"/>
        <v>#VALUE!</v>
      </c>
      <c r="J155" s="39" t="e" vm="135">
        <f t="shared" si="17"/>
        <v>#VALUE!</v>
      </c>
      <c r="K155" s="54" t="e" vm="135">
        <f t="shared" si="18"/>
        <v>#VALUE!</v>
      </c>
      <c r="L155" s="20" t="e" vm="143">
        <f t="array" ref="L155">_FV(A155,"Market cap",TRUE)/10000000</f>
        <v>#VALUE!</v>
      </c>
      <c r="M155" s="21" t="e" vm="135">
        <f t="shared" si="19"/>
        <v>#VALUE!</v>
      </c>
      <c r="N155" t="s">
        <v>30</v>
      </c>
      <c r="O155" s="46" t="e" vm="48">
        <f t="array" ref="O155">_FV(A155,"Industry")</f>
        <v>#VALUE!</v>
      </c>
    </row>
    <row r="156" spans="1:15">
      <c r="A156" t="e">
        <v>#VALUE!</v>
      </c>
      <c r="B156" s="33" t="e" vm="142">
        <f t="array" ref="B156">_FV(A156,"Change (%)",TRUE)</f>
        <v>#VALUE!</v>
      </c>
      <c r="C156" s="35" t="e" vm="136">
        <f t="array" ref="C156">_FV(A156,"Previous close",TRUE)</f>
        <v>#VALUE!</v>
      </c>
      <c r="D156" s="35" t="e" vm="137">
        <f t="array" ref="D156">_FV(A156,"Price")</f>
        <v>#VALUE!</v>
      </c>
      <c r="E156" s="35" t="e" vm="138">
        <f t="array" ref="E156">_FV(A156,"Low")</f>
        <v>#VALUE!</v>
      </c>
      <c r="F156" s="35" t="e" vm="139">
        <f t="array" ref="F156">_FV(A156,"High")</f>
        <v>#VALUE!</v>
      </c>
      <c r="G156" s="35" t="e" vm="140">
        <f t="array" ref="G156">_FV(A156,"52 week low",TRUE)</f>
        <v>#VALUE!</v>
      </c>
      <c r="H156" s="36" t="e" vm="141">
        <f t="array" ref="H156">_FV(A156,"52 week high",TRUE)</f>
        <v>#VALUE!</v>
      </c>
      <c r="I156" s="40" t="e" vm="135">
        <f t="shared" si="16"/>
        <v>#VALUE!</v>
      </c>
      <c r="J156" s="39" t="e" vm="135">
        <f t="shared" si="17"/>
        <v>#VALUE!</v>
      </c>
      <c r="K156" s="54" t="e" vm="135">
        <f t="shared" si="18"/>
        <v>#VALUE!</v>
      </c>
      <c r="L156" s="20" t="e" vm="143">
        <f t="array" ref="L156">_FV(A156,"Market cap",TRUE)/10000000</f>
        <v>#VALUE!</v>
      </c>
      <c r="M156" s="21" t="e" vm="135">
        <f t="shared" si="19"/>
        <v>#VALUE!</v>
      </c>
      <c r="N156" t="s">
        <v>30</v>
      </c>
      <c r="O156" s="46" t="e" vm="48">
        <f t="array" ref="O156">_FV(A156,"Industry")</f>
        <v>#VALUE!</v>
      </c>
    </row>
    <row r="157" spans="1:15">
      <c r="A157" t="e">
        <v>#VALUE!</v>
      </c>
      <c r="B157" s="33" t="e" vm="142">
        <f t="array" ref="B157">_FV(A157,"Change (%)",TRUE)</f>
        <v>#VALUE!</v>
      </c>
      <c r="C157" s="35" t="e" vm="136">
        <f t="array" ref="C157">_FV(A157,"Previous close",TRUE)</f>
        <v>#VALUE!</v>
      </c>
      <c r="D157" s="35" t="e" vm="137">
        <f t="array" ref="D157">_FV(A157,"Price")</f>
        <v>#VALUE!</v>
      </c>
      <c r="E157" s="35" t="e" vm="138">
        <f t="array" ref="E157">_FV(A157,"Low")</f>
        <v>#VALUE!</v>
      </c>
      <c r="F157" s="35" t="e" vm="139">
        <f t="array" ref="F157">_FV(A157,"High")</f>
        <v>#VALUE!</v>
      </c>
      <c r="G157" s="35" t="e" vm="140">
        <f t="array" ref="G157">_FV(A157,"52 week low",TRUE)</f>
        <v>#VALUE!</v>
      </c>
      <c r="H157" s="36" t="e" vm="141">
        <f t="array" ref="H157">_FV(A157,"52 week high",TRUE)</f>
        <v>#VALUE!</v>
      </c>
      <c r="I157" s="40" t="e" vm="135">
        <f t="shared" si="16"/>
        <v>#VALUE!</v>
      </c>
      <c r="J157" s="39" t="e" vm="135">
        <f t="shared" si="17"/>
        <v>#VALUE!</v>
      </c>
      <c r="K157" s="54" t="e" vm="135">
        <f t="shared" si="18"/>
        <v>#VALUE!</v>
      </c>
      <c r="L157" s="20" t="e" vm="143">
        <f t="array" ref="L157">_FV(A157,"Market cap",TRUE)/10000000</f>
        <v>#VALUE!</v>
      </c>
      <c r="M157" s="21" t="e" vm="135">
        <f t="shared" si="19"/>
        <v>#VALUE!</v>
      </c>
      <c r="N157" t="s">
        <v>51</v>
      </c>
      <c r="O157" s="46" t="e" vm="48">
        <f t="array" ref="O157">_FV(A157,"Industry")</f>
        <v>#VALUE!</v>
      </c>
    </row>
    <row r="158" spans="1:15">
      <c r="A158" t="e">
        <v>#VALUE!</v>
      </c>
      <c r="B158" s="33" t="e" vm="142">
        <f t="array" ref="B158">_FV(A158,"Change (%)",TRUE)</f>
        <v>#VALUE!</v>
      </c>
      <c r="C158" s="35" t="e" vm="136">
        <f t="array" ref="C158">_FV(A158,"Previous close",TRUE)</f>
        <v>#VALUE!</v>
      </c>
      <c r="D158" s="35" t="e" vm="137">
        <f t="array" ref="D158">_FV(A158,"Price")</f>
        <v>#VALUE!</v>
      </c>
      <c r="E158" s="35" t="e" vm="138">
        <f t="array" ref="E158">_FV(A158,"Low")</f>
        <v>#VALUE!</v>
      </c>
      <c r="F158" s="35" t="e" vm="139">
        <f t="array" ref="F158">_FV(A158,"High")</f>
        <v>#VALUE!</v>
      </c>
      <c r="G158" s="35" t="e" vm="140">
        <f t="array" ref="G158">_FV(A158,"52 week low",TRUE)</f>
        <v>#VALUE!</v>
      </c>
      <c r="H158" s="36" t="e" vm="141">
        <f t="array" ref="H158">_FV(A158,"52 week high",TRUE)</f>
        <v>#VALUE!</v>
      </c>
      <c r="I158" s="40" t="e" vm="135">
        <f t="shared" si="16"/>
        <v>#VALUE!</v>
      </c>
      <c r="J158" s="39" t="e" vm="135">
        <f t="shared" si="17"/>
        <v>#VALUE!</v>
      </c>
      <c r="K158" s="54" t="e" vm="135">
        <f t="shared" si="18"/>
        <v>#VALUE!</v>
      </c>
      <c r="L158" s="20" t="e" vm="143">
        <f t="array" ref="L158">_FV(A158,"Market cap",TRUE)/10000000</f>
        <v>#VALUE!</v>
      </c>
      <c r="M158" s="21" t="e" vm="135">
        <f t="shared" si="19"/>
        <v>#VALUE!</v>
      </c>
      <c r="N158" t="s">
        <v>38</v>
      </c>
      <c r="O158" s="46" t="e" vm="48">
        <f t="array" ref="O158">_FV(A158,"Industry")</f>
        <v>#VALUE!</v>
      </c>
    </row>
    <row r="159" spans="1:15">
      <c r="A159" t="e">
        <v>#VALUE!</v>
      </c>
      <c r="B159" s="33" t="e" vm="142">
        <f t="array" ref="B159">_FV(A159,"Change (%)",TRUE)</f>
        <v>#VALUE!</v>
      </c>
      <c r="C159" s="35" t="e" vm="136">
        <f t="array" ref="C159">_FV(A159,"Previous close",TRUE)</f>
        <v>#VALUE!</v>
      </c>
      <c r="D159" s="35" t="e" vm="137">
        <f t="array" ref="D159">_FV(A159,"Price")</f>
        <v>#VALUE!</v>
      </c>
      <c r="E159" s="35" t="e" vm="138">
        <f t="array" ref="E159">_FV(A159,"Low")</f>
        <v>#VALUE!</v>
      </c>
      <c r="F159" s="35" t="e" vm="139">
        <f t="array" ref="F159">_FV(A159,"High")</f>
        <v>#VALUE!</v>
      </c>
      <c r="G159" s="35" t="e" vm="140">
        <f t="array" ref="G159">_FV(A159,"52 week low",TRUE)</f>
        <v>#VALUE!</v>
      </c>
      <c r="H159" s="36" t="e" vm="141">
        <f t="array" ref="H159">_FV(A159,"52 week high",TRUE)</f>
        <v>#VALUE!</v>
      </c>
      <c r="I159" s="40" t="e" vm="135">
        <f t="shared" si="16"/>
        <v>#VALUE!</v>
      </c>
      <c r="J159" s="39" t="e" vm="135">
        <f t="shared" si="17"/>
        <v>#VALUE!</v>
      </c>
      <c r="K159" s="54" t="e" vm="135">
        <f t="shared" si="18"/>
        <v>#VALUE!</v>
      </c>
      <c r="L159" s="20" t="e" vm="143">
        <f t="array" ref="L159">_FV(A159,"Market cap",TRUE)/10000000</f>
        <v>#VALUE!</v>
      </c>
      <c r="M159" s="21" t="e" vm="135">
        <f t="shared" si="19"/>
        <v>#VALUE!</v>
      </c>
      <c r="N159" t="s">
        <v>30</v>
      </c>
      <c r="O159" s="46" t="e" vm="48">
        <f t="array" ref="O159">_FV(A159,"Industry")</f>
        <v>#VALUE!</v>
      </c>
    </row>
    <row r="160" spans="1:15">
      <c r="A160" t="e">
        <v>#VALUE!</v>
      </c>
      <c r="B160" s="33" t="e" vm="142">
        <f t="array" ref="B160">_FV(A160,"Change (%)",TRUE)</f>
        <v>#VALUE!</v>
      </c>
      <c r="C160" s="35" t="e" vm="136">
        <f t="array" ref="C160">_FV(A160,"Previous close",TRUE)</f>
        <v>#VALUE!</v>
      </c>
      <c r="D160" s="35" t="e" vm="137">
        <f t="array" ref="D160">_FV(A160,"Price")</f>
        <v>#VALUE!</v>
      </c>
      <c r="E160" s="35" t="e" vm="138">
        <f t="array" ref="E160">_FV(A160,"Low")</f>
        <v>#VALUE!</v>
      </c>
      <c r="F160" s="35" t="e" vm="139">
        <f t="array" ref="F160">_FV(A160,"High")</f>
        <v>#VALUE!</v>
      </c>
      <c r="G160" s="35" t="e" vm="140">
        <f t="array" ref="G160">_FV(A160,"52 week low",TRUE)</f>
        <v>#VALUE!</v>
      </c>
      <c r="H160" s="36" t="e" vm="141">
        <f t="array" ref="H160">_FV(A160,"52 week high",TRUE)</f>
        <v>#VALUE!</v>
      </c>
      <c r="I160" s="40" t="e" vm="135">
        <f t="shared" si="16"/>
        <v>#VALUE!</v>
      </c>
      <c r="J160" s="39" t="e" vm="135">
        <f t="shared" si="17"/>
        <v>#VALUE!</v>
      </c>
      <c r="K160" s="54" t="e" vm="135">
        <f t="shared" si="18"/>
        <v>#VALUE!</v>
      </c>
      <c r="L160" s="20" t="e" vm="143">
        <f t="array" ref="L160">_FV(A160,"Market cap",TRUE)/10000000</f>
        <v>#VALUE!</v>
      </c>
      <c r="M160" s="21" t="e" vm="135">
        <f t="shared" si="19"/>
        <v>#VALUE!</v>
      </c>
      <c r="N160" t="s">
        <v>44</v>
      </c>
      <c r="O160" s="46" t="e" vm="48">
        <f t="array" ref="O160">_FV(A160,"Industry")</f>
        <v>#VALUE!</v>
      </c>
    </row>
    <row r="161" spans="1:15">
      <c r="A161" t="e">
        <v>#VALUE!</v>
      </c>
      <c r="B161" s="33" t="e" vm="142">
        <f t="array" ref="B161">_FV(A161,"Change (%)",TRUE)</f>
        <v>#VALUE!</v>
      </c>
      <c r="C161" s="35" t="e" vm="136">
        <f t="array" ref="C161">_FV(A161,"Previous close",TRUE)</f>
        <v>#VALUE!</v>
      </c>
      <c r="D161" s="35" t="e" vm="137">
        <f t="array" ref="D161">_FV(A161,"Price")</f>
        <v>#VALUE!</v>
      </c>
      <c r="E161" s="35" t="e" vm="138">
        <f t="array" ref="E161">_FV(A161,"Low")</f>
        <v>#VALUE!</v>
      </c>
      <c r="F161" s="35" t="e" vm="139">
        <f t="array" ref="F161">_FV(A161,"High")</f>
        <v>#VALUE!</v>
      </c>
      <c r="G161" s="35" t="e" vm="140">
        <f t="array" ref="G161">_FV(A161,"52 week low",TRUE)</f>
        <v>#VALUE!</v>
      </c>
      <c r="H161" s="36" t="e" vm="141">
        <f t="array" ref="H161">_FV(A161,"52 week high",TRUE)</f>
        <v>#VALUE!</v>
      </c>
      <c r="I161" s="40" t="e" vm="135">
        <f t="shared" si="16"/>
        <v>#VALUE!</v>
      </c>
      <c r="J161" s="39" t="e" vm="135">
        <f t="shared" si="17"/>
        <v>#VALUE!</v>
      </c>
      <c r="K161" s="54" t="e" vm="135">
        <f t="shared" si="18"/>
        <v>#VALUE!</v>
      </c>
      <c r="L161" s="20" t="e" vm="143">
        <f t="array" ref="L161">_FV(A161,"Market cap",TRUE)/10000000</f>
        <v>#VALUE!</v>
      </c>
      <c r="M161" s="21" t="e" vm="135">
        <f t="shared" si="19"/>
        <v>#VALUE!</v>
      </c>
      <c r="N161" t="s">
        <v>42</v>
      </c>
      <c r="O161" s="45" t="e" vm="48">
        <f t="array" ref="O161">_FV(A161,"Industry")</f>
        <v>#VALUE!</v>
      </c>
    </row>
    <row r="162" spans="1:15">
      <c r="A162" t="e">
        <v>#VALUE!</v>
      </c>
      <c r="B162" s="33" t="e" vm="142">
        <f t="array" ref="B162">_FV(A162,"Change (%)",TRUE)</f>
        <v>#VALUE!</v>
      </c>
      <c r="C162" s="35" t="e" vm="136">
        <f t="array" ref="C162">_FV(A162,"Previous close",TRUE)</f>
        <v>#VALUE!</v>
      </c>
      <c r="D162" s="35" t="e" vm="137">
        <f t="array" ref="D162">_FV(A162,"Price")</f>
        <v>#VALUE!</v>
      </c>
      <c r="E162" s="35" t="e" vm="138">
        <f t="array" ref="E162">_FV(A162,"Low")</f>
        <v>#VALUE!</v>
      </c>
      <c r="F162" s="35" t="e" vm="139">
        <f t="array" ref="F162">_FV(A162,"High")</f>
        <v>#VALUE!</v>
      </c>
      <c r="G162" s="35" t="e" vm="140">
        <f t="array" ref="G162">_FV(A162,"52 week low",TRUE)</f>
        <v>#VALUE!</v>
      </c>
      <c r="H162" s="36" t="e" vm="141">
        <f t="array" ref="H162">_FV(A162,"52 week high",TRUE)</f>
        <v>#VALUE!</v>
      </c>
      <c r="I162" s="40" t="e" vm="135">
        <f t="shared" ref="I162:I193" si="20">(H162-D162)*100/H162</f>
        <v>#VALUE!</v>
      </c>
      <c r="J162" s="39" t="e" vm="135">
        <f t="shared" ref="J162:J193" si="21">IF(AND(M162="HLC", I162&gt;12), "SURE HLC BUY",IF(AND(M162="HLC", I162&gt;7), "FIRST HLC BUY",IF(AND(M162="LC", I162&gt;20), "SURE LC BUY",IF(AND(M162="LC", I162&gt;10), "LC BUY",IF(AND(M162="HMC", I162&gt;30), "SURE HMC BUY",IF(AND(M162="HMC", I162&gt;20), "HMC BUY",IF(AND(M162="HMC", I162&gt;15), "FIRST HMC BUY",IF(AND(M162="MC", I162&gt;40), "SURE MC BUY",IF(AND(M162="MC", I162&gt;30), "MC BUY",IF(AND(M162="MC", I162&gt;20), "FIRST MC BUY",IF(AND(M162="HSC", I162&gt;60), "SURE HSC BUY",IF(AND(M162="HSC", I162&gt;50), "HSC BUY",IF(AND(M162="HSC", I162&gt;40), "FIRST HSC BUY",IF(AND(M162="SC", I162&gt;70), "SURE SC BUY",IF(AND(M162="SC", I162&gt;60), "SC BUY",IF(AND(M162="SC", I162&gt;50), "FIRST SC BUY",IF(AND(M162="VSC", I162&gt;80), "SURE VSC BUY",IF(AND(M162="VSC", I162&gt;70), "VSC BUY",IF(AND(M162="VSC", I162&gt;60), "FIRST VSC BUY","WATCH")))))))))))))))))))</f>
        <v>#VALUE!</v>
      </c>
      <c r="K162" s="54" t="e" vm="135">
        <f t="shared" ref="K162:K193" si="22">(G162-D162)*100/G162</f>
        <v>#VALUE!</v>
      </c>
      <c r="L162" s="20" t="e" vm="143">
        <f t="array" ref="L162">_FV(A162,"Market cap",TRUE)/10000000</f>
        <v>#VALUE!</v>
      </c>
      <c r="M162" s="21" t="e" vm="135">
        <f t="shared" ref="M162:M193" si="23">IF(L162&gt;500000,"HLC",IF(L162 &gt;100000,"LC",IF(L162 &gt;40000,"HMC",IF(L162 &gt;10000,"MC",IF(L162 &gt;=5000,"HSC",IF(L162 &gt;1000,"SC","VSC"))))))</f>
        <v>#VALUE!</v>
      </c>
      <c r="N162" t="s">
        <v>30</v>
      </c>
      <c r="O162" s="46" t="e" vm="48">
        <f t="array" ref="O162">_FV(A162,"Industry")</f>
        <v>#VALUE!</v>
      </c>
    </row>
    <row r="163" spans="1:15">
      <c r="A163" t="e">
        <v>#VALUE!</v>
      </c>
      <c r="B163" s="33" t="e" vm="142">
        <f t="array" ref="B163">_FV(A163,"Change (%)",TRUE)</f>
        <v>#VALUE!</v>
      </c>
      <c r="C163" s="35" t="e" vm="136">
        <f t="array" ref="C163">_FV(A163,"Previous close",TRUE)</f>
        <v>#VALUE!</v>
      </c>
      <c r="D163" s="35" t="e" vm="137">
        <f t="array" ref="D163">_FV(A163,"Price")</f>
        <v>#VALUE!</v>
      </c>
      <c r="E163" s="35" t="e" vm="138">
        <f t="array" ref="E163">_FV(A163,"Low")</f>
        <v>#VALUE!</v>
      </c>
      <c r="F163" s="35" t="e" vm="139">
        <f t="array" ref="F163">_FV(A163,"High")</f>
        <v>#VALUE!</v>
      </c>
      <c r="G163" s="35" t="e" vm="140">
        <f t="array" ref="G163">_FV(A163,"52 week low",TRUE)</f>
        <v>#VALUE!</v>
      </c>
      <c r="H163" s="36" t="e" vm="141">
        <f t="array" ref="H163">_FV(A163,"52 week high",TRUE)</f>
        <v>#VALUE!</v>
      </c>
      <c r="I163" s="40" t="e" vm="135">
        <f t="shared" si="20"/>
        <v>#VALUE!</v>
      </c>
      <c r="J163" s="39" t="e" vm="135">
        <f t="shared" si="21"/>
        <v>#VALUE!</v>
      </c>
      <c r="K163" s="54" t="e" vm="135">
        <f t="shared" si="22"/>
        <v>#VALUE!</v>
      </c>
      <c r="L163" s="20" t="e" vm="143">
        <f t="array" ref="L163">_FV(A163,"Market cap",TRUE)/10000000</f>
        <v>#VALUE!</v>
      </c>
      <c r="M163" s="21" t="e" vm="135">
        <f t="shared" si="23"/>
        <v>#VALUE!</v>
      </c>
      <c r="N163" t="s">
        <v>43</v>
      </c>
      <c r="O163" s="46" t="e" vm="48">
        <f t="array" ref="O163">_FV(A163,"Industry")</f>
        <v>#VALUE!</v>
      </c>
    </row>
    <row r="164" spans="1:15">
      <c r="A164" t="e">
        <v>#VALUE!</v>
      </c>
      <c r="B164" s="33" t="e" vm="142">
        <f t="array" ref="B164">_FV(A164,"Change (%)",TRUE)</f>
        <v>#VALUE!</v>
      </c>
      <c r="C164" s="35" t="e" vm="136">
        <f t="array" ref="C164">_FV(A164,"Previous close",TRUE)</f>
        <v>#VALUE!</v>
      </c>
      <c r="D164" s="35" t="e" vm="137">
        <f t="array" ref="D164">_FV(A164,"Price")</f>
        <v>#VALUE!</v>
      </c>
      <c r="E164" s="35" t="e" vm="138">
        <f t="array" ref="E164">_FV(A164,"Low")</f>
        <v>#VALUE!</v>
      </c>
      <c r="F164" s="35" t="e" vm="139">
        <f t="array" ref="F164">_FV(A164,"High")</f>
        <v>#VALUE!</v>
      </c>
      <c r="G164" s="35" t="e" vm="140">
        <f t="array" ref="G164">_FV(A164,"52 week low",TRUE)</f>
        <v>#VALUE!</v>
      </c>
      <c r="H164" s="36" t="e" vm="141">
        <f t="array" ref="H164">_FV(A164,"52 week high",TRUE)</f>
        <v>#VALUE!</v>
      </c>
      <c r="I164" s="40" t="e" vm="135">
        <f t="shared" si="20"/>
        <v>#VALUE!</v>
      </c>
      <c r="J164" s="39" t="e" vm="135">
        <f t="shared" si="21"/>
        <v>#VALUE!</v>
      </c>
      <c r="K164" s="54" t="e" vm="135">
        <f t="shared" si="22"/>
        <v>#VALUE!</v>
      </c>
      <c r="L164" s="20" t="e" vm="143">
        <f t="array" ref="L164">_FV(A164,"Market cap",TRUE)/10000000</f>
        <v>#VALUE!</v>
      </c>
      <c r="M164" s="21" t="e" vm="135">
        <f t="shared" si="23"/>
        <v>#VALUE!</v>
      </c>
      <c r="N164" t="s">
        <v>30</v>
      </c>
      <c r="O164" s="46" t="e" vm="48">
        <f t="array" ref="O164">_FV(A164,"Industry")</f>
        <v>#VALUE!</v>
      </c>
    </row>
    <row r="165" spans="1:15">
      <c r="A165" t="e">
        <v>#VALUE!</v>
      </c>
      <c r="B165" s="33" t="e" vm="142">
        <f t="array" ref="B165">_FV(A165,"Change (%)",TRUE)</f>
        <v>#VALUE!</v>
      </c>
      <c r="C165" s="35" t="e" vm="136">
        <f t="array" ref="C165">_FV(A165,"Previous close",TRUE)</f>
        <v>#VALUE!</v>
      </c>
      <c r="D165" s="35" t="e" vm="137">
        <f t="array" ref="D165">_FV(A165,"Price")</f>
        <v>#VALUE!</v>
      </c>
      <c r="E165" s="35" t="e" vm="138">
        <f t="array" ref="E165">_FV(A165,"Low")</f>
        <v>#VALUE!</v>
      </c>
      <c r="F165" s="35" t="e" vm="139">
        <f t="array" ref="F165">_FV(A165,"High")</f>
        <v>#VALUE!</v>
      </c>
      <c r="G165" s="35" t="e" vm="140">
        <f t="array" ref="G165">_FV(A165,"52 week low",TRUE)</f>
        <v>#VALUE!</v>
      </c>
      <c r="H165" s="36" t="e" vm="141">
        <f t="array" ref="H165">_FV(A165,"52 week high",TRUE)</f>
        <v>#VALUE!</v>
      </c>
      <c r="I165" s="40" t="e" vm="135">
        <f t="shared" si="20"/>
        <v>#VALUE!</v>
      </c>
      <c r="J165" s="39" t="e" vm="135">
        <f t="shared" si="21"/>
        <v>#VALUE!</v>
      </c>
      <c r="K165" s="54" t="e" vm="135">
        <f t="shared" si="22"/>
        <v>#VALUE!</v>
      </c>
      <c r="L165" s="20" t="e" vm="143">
        <f t="array" ref="L165">_FV(A165,"Market cap",TRUE)/10000000</f>
        <v>#VALUE!</v>
      </c>
      <c r="M165" s="21" t="e" vm="135">
        <f t="shared" si="23"/>
        <v>#VALUE!</v>
      </c>
      <c r="N165" t="s">
        <v>30</v>
      </c>
      <c r="O165" s="46" t="e" vm="48">
        <f t="array" ref="O165">_FV(A165,"Industry")</f>
        <v>#VALUE!</v>
      </c>
    </row>
    <row r="166" spans="1:15">
      <c r="A166" t="e">
        <v>#VALUE!</v>
      </c>
      <c r="B166" s="33" t="e" vm="142">
        <f t="array" ref="B166">_FV(A166,"Change (%)",TRUE)</f>
        <v>#VALUE!</v>
      </c>
      <c r="C166" s="35" t="e" vm="136">
        <f t="array" ref="C166">_FV(A166,"Previous close",TRUE)</f>
        <v>#VALUE!</v>
      </c>
      <c r="D166" s="35" t="e" vm="137">
        <f t="array" ref="D166">_FV(A166,"Price")</f>
        <v>#VALUE!</v>
      </c>
      <c r="E166" s="35" t="e" vm="138">
        <f t="array" ref="E166">_FV(A166,"Low")</f>
        <v>#VALUE!</v>
      </c>
      <c r="F166" s="35" t="e" vm="139">
        <f t="array" ref="F166">_FV(A166,"High")</f>
        <v>#VALUE!</v>
      </c>
      <c r="G166" s="35" t="e" vm="140">
        <f t="array" ref="G166">_FV(A166,"52 week low",TRUE)</f>
        <v>#VALUE!</v>
      </c>
      <c r="H166" s="36" t="e" vm="141">
        <f t="array" ref="H166">_FV(A166,"52 week high",TRUE)</f>
        <v>#VALUE!</v>
      </c>
      <c r="I166" s="40" t="e" vm="135">
        <f t="shared" si="20"/>
        <v>#VALUE!</v>
      </c>
      <c r="J166" s="39" t="e" vm="135">
        <f t="shared" si="21"/>
        <v>#VALUE!</v>
      </c>
      <c r="K166" s="54" t="e" vm="135">
        <f t="shared" si="22"/>
        <v>#VALUE!</v>
      </c>
      <c r="L166" s="20" t="e" vm="143">
        <f t="array" ref="L166">_FV(A166,"Market cap",TRUE)/10000000</f>
        <v>#VALUE!</v>
      </c>
      <c r="M166" s="21" t="e" vm="135">
        <f t="shared" si="23"/>
        <v>#VALUE!</v>
      </c>
      <c r="N166" t="s">
        <v>42</v>
      </c>
      <c r="O166" s="46" t="e" vm="48">
        <f t="array" ref="O166">_FV(A166,"Industry")</f>
        <v>#VALUE!</v>
      </c>
    </row>
    <row r="167" spans="1:15">
      <c r="A167" t="e">
        <v>#VALUE!</v>
      </c>
      <c r="B167" s="33" t="e" vm="142">
        <f t="array" ref="B167">_FV(A167,"Change (%)",TRUE)</f>
        <v>#VALUE!</v>
      </c>
      <c r="C167" s="35" t="e" vm="136">
        <f t="array" ref="C167">_FV(A167,"Previous close",TRUE)</f>
        <v>#VALUE!</v>
      </c>
      <c r="D167" s="35" t="e" vm="137">
        <f t="array" ref="D167">_FV(A167,"Price")</f>
        <v>#VALUE!</v>
      </c>
      <c r="E167" s="35" t="e" vm="138">
        <f t="array" ref="E167">_FV(A167,"Low")</f>
        <v>#VALUE!</v>
      </c>
      <c r="F167" s="35" t="e" vm="139">
        <f t="array" ref="F167">_FV(A167,"High")</f>
        <v>#VALUE!</v>
      </c>
      <c r="G167" s="35" t="e" vm="140">
        <f t="array" ref="G167">_FV(A167,"52 week low",TRUE)</f>
        <v>#VALUE!</v>
      </c>
      <c r="H167" s="36" t="e" vm="141">
        <f t="array" ref="H167">_FV(A167,"52 week high",TRUE)</f>
        <v>#VALUE!</v>
      </c>
      <c r="I167" s="40" t="e" vm="135">
        <f t="shared" si="20"/>
        <v>#VALUE!</v>
      </c>
      <c r="J167" s="39" t="e" vm="135">
        <f t="shared" si="21"/>
        <v>#VALUE!</v>
      </c>
      <c r="K167" s="54" t="e" vm="135">
        <f t="shared" si="22"/>
        <v>#VALUE!</v>
      </c>
      <c r="L167" s="20" t="e" vm="143">
        <f t="array" ref="L167">_FV(A167,"Market cap",TRUE)/10000000</f>
        <v>#VALUE!</v>
      </c>
      <c r="M167" s="21" t="e" vm="135">
        <f t="shared" si="23"/>
        <v>#VALUE!</v>
      </c>
      <c r="N167" t="s">
        <v>48</v>
      </c>
      <c r="O167" s="46" t="e" vm="48">
        <f t="array" ref="O167">_FV(A167,"Industry")</f>
        <v>#VALUE!</v>
      </c>
    </row>
    <row r="168" spans="1:15">
      <c r="A168" t="e">
        <v>#VALUE!</v>
      </c>
      <c r="B168" s="33" t="e" vm="142">
        <f t="array" ref="B168">_FV(A168,"Change (%)",TRUE)</f>
        <v>#VALUE!</v>
      </c>
      <c r="C168" s="35" t="e" vm="136">
        <f t="array" ref="C168">_FV(A168,"Previous close",TRUE)</f>
        <v>#VALUE!</v>
      </c>
      <c r="D168" s="35" t="e" vm="137">
        <f t="array" ref="D168">_FV(A168,"Price")</f>
        <v>#VALUE!</v>
      </c>
      <c r="E168" s="35" t="e" vm="138">
        <f t="array" ref="E168">_FV(A168,"Low")</f>
        <v>#VALUE!</v>
      </c>
      <c r="F168" s="35" t="e" vm="139">
        <f t="array" ref="F168">_FV(A168,"High")</f>
        <v>#VALUE!</v>
      </c>
      <c r="G168" s="35" t="e" vm="140">
        <f t="array" ref="G168">_FV(A168,"52 week low",TRUE)</f>
        <v>#VALUE!</v>
      </c>
      <c r="H168" s="36" t="e" vm="141">
        <f t="array" ref="H168">_FV(A168,"52 week high",TRUE)</f>
        <v>#VALUE!</v>
      </c>
      <c r="I168" s="40" t="e" vm="135">
        <f t="shared" si="20"/>
        <v>#VALUE!</v>
      </c>
      <c r="J168" s="39" t="e" vm="135">
        <f t="shared" si="21"/>
        <v>#VALUE!</v>
      </c>
      <c r="K168" s="54" t="e" vm="135">
        <f t="shared" si="22"/>
        <v>#VALUE!</v>
      </c>
      <c r="L168" s="20" t="e" vm="143">
        <f t="array" ref="L168">_FV(A168,"Market cap",TRUE)/10000000</f>
        <v>#VALUE!</v>
      </c>
      <c r="M168" s="21" t="e" vm="135">
        <f t="shared" si="23"/>
        <v>#VALUE!</v>
      </c>
      <c r="N168" t="s">
        <v>42</v>
      </c>
      <c r="O168" s="46" t="e" vm="48">
        <f t="array" ref="O168">_FV(A168,"Industry")</f>
        <v>#VALUE!</v>
      </c>
    </row>
    <row r="169" spans="1:15">
      <c r="A169" t="e">
        <v>#VALUE!</v>
      </c>
      <c r="B169" s="33" t="e" vm="142">
        <f t="array" ref="B169">_FV(A169,"Change (%)",TRUE)</f>
        <v>#VALUE!</v>
      </c>
      <c r="C169" s="35" t="e" vm="136">
        <f t="array" ref="C169">_FV(A169,"Previous close",TRUE)</f>
        <v>#VALUE!</v>
      </c>
      <c r="D169" s="35" t="e" vm="137">
        <f t="array" ref="D169">_FV(A169,"Price")</f>
        <v>#VALUE!</v>
      </c>
      <c r="E169" s="35" t="e" vm="138">
        <f t="array" ref="E169">_FV(A169,"Low")</f>
        <v>#VALUE!</v>
      </c>
      <c r="F169" s="35" t="e" vm="139">
        <f t="array" ref="F169">_FV(A169,"High")</f>
        <v>#VALUE!</v>
      </c>
      <c r="G169" s="35" t="e" vm="140">
        <f t="array" ref="G169">_FV(A169,"52 week low",TRUE)</f>
        <v>#VALUE!</v>
      </c>
      <c r="H169" s="36" t="e" vm="141">
        <f t="array" ref="H169">_FV(A169,"52 week high",TRUE)</f>
        <v>#VALUE!</v>
      </c>
      <c r="I169" s="40" t="e" vm="135">
        <f t="shared" si="20"/>
        <v>#VALUE!</v>
      </c>
      <c r="J169" s="39" t="e" vm="135">
        <f t="shared" si="21"/>
        <v>#VALUE!</v>
      </c>
      <c r="K169" s="54" t="e" vm="135">
        <f t="shared" si="22"/>
        <v>#VALUE!</v>
      </c>
      <c r="L169" s="20" t="e" vm="143">
        <f t="array" ref="L169">_FV(A169,"Market cap",TRUE)/10000000</f>
        <v>#VALUE!</v>
      </c>
      <c r="M169" s="21" t="e" vm="135">
        <f t="shared" si="23"/>
        <v>#VALUE!</v>
      </c>
      <c r="N169" t="s">
        <v>46</v>
      </c>
      <c r="O169" s="45" t="e" vm="48">
        <f t="array" ref="O169">_FV(A169,"Industry")</f>
        <v>#VALUE!</v>
      </c>
    </row>
    <row r="170" spans="1:15">
      <c r="A170" t="e">
        <v>#VALUE!</v>
      </c>
      <c r="B170" s="33" t="e" vm="142">
        <f t="array" ref="B170">_FV(A170,"Change (%)",TRUE)</f>
        <v>#VALUE!</v>
      </c>
      <c r="C170" s="35" t="e" vm="136">
        <f t="array" ref="C170">_FV(A170,"Previous close",TRUE)</f>
        <v>#VALUE!</v>
      </c>
      <c r="D170" s="35" t="e" vm="137">
        <f t="array" ref="D170">_FV(A170,"Price")</f>
        <v>#VALUE!</v>
      </c>
      <c r="E170" s="35" t="e" vm="138">
        <f t="array" ref="E170">_FV(A170,"Low")</f>
        <v>#VALUE!</v>
      </c>
      <c r="F170" s="35" t="e" vm="139">
        <f t="array" ref="F170">_FV(A170,"High")</f>
        <v>#VALUE!</v>
      </c>
      <c r="G170" s="35" t="e" vm="140">
        <f t="array" ref="G170">_FV(A170,"52 week low",TRUE)</f>
        <v>#VALUE!</v>
      </c>
      <c r="H170" s="36" t="e" vm="141">
        <f t="array" ref="H170">_FV(A170,"52 week high",TRUE)</f>
        <v>#VALUE!</v>
      </c>
      <c r="I170" s="40" t="e" vm="135">
        <f t="shared" si="20"/>
        <v>#VALUE!</v>
      </c>
      <c r="J170" s="39" t="e" vm="135">
        <f t="shared" si="21"/>
        <v>#VALUE!</v>
      </c>
      <c r="K170" s="54" t="e" vm="135">
        <f t="shared" si="22"/>
        <v>#VALUE!</v>
      </c>
      <c r="L170" s="20" t="e" vm="143">
        <f t="array" ref="L170">_FV(A170,"Market cap",TRUE)/10000000</f>
        <v>#VALUE!</v>
      </c>
      <c r="M170" s="21" t="e" vm="135">
        <f t="shared" si="23"/>
        <v>#VALUE!</v>
      </c>
      <c r="N170" t="s">
        <v>46</v>
      </c>
      <c r="O170" s="46" t="e" vm="48">
        <f t="array" ref="O170">_FV(A170,"Industry")</f>
        <v>#VALUE!</v>
      </c>
    </row>
    <row r="171" spans="1:15">
      <c r="A171" t="e">
        <v>#VALUE!</v>
      </c>
      <c r="B171" s="33" t="e" vm="142">
        <f t="array" ref="B171">_FV(A171,"Change (%)",TRUE)</f>
        <v>#VALUE!</v>
      </c>
      <c r="C171" s="35" t="e" vm="136">
        <f t="array" ref="C171">_FV(A171,"Previous close",TRUE)</f>
        <v>#VALUE!</v>
      </c>
      <c r="D171" s="35" t="e" vm="137">
        <f t="array" ref="D171">_FV(A171,"Price")</f>
        <v>#VALUE!</v>
      </c>
      <c r="E171" s="35" t="e" vm="138">
        <f t="array" ref="E171">_FV(A171,"Low")</f>
        <v>#VALUE!</v>
      </c>
      <c r="F171" s="35" t="e" vm="139">
        <f t="array" ref="F171">_FV(A171,"High")</f>
        <v>#VALUE!</v>
      </c>
      <c r="G171" s="35" t="e" vm="140">
        <f t="array" ref="G171">_FV(A171,"52 week low",TRUE)</f>
        <v>#VALUE!</v>
      </c>
      <c r="H171" s="36" t="e" vm="141">
        <f t="array" ref="H171">_FV(A171,"52 week high",TRUE)</f>
        <v>#VALUE!</v>
      </c>
      <c r="I171" s="40" t="e" vm="135">
        <f t="shared" si="20"/>
        <v>#VALUE!</v>
      </c>
      <c r="J171" s="39" t="e" vm="135">
        <f t="shared" si="21"/>
        <v>#VALUE!</v>
      </c>
      <c r="K171" s="54" t="e" vm="135">
        <f t="shared" si="22"/>
        <v>#VALUE!</v>
      </c>
      <c r="L171" s="20" t="e" vm="143">
        <f t="array" ref="L171">_FV(A171,"Market cap",TRUE)/10000000</f>
        <v>#VALUE!</v>
      </c>
      <c r="M171" s="21" t="e" vm="135">
        <f t="shared" si="23"/>
        <v>#VALUE!</v>
      </c>
      <c r="N171" t="s">
        <v>42</v>
      </c>
      <c r="O171" s="46" t="e" vm="48">
        <f t="array" ref="O171">_FV(A171,"Industry")</f>
        <v>#VALUE!</v>
      </c>
    </row>
    <row r="172" spans="1:15">
      <c r="A172" t="e">
        <v>#VALUE!</v>
      </c>
      <c r="B172" s="33" t="e" vm="142">
        <f t="array" ref="B172">_FV(A172,"Change (%)",TRUE)</f>
        <v>#VALUE!</v>
      </c>
      <c r="C172" s="35" t="e" vm="136">
        <f t="array" ref="C172">_FV(A172,"Previous close",TRUE)</f>
        <v>#VALUE!</v>
      </c>
      <c r="D172" s="35" t="e" vm="137">
        <f t="array" ref="D172">_FV(A172,"Price")</f>
        <v>#VALUE!</v>
      </c>
      <c r="E172" s="35" t="e" vm="138">
        <f t="array" ref="E172">_FV(A172,"Low")</f>
        <v>#VALUE!</v>
      </c>
      <c r="F172" s="35" t="e" vm="139">
        <f t="array" ref="F172">_FV(A172,"High")</f>
        <v>#VALUE!</v>
      </c>
      <c r="G172" s="35" t="e" vm="140">
        <f t="array" ref="G172">_FV(A172,"52 week low",TRUE)</f>
        <v>#VALUE!</v>
      </c>
      <c r="H172" s="36" t="e" vm="141">
        <f t="array" ref="H172">_FV(A172,"52 week high",TRUE)</f>
        <v>#VALUE!</v>
      </c>
      <c r="I172" s="40" t="e" vm="135">
        <f t="shared" si="20"/>
        <v>#VALUE!</v>
      </c>
      <c r="J172" s="39" t="e" vm="135">
        <f t="shared" si="21"/>
        <v>#VALUE!</v>
      </c>
      <c r="K172" s="54" t="e" vm="135">
        <f t="shared" si="22"/>
        <v>#VALUE!</v>
      </c>
      <c r="L172" s="20" t="e" vm="143">
        <f t="array" ref="L172">_FV(A172,"Market cap",TRUE)/10000000</f>
        <v>#VALUE!</v>
      </c>
      <c r="M172" s="21" t="e" vm="135">
        <f t="shared" si="23"/>
        <v>#VALUE!</v>
      </c>
      <c r="N172" t="s">
        <v>52</v>
      </c>
      <c r="O172" s="46" t="e" vm="48">
        <f t="array" ref="O172">_FV(A172,"Industry")</f>
        <v>#VALUE!</v>
      </c>
    </row>
    <row r="173" spans="1:15">
      <c r="A173" t="e">
        <v>#VALUE!</v>
      </c>
      <c r="B173" s="33" t="e" vm="142">
        <f t="array" ref="B173">_FV(A173,"Change (%)",TRUE)</f>
        <v>#VALUE!</v>
      </c>
      <c r="C173" s="35" t="e" vm="136">
        <f t="array" ref="C173">_FV(A173,"Previous close",TRUE)</f>
        <v>#VALUE!</v>
      </c>
      <c r="D173" s="35" t="e" vm="137">
        <f t="array" ref="D173">_FV(A173,"Price")</f>
        <v>#VALUE!</v>
      </c>
      <c r="E173" s="35" t="e" vm="138">
        <f t="array" ref="E173">_FV(A173,"Low")</f>
        <v>#VALUE!</v>
      </c>
      <c r="F173" s="35" t="e" vm="139">
        <f t="array" ref="F173">_FV(A173,"High")</f>
        <v>#VALUE!</v>
      </c>
      <c r="G173" s="35" t="e" vm="140">
        <f t="array" ref="G173">_FV(A173,"52 week low",TRUE)</f>
        <v>#VALUE!</v>
      </c>
      <c r="H173" s="36" t="e" vm="141">
        <f t="array" ref="H173">_FV(A173,"52 week high",TRUE)</f>
        <v>#VALUE!</v>
      </c>
      <c r="I173" s="40" t="e" vm="135">
        <f t="shared" si="20"/>
        <v>#VALUE!</v>
      </c>
      <c r="J173" s="39" t="e" vm="135">
        <f t="shared" si="21"/>
        <v>#VALUE!</v>
      </c>
      <c r="K173" s="54" t="e" vm="135">
        <f t="shared" si="22"/>
        <v>#VALUE!</v>
      </c>
      <c r="L173" s="20" t="e" vm="143">
        <f t="array" ref="L173">_FV(A173,"Market cap",TRUE)/10000000</f>
        <v>#VALUE!</v>
      </c>
      <c r="M173" s="21" t="e" vm="135">
        <f t="shared" si="23"/>
        <v>#VALUE!</v>
      </c>
      <c r="N173" t="s">
        <v>42</v>
      </c>
      <c r="O173" s="46" t="e" vm="48">
        <f t="array" ref="O173">_FV(A173,"Industry")</f>
        <v>#VALUE!</v>
      </c>
    </row>
    <row r="174" spans="1:15">
      <c r="A174" t="e">
        <v>#VALUE!</v>
      </c>
      <c r="B174" s="33" t="e" vm="142">
        <f t="array" ref="B174">_FV(A174,"Change (%)",TRUE)</f>
        <v>#VALUE!</v>
      </c>
      <c r="C174" s="35" t="e" vm="136">
        <f t="array" ref="C174">_FV(A174,"Previous close",TRUE)</f>
        <v>#VALUE!</v>
      </c>
      <c r="D174" s="35" t="e" vm="137">
        <f t="array" ref="D174">_FV(A174,"Price")</f>
        <v>#VALUE!</v>
      </c>
      <c r="E174" s="35" t="e" vm="138">
        <f t="array" ref="E174">_FV(A174,"Low")</f>
        <v>#VALUE!</v>
      </c>
      <c r="F174" s="35" t="e" vm="139">
        <f t="array" ref="F174">_FV(A174,"High")</f>
        <v>#VALUE!</v>
      </c>
      <c r="G174" s="35" t="e" vm="140">
        <f t="array" ref="G174">_FV(A174,"52 week low",TRUE)</f>
        <v>#VALUE!</v>
      </c>
      <c r="H174" s="36" t="e" vm="141">
        <f t="array" ref="H174">_FV(A174,"52 week high",TRUE)</f>
        <v>#VALUE!</v>
      </c>
      <c r="I174" s="40" t="e" vm="135">
        <f t="shared" si="20"/>
        <v>#VALUE!</v>
      </c>
      <c r="J174" s="39" t="e" vm="135">
        <f t="shared" si="21"/>
        <v>#VALUE!</v>
      </c>
      <c r="K174" s="54" t="e" vm="135">
        <f t="shared" si="22"/>
        <v>#VALUE!</v>
      </c>
      <c r="L174" s="20" t="e" vm="143">
        <f t="array" ref="L174">_FV(A174,"Market cap",TRUE)/10000000</f>
        <v>#VALUE!</v>
      </c>
      <c r="M174" s="21" t="e" vm="135">
        <f t="shared" si="23"/>
        <v>#VALUE!</v>
      </c>
      <c r="N174" t="s">
        <v>30</v>
      </c>
      <c r="O174" s="46" t="e" vm="48">
        <f t="array" ref="O174">_FV(A174,"Industry")</f>
        <v>#VALUE!</v>
      </c>
    </row>
    <row r="175" spans="1:15">
      <c r="A175" t="e">
        <v>#VALUE!</v>
      </c>
      <c r="B175" s="33" t="e" vm="142">
        <f t="array" ref="B175">_FV(A175,"Change (%)",TRUE)</f>
        <v>#VALUE!</v>
      </c>
      <c r="C175" s="35" t="e" vm="136">
        <f t="array" ref="C175">_FV(A175,"Previous close",TRUE)</f>
        <v>#VALUE!</v>
      </c>
      <c r="D175" s="35" t="e" vm="137">
        <f t="array" ref="D175">_FV(A175,"Price")</f>
        <v>#VALUE!</v>
      </c>
      <c r="E175" s="35" t="e" vm="138">
        <f t="array" ref="E175">_FV(A175,"Low")</f>
        <v>#VALUE!</v>
      </c>
      <c r="F175" s="35" t="e" vm="139">
        <f t="array" ref="F175">_FV(A175,"High")</f>
        <v>#VALUE!</v>
      </c>
      <c r="G175" s="35" t="e" vm="140">
        <f t="array" ref="G175">_FV(A175,"52 week low",TRUE)</f>
        <v>#VALUE!</v>
      </c>
      <c r="H175" s="36" t="e" vm="141">
        <f t="array" ref="H175">_FV(A175,"52 week high",TRUE)</f>
        <v>#VALUE!</v>
      </c>
      <c r="I175" s="40" t="e" vm="135">
        <f t="shared" si="20"/>
        <v>#VALUE!</v>
      </c>
      <c r="J175" s="39" t="e" vm="135">
        <f t="shared" si="21"/>
        <v>#VALUE!</v>
      </c>
      <c r="K175" s="54" t="e" vm="135">
        <f t="shared" si="22"/>
        <v>#VALUE!</v>
      </c>
      <c r="L175" s="20" t="e" vm="143">
        <f t="array" ref="L175">_FV(A175,"Market cap",TRUE)/10000000</f>
        <v>#VALUE!</v>
      </c>
      <c r="M175" s="21" t="e" vm="135">
        <f t="shared" si="23"/>
        <v>#VALUE!</v>
      </c>
      <c r="N175" t="s">
        <v>30</v>
      </c>
      <c r="O175" s="46" t="e" vm="48">
        <f t="array" ref="O175">_FV(A175,"Industry")</f>
        <v>#VALUE!</v>
      </c>
    </row>
    <row r="176" spans="1:15">
      <c r="A176" t="e">
        <v>#VALUE!</v>
      </c>
      <c r="B176" s="33" t="e" vm="142">
        <f t="array" ref="B176">_FV(A176,"Change (%)",TRUE)</f>
        <v>#VALUE!</v>
      </c>
      <c r="C176" s="35" t="e" vm="136">
        <f t="array" ref="C176">_FV(A176,"Previous close",TRUE)</f>
        <v>#VALUE!</v>
      </c>
      <c r="D176" s="35" t="e" vm="137">
        <f t="array" ref="D176">_FV(A176,"Price")</f>
        <v>#VALUE!</v>
      </c>
      <c r="E176" s="35" t="e" vm="138">
        <f t="array" ref="E176">_FV(A176,"Low")</f>
        <v>#VALUE!</v>
      </c>
      <c r="F176" s="35" t="e" vm="139">
        <f t="array" ref="F176">_FV(A176,"High")</f>
        <v>#VALUE!</v>
      </c>
      <c r="G176" s="35" t="e" vm="140">
        <f t="array" ref="G176">_FV(A176,"52 week low",TRUE)</f>
        <v>#VALUE!</v>
      </c>
      <c r="H176" s="36" t="e" vm="141">
        <f t="array" ref="H176">_FV(A176,"52 week high",TRUE)</f>
        <v>#VALUE!</v>
      </c>
      <c r="I176" s="40" t="e" vm="135">
        <f t="shared" si="20"/>
        <v>#VALUE!</v>
      </c>
      <c r="J176" s="39" t="e" vm="135">
        <f t="shared" si="21"/>
        <v>#VALUE!</v>
      </c>
      <c r="K176" s="54" t="e" vm="135">
        <f t="shared" si="22"/>
        <v>#VALUE!</v>
      </c>
      <c r="L176" s="20" t="e" vm="143">
        <f t="array" ref="L176">_FV(A176,"Market cap",TRUE)/10000000</f>
        <v>#VALUE!</v>
      </c>
      <c r="M176" s="21" t="e" vm="135">
        <f t="shared" si="23"/>
        <v>#VALUE!</v>
      </c>
      <c r="N176" t="s">
        <v>50</v>
      </c>
      <c r="O176" s="46" t="e" vm="48">
        <f t="array" ref="O176">_FV(A176,"Industry")</f>
        <v>#VALUE!</v>
      </c>
    </row>
    <row r="177" spans="1:15">
      <c r="A177" t="e">
        <v>#VALUE!</v>
      </c>
      <c r="B177" s="33" t="e" vm="142">
        <f t="array" ref="B177">_FV(A177,"Change (%)",TRUE)</f>
        <v>#VALUE!</v>
      </c>
      <c r="C177" s="35" t="e" vm="136">
        <f t="array" ref="C177">_FV(A177,"Previous close",TRUE)</f>
        <v>#VALUE!</v>
      </c>
      <c r="D177" s="35" t="e" vm="137">
        <f t="array" ref="D177">_FV(A177,"Price")</f>
        <v>#VALUE!</v>
      </c>
      <c r="E177" s="35" t="e" vm="138">
        <f t="array" ref="E177">_FV(A177,"Low")</f>
        <v>#VALUE!</v>
      </c>
      <c r="F177" s="35" t="e" vm="139">
        <f t="array" ref="F177">_FV(A177,"High")</f>
        <v>#VALUE!</v>
      </c>
      <c r="G177" s="35" t="e" vm="140">
        <f t="array" ref="G177">_FV(A177,"52 week low",TRUE)</f>
        <v>#VALUE!</v>
      </c>
      <c r="H177" s="36" t="e" vm="141">
        <f t="array" ref="H177">_FV(A177,"52 week high",TRUE)</f>
        <v>#VALUE!</v>
      </c>
      <c r="I177" s="40" t="e" vm="135">
        <f t="shared" si="20"/>
        <v>#VALUE!</v>
      </c>
      <c r="J177" s="39" t="e" vm="135">
        <f t="shared" si="21"/>
        <v>#VALUE!</v>
      </c>
      <c r="K177" s="54" t="e" vm="135">
        <f t="shared" si="22"/>
        <v>#VALUE!</v>
      </c>
      <c r="L177" s="20" t="e" vm="143">
        <f t="array" ref="L177">_FV(A177,"Market cap",TRUE)/10000000</f>
        <v>#VALUE!</v>
      </c>
      <c r="M177" s="21" t="e" vm="135">
        <f t="shared" si="23"/>
        <v>#VALUE!</v>
      </c>
      <c r="N177" t="s">
        <v>51</v>
      </c>
      <c r="O177" s="46" t="e" vm="48">
        <f t="array" ref="O177">_FV(A177,"Industry")</f>
        <v>#VALUE!</v>
      </c>
    </row>
    <row r="178" spans="1:15">
      <c r="A178" t="e">
        <v>#VALUE!</v>
      </c>
      <c r="B178" s="33" t="e" vm="142">
        <f t="array" ref="B178">_FV(A178,"Change (%)",TRUE)</f>
        <v>#VALUE!</v>
      </c>
      <c r="C178" s="35" t="e" vm="136">
        <f t="array" ref="C178">_FV(A178,"Previous close",TRUE)</f>
        <v>#VALUE!</v>
      </c>
      <c r="D178" s="35" t="e" vm="137">
        <f t="array" ref="D178">_FV(A178,"Price")</f>
        <v>#VALUE!</v>
      </c>
      <c r="E178" s="35" t="e" vm="138">
        <f t="array" ref="E178">_FV(A178,"Low")</f>
        <v>#VALUE!</v>
      </c>
      <c r="F178" s="35" t="e" vm="139">
        <f t="array" ref="F178">_FV(A178,"High")</f>
        <v>#VALUE!</v>
      </c>
      <c r="G178" s="35" t="e" vm="140">
        <f t="array" ref="G178">_FV(A178,"52 week low",TRUE)</f>
        <v>#VALUE!</v>
      </c>
      <c r="H178" s="36" t="e" vm="141">
        <f t="array" ref="H178">_FV(A178,"52 week high",TRUE)</f>
        <v>#VALUE!</v>
      </c>
      <c r="I178" s="40" t="e" vm="135">
        <f t="shared" si="20"/>
        <v>#VALUE!</v>
      </c>
      <c r="J178" s="39" t="e" vm="135">
        <f t="shared" si="21"/>
        <v>#VALUE!</v>
      </c>
      <c r="K178" s="54" t="e" vm="135">
        <f t="shared" si="22"/>
        <v>#VALUE!</v>
      </c>
      <c r="L178" s="20" t="e" vm="143">
        <f t="array" ref="L178">_FV(A178,"Market cap",TRUE)/10000000</f>
        <v>#VALUE!</v>
      </c>
      <c r="M178" s="21" t="e" vm="135">
        <f t="shared" si="23"/>
        <v>#VALUE!</v>
      </c>
      <c r="N178" t="s">
        <v>46</v>
      </c>
      <c r="O178" s="46" t="e" vm="48">
        <f t="array" ref="O178">_FV(A178,"Industry")</f>
        <v>#VALUE!</v>
      </c>
    </row>
    <row r="179" spans="1:15">
      <c r="A179" t="e">
        <v>#VALUE!</v>
      </c>
      <c r="B179" s="33" t="e" vm="142">
        <f t="array" ref="B179">_FV(A179,"Change (%)",TRUE)</f>
        <v>#VALUE!</v>
      </c>
      <c r="C179" s="35" t="e" vm="136">
        <f t="array" ref="C179">_FV(A179,"Previous close",TRUE)</f>
        <v>#VALUE!</v>
      </c>
      <c r="D179" s="35" t="e" vm="137">
        <f t="array" ref="D179">_FV(A179,"Price")</f>
        <v>#VALUE!</v>
      </c>
      <c r="E179" s="35" t="e" vm="138">
        <f t="array" ref="E179">_FV(A179,"Low")</f>
        <v>#VALUE!</v>
      </c>
      <c r="F179" s="35" t="e" vm="139">
        <f t="array" ref="F179">_FV(A179,"High")</f>
        <v>#VALUE!</v>
      </c>
      <c r="G179" s="35" t="e" vm="140">
        <f t="array" ref="G179">_FV(A179,"52 week low",TRUE)</f>
        <v>#VALUE!</v>
      </c>
      <c r="H179" s="36" t="e" vm="141">
        <f t="array" ref="H179">_FV(A179,"52 week high",TRUE)</f>
        <v>#VALUE!</v>
      </c>
      <c r="I179" s="40" t="e" vm="135">
        <f t="shared" si="20"/>
        <v>#VALUE!</v>
      </c>
      <c r="J179" s="39" t="e" vm="135">
        <f t="shared" si="21"/>
        <v>#VALUE!</v>
      </c>
      <c r="K179" s="54" t="e" vm="135">
        <f t="shared" si="22"/>
        <v>#VALUE!</v>
      </c>
      <c r="L179" s="20" t="e" vm="143">
        <f t="array" ref="L179">_FV(A179,"Market cap",TRUE)/10000000</f>
        <v>#VALUE!</v>
      </c>
      <c r="M179" s="21" t="e" vm="135">
        <f t="shared" si="23"/>
        <v>#VALUE!</v>
      </c>
      <c r="N179" t="s">
        <v>51</v>
      </c>
      <c r="O179" s="46" t="e" vm="48">
        <f t="array" ref="O179">_FV(A179,"Industry")</f>
        <v>#VALUE!</v>
      </c>
    </row>
    <row r="180" spans="1:15">
      <c r="A180" t="e">
        <v>#VALUE!</v>
      </c>
      <c r="B180" s="33" t="e" vm="142">
        <f t="array" ref="B180">_FV(A180,"Change (%)",TRUE)</f>
        <v>#VALUE!</v>
      </c>
      <c r="C180" s="35" t="e" vm="136">
        <f t="array" ref="C180">_FV(A180,"Previous close",TRUE)</f>
        <v>#VALUE!</v>
      </c>
      <c r="D180" s="35" t="e" vm="137">
        <f t="array" ref="D180">_FV(A180,"Price")</f>
        <v>#VALUE!</v>
      </c>
      <c r="E180" s="35" t="e" vm="138">
        <f t="array" ref="E180">_FV(A180,"Low")</f>
        <v>#VALUE!</v>
      </c>
      <c r="F180" s="35" t="e" vm="139">
        <f t="array" ref="F180">_FV(A180,"High")</f>
        <v>#VALUE!</v>
      </c>
      <c r="G180" s="35" t="e" vm="140">
        <f t="array" ref="G180">_FV(A180,"52 week low",TRUE)</f>
        <v>#VALUE!</v>
      </c>
      <c r="H180" s="36" t="e" vm="141">
        <f t="array" ref="H180">_FV(A180,"52 week high",TRUE)</f>
        <v>#VALUE!</v>
      </c>
      <c r="I180" s="40" t="e" vm="135">
        <f t="shared" si="20"/>
        <v>#VALUE!</v>
      </c>
      <c r="J180" s="39" t="e" vm="135">
        <f t="shared" si="21"/>
        <v>#VALUE!</v>
      </c>
      <c r="K180" s="54" t="e" vm="135">
        <f t="shared" si="22"/>
        <v>#VALUE!</v>
      </c>
      <c r="L180" s="20" t="e" vm="143">
        <f t="array" ref="L180">_FV(A180,"Market cap",TRUE)/10000000</f>
        <v>#VALUE!</v>
      </c>
      <c r="M180" s="21" t="e" vm="135">
        <f t="shared" si="23"/>
        <v>#VALUE!</v>
      </c>
      <c r="N180" t="s">
        <v>30</v>
      </c>
      <c r="O180" s="46" t="e" vm="48">
        <f t="array" ref="O180">_FV(A180,"Industry")</f>
        <v>#VALUE!</v>
      </c>
    </row>
    <row r="181" spans="1:15">
      <c r="A181" t="e">
        <v>#VALUE!</v>
      </c>
      <c r="B181" s="33" t="e" vm="142">
        <f t="array" ref="B181">_FV(A181,"Change (%)",TRUE)</f>
        <v>#VALUE!</v>
      </c>
      <c r="C181" s="35" t="e" vm="136">
        <f t="array" ref="C181">_FV(A181,"Previous close",TRUE)</f>
        <v>#VALUE!</v>
      </c>
      <c r="D181" s="35" t="e" vm="137">
        <f t="array" ref="D181">_FV(A181,"Price")</f>
        <v>#VALUE!</v>
      </c>
      <c r="E181" s="35" t="e" vm="138">
        <f t="array" ref="E181">_FV(A181,"Low")</f>
        <v>#VALUE!</v>
      </c>
      <c r="F181" s="35" t="e" vm="139">
        <f t="array" ref="F181">_FV(A181,"High")</f>
        <v>#VALUE!</v>
      </c>
      <c r="G181" s="35" t="e" vm="140">
        <f t="array" ref="G181">_FV(A181,"52 week low",TRUE)</f>
        <v>#VALUE!</v>
      </c>
      <c r="H181" s="36" t="e" vm="141">
        <f t="array" ref="H181">_FV(A181,"52 week high",TRUE)</f>
        <v>#VALUE!</v>
      </c>
      <c r="I181" s="40" t="e" vm="135">
        <f t="shared" si="20"/>
        <v>#VALUE!</v>
      </c>
      <c r="J181" s="39" t="e" vm="135">
        <f t="shared" si="21"/>
        <v>#VALUE!</v>
      </c>
      <c r="K181" s="54" t="e" vm="135">
        <f t="shared" si="22"/>
        <v>#VALUE!</v>
      </c>
      <c r="L181" s="20" t="e" vm="143">
        <f t="array" ref="L181">_FV(A181,"Market cap",TRUE)/10000000</f>
        <v>#VALUE!</v>
      </c>
      <c r="M181" s="21" t="e" vm="135">
        <f t="shared" si="23"/>
        <v>#VALUE!</v>
      </c>
      <c r="N181" t="s">
        <v>42</v>
      </c>
      <c r="O181" s="45" t="e" vm="48">
        <f t="array" ref="O181">_FV(A181,"Industry")</f>
        <v>#VALUE!</v>
      </c>
    </row>
    <row r="182" spans="1:15">
      <c r="A182" t="e">
        <v>#VALUE!</v>
      </c>
      <c r="B182" s="33" t="e" vm="142">
        <f t="array" ref="B182">_FV(A182,"Change (%)",TRUE)</f>
        <v>#VALUE!</v>
      </c>
      <c r="C182" s="35" t="e" vm="136">
        <f t="array" ref="C182">_FV(A182,"Previous close",TRUE)</f>
        <v>#VALUE!</v>
      </c>
      <c r="D182" s="35" t="e" vm="137">
        <f t="array" ref="D182">_FV(A182,"Price")</f>
        <v>#VALUE!</v>
      </c>
      <c r="E182" s="35" t="e" vm="138">
        <f t="array" ref="E182">_FV(A182,"Low")</f>
        <v>#VALUE!</v>
      </c>
      <c r="F182" s="35" t="e" vm="139">
        <f t="array" ref="F182">_FV(A182,"High")</f>
        <v>#VALUE!</v>
      </c>
      <c r="G182" s="35" t="e" vm="140">
        <f t="array" ref="G182">_FV(A182,"52 week low",TRUE)</f>
        <v>#VALUE!</v>
      </c>
      <c r="H182" s="36" t="e" vm="141">
        <f t="array" ref="H182">_FV(A182,"52 week high",TRUE)</f>
        <v>#VALUE!</v>
      </c>
      <c r="I182" s="40" t="e" vm="135">
        <f t="shared" si="20"/>
        <v>#VALUE!</v>
      </c>
      <c r="J182" s="39" t="e" vm="135">
        <f t="shared" si="21"/>
        <v>#VALUE!</v>
      </c>
      <c r="K182" s="54" t="e" vm="135">
        <f t="shared" si="22"/>
        <v>#VALUE!</v>
      </c>
      <c r="L182" s="20" t="e" vm="143">
        <f t="array" ref="L182">_FV(A182,"Market cap",TRUE)/10000000</f>
        <v>#VALUE!</v>
      </c>
      <c r="M182" s="21" t="e" vm="135">
        <f t="shared" si="23"/>
        <v>#VALUE!</v>
      </c>
      <c r="N182" t="s">
        <v>39</v>
      </c>
      <c r="O182" s="46" t="e" vm="48">
        <f t="array" ref="O182">_FV(A182,"Industry")</f>
        <v>#VALUE!</v>
      </c>
    </row>
    <row r="183" spans="1:15">
      <c r="A183" t="e">
        <v>#VALUE!</v>
      </c>
      <c r="B183" s="33" t="e" vm="142">
        <f t="array" ref="B183">_FV(A183,"Change (%)",TRUE)</f>
        <v>#VALUE!</v>
      </c>
      <c r="C183" s="35" t="e" vm="136">
        <f t="array" ref="C183">_FV(A183,"Previous close",TRUE)</f>
        <v>#VALUE!</v>
      </c>
      <c r="D183" s="35" t="e" vm="137">
        <f t="array" ref="D183">_FV(A183,"Price")</f>
        <v>#VALUE!</v>
      </c>
      <c r="E183" s="35" t="e" vm="138">
        <f t="array" ref="E183">_FV(A183,"Low")</f>
        <v>#VALUE!</v>
      </c>
      <c r="F183" s="35" t="e" vm="139">
        <f t="array" ref="F183">_FV(A183,"High")</f>
        <v>#VALUE!</v>
      </c>
      <c r="G183" s="35" t="e" vm="140">
        <f t="array" ref="G183">_FV(A183,"52 week low",TRUE)</f>
        <v>#VALUE!</v>
      </c>
      <c r="H183" s="36" t="e" vm="141">
        <f t="array" ref="H183">_FV(A183,"52 week high",TRUE)</f>
        <v>#VALUE!</v>
      </c>
      <c r="I183" s="40" t="e" vm="135">
        <f t="shared" si="20"/>
        <v>#VALUE!</v>
      </c>
      <c r="J183" s="39" t="e" vm="135">
        <f t="shared" si="21"/>
        <v>#VALUE!</v>
      </c>
      <c r="K183" s="54" t="e" vm="135">
        <f t="shared" si="22"/>
        <v>#VALUE!</v>
      </c>
      <c r="L183" s="20" t="e" vm="143">
        <f t="array" ref="L183">_FV(A183,"Market cap",TRUE)/10000000</f>
        <v>#VALUE!</v>
      </c>
      <c r="M183" s="21" t="e" vm="135">
        <f t="shared" si="23"/>
        <v>#VALUE!</v>
      </c>
      <c r="N183" t="s">
        <v>39</v>
      </c>
      <c r="O183" s="46" t="e" vm="48">
        <f t="array" ref="O183">_FV(A183,"Industry")</f>
        <v>#VALUE!</v>
      </c>
    </row>
    <row r="184" spans="1:15">
      <c r="A184" t="e">
        <v>#VALUE!</v>
      </c>
      <c r="B184" s="33" t="e" vm="142">
        <f t="array" ref="B184">_FV(A184,"Change (%)",TRUE)</f>
        <v>#VALUE!</v>
      </c>
      <c r="C184" s="35" t="e" vm="136">
        <f t="array" ref="C184">_FV(A184,"Previous close",TRUE)</f>
        <v>#VALUE!</v>
      </c>
      <c r="D184" s="35" t="e" vm="137">
        <f t="array" ref="D184">_FV(A184,"Price")</f>
        <v>#VALUE!</v>
      </c>
      <c r="E184" s="35" t="e" vm="138">
        <f t="array" ref="E184">_FV(A184,"Low")</f>
        <v>#VALUE!</v>
      </c>
      <c r="F184" s="35" t="e" vm="139">
        <f t="array" ref="F184">_FV(A184,"High")</f>
        <v>#VALUE!</v>
      </c>
      <c r="G184" s="35" t="e" vm="140">
        <f t="array" ref="G184">_FV(A184,"52 week low",TRUE)</f>
        <v>#VALUE!</v>
      </c>
      <c r="H184" s="36" t="e" vm="141">
        <f t="array" ref="H184">_FV(A184,"52 week high",TRUE)</f>
        <v>#VALUE!</v>
      </c>
      <c r="I184" s="40" t="e" vm="135">
        <f t="shared" si="20"/>
        <v>#VALUE!</v>
      </c>
      <c r="J184" s="39" t="e" vm="135">
        <f t="shared" si="21"/>
        <v>#VALUE!</v>
      </c>
      <c r="K184" s="54" t="e" vm="135">
        <f t="shared" si="22"/>
        <v>#VALUE!</v>
      </c>
      <c r="L184" s="20" t="e" vm="143">
        <f t="array" ref="L184">_FV(A184,"Market cap",TRUE)/10000000</f>
        <v>#VALUE!</v>
      </c>
      <c r="M184" s="21" t="e" vm="135">
        <f t="shared" si="23"/>
        <v>#VALUE!</v>
      </c>
      <c r="N184" t="s">
        <v>30</v>
      </c>
      <c r="O184" s="46" t="e" vm="48">
        <f t="array" ref="O184">_FV(A184,"Industry")</f>
        <v>#VALUE!</v>
      </c>
    </row>
    <row r="185" spans="1:15">
      <c r="A185" t="e">
        <v>#VALUE!</v>
      </c>
      <c r="B185" s="33" t="e" vm="142">
        <f t="array" ref="B185">_FV(A185,"Change (%)",TRUE)</f>
        <v>#VALUE!</v>
      </c>
      <c r="C185" s="35" t="e" vm="136">
        <f t="array" ref="C185">_FV(A185,"Previous close",TRUE)</f>
        <v>#VALUE!</v>
      </c>
      <c r="D185" s="35" t="e" vm="137">
        <f t="array" ref="D185">_FV(A185,"Price")</f>
        <v>#VALUE!</v>
      </c>
      <c r="E185" s="35" t="e" vm="138">
        <f t="array" ref="E185">_FV(A185,"Low")</f>
        <v>#VALUE!</v>
      </c>
      <c r="F185" s="35" t="e" vm="139">
        <f t="array" ref="F185">_FV(A185,"High")</f>
        <v>#VALUE!</v>
      </c>
      <c r="G185" s="35" t="e" vm="140">
        <f t="array" ref="G185">_FV(A185,"52 week low",TRUE)</f>
        <v>#VALUE!</v>
      </c>
      <c r="H185" s="36" t="e" vm="141">
        <f t="array" ref="H185">_FV(A185,"52 week high",TRUE)</f>
        <v>#VALUE!</v>
      </c>
      <c r="I185" s="40" t="e" vm="135">
        <f t="shared" si="20"/>
        <v>#VALUE!</v>
      </c>
      <c r="J185" s="39" t="e" vm="135">
        <f t="shared" si="21"/>
        <v>#VALUE!</v>
      </c>
      <c r="K185" s="54" t="e" vm="135">
        <f t="shared" si="22"/>
        <v>#VALUE!</v>
      </c>
      <c r="L185" s="20" t="e" vm="143">
        <f t="array" ref="L185">_FV(A185,"Market cap",TRUE)/10000000</f>
        <v>#VALUE!</v>
      </c>
      <c r="M185" s="21" t="e" vm="135">
        <f t="shared" si="23"/>
        <v>#VALUE!</v>
      </c>
      <c r="N185" t="s">
        <v>39</v>
      </c>
      <c r="O185" s="46" t="e" vm="48">
        <f t="array" ref="O185">_FV(A185,"Industry")</f>
        <v>#VALUE!</v>
      </c>
    </row>
    <row r="186" spans="1:15">
      <c r="A186" t="e">
        <v>#VALUE!</v>
      </c>
      <c r="B186" s="33" t="e" vm="142">
        <f t="array" ref="B186">_FV(A186,"Change (%)",TRUE)</f>
        <v>#VALUE!</v>
      </c>
      <c r="C186" s="35" t="e" vm="136">
        <f t="array" ref="C186">_FV(A186,"Previous close",TRUE)</f>
        <v>#VALUE!</v>
      </c>
      <c r="D186" s="35" t="e" vm="137">
        <f t="array" ref="D186">_FV(A186,"Price")</f>
        <v>#VALUE!</v>
      </c>
      <c r="E186" s="35" t="e" vm="138">
        <f t="array" ref="E186">_FV(A186,"Low")</f>
        <v>#VALUE!</v>
      </c>
      <c r="F186" s="35" t="e" vm="139">
        <f t="array" ref="F186">_FV(A186,"High")</f>
        <v>#VALUE!</v>
      </c>
      <c r="G186" s="35" t="e" vm="140">
        <f t="array" ref="G186">_FV(A186,"52 week low",TRUE)</f>
        <v>#VALUE!</v>
      </c>
      <c r="H186" s="36" t="e" vm="141">
        <f t="array" ref="H186">_FV(A186,"52 week high",TRUE)</f>
        <v>#VALUE!</v>
      </c>
      <c r="I186" s="40" t="e" vm="135">
        <f t="shared" si="20"/>
        <v>#VALUE!</v>
      </c>
      <c r="J186" s="39" t="e" vm="135">
        <f t="shared" si="21"/>
        <v>#VALUE!</v>
      </c>
      <c r="K186" s="54" t="e" vm="135">
        <f t="shared" si="22"/>
        <v>#VALUE!</v>
      </c>
      <c r="L186" s="20" t="e" vm="143">
        <f t="array" ref="L186">_FV(A186,"Market cap",TRUE)/10000000</f>
        <v>#VALUE!</v>
      </c>
      <c r="M186" s="21" t="e" vm="135">
        <f t="shared" si="23"/>
        <v>#VALUE!</v>
      </c>
      <c r="N186" t="s">
        <v>39</v>
      </c>
      <c r="O186" s="46" t="e" vm="48">
        <f t="array" ref="O186">_FV(A186,"Industry")</f>
        <v>#VALUE!</v>
      </c>
    </row>
    <row r="187" spans="1:15">
      <c r="A187" t="e">
        <v>#VALUE!</v>
      </c>
      <c r="B187" s="33" t="e" vm="142">
        <f t="array" ref="B187">_FV(A187,"Change (%)",TRUE)</f>
        <v>#VALUE!</v>
      </c>
      <c r="C187" s="35" t="e" vm="136">
        <f t="array" ref="C187">_FV(A187,"Previous close",TRUE)</f>
        <v>#VALUE!</v>
      </c>
      <c r="D187" s="35" t="e" vm="137">
        <f t="array" ref="D187">_FV(A187,"Price")</f>
        <v>#VALUE!</v>
      </c>
      <c r="E187" s="35" t="e" vm="138">
        <f t="array" ref="E187">_FV(A187,"Low")</f>
        <v>#VALUE!</v>
      </c>
      <c r="F187" s="35" t="e" vm="139">
        <f t="array" ref="F187">_FV(A187,"High")</f>
        <v>#VALUE!</v>
      </c>
      <c r="G187" s="35" t="e" vm="140">
        <f t="array" ref="G187">_FV(A187,"52 week low",TRUE)</f>
        <v>#VALUE!</v>
      </c>
      <c r="H187" s="36" t="e" vm="141">
        <f t="array" ref="H187">_FV(A187,"52 week high",TRUE)</f>
        <v>#VALUE!</v>
      </c>
      <c r="I187" s="40" t="e" vm="135">
        <f t="shared" si="20"/>
        <v>#VALUE!</v>
      </c>
      <c r="J187" s="39" t="e" vm="135">
        <f t="shared" si="21"/>
        <v>#VALUE!</v>
      </c>
      <c r="K187" s="54" t="e" vm="135">
        <f t="shared" si="22"/>
        <v>#VALUE!</v>
      </c>
      <c r="L187" s="20" t="e" vm="143">
        <f t="array" ref="L187">_FV(A187,"Market cap",TRUE)/10000000</f>
        <v>#VALUE!</v>
      </c>
      <c r="M187" s="21" t="e" vm="135">
        <f t="shared" si="23"/>
        <v>#VALUE!</v>
      </c>
      <c r="N187" t="s">
        <v>30</v>
      </c>
      <c r="O187" s="46" t="e" vm="48">
        <f t="array" ref="O187">_FV(A187,"Industry")</f>
        <v>#VALUE!</v>
      </c>
    </row>
    <row r="188" spans="1:15">
      <c r="A188" t="e">
        <v>#VALUE!</v>
      </c>
      <c r="B188" s="33" t="e" vm="142">
        <f t="array" ref="B188">_FV(A188,"Change (%)",TRUE)</f>
        <v>#VALUE!</v>
      </c>
      <c r="C188" s="35" t="e" vm="136">
        <f t="array" ref="C188">_FV(A188,"Previous close",TRUE)</f>
        <v>#VALUE!</v>
      </c>
      <c r="D188" s="35" t="e" vm="137">
        <f t="array" ref="D188">_FV(A188,"Price")</f>
        <v>#VALUE!</v>
      </c>
      <c r="E188" s="35" t="e" vm="138">
        <f t="array" ref="E188">_FV(A188,"Low")</f>
        <v>#VALUE!</v>
      </c>
      <c r="F188" s="35" t="e" vm="139">
        <f t="array" ref="F188">_FV(A188,"High")</f>
        <v>#VALUE!</v>
      </c>
      <c r="G188" s="35" t="e" vm="140">
        <f t="array" ref="G188">_FV(A188,"52 week low",TRUE)</f>
        <v>#VALUE!</v>
      </c>
      <c r="H188" s="36" t="e" vm="141">
        <f t="array" ref="H188">_FV(A188,"52 week high",TRUE)</f>
        <v>#VALUE!</v>
      </c>
      <c r="I188" s="40" t="e" vm="135">
        <f t="shared" si="20"/>
        <v>#VALUE!</v>
      </c>
      <c r="J188" s="39" t="e" vm="135">
        <f t="shared" si="21"/>
        <v>#VALUE!</v>
      </c>
      <c r="K188" s="54" t="e" vm="135">
        <f t="shared" si="22"/>
        <v>#VALUE!</v>
      </c>
      <c r="L188" s="20" t="e" vm="143">
        <f t="array" ref="L188">_FV(A188,"Market cap",TRUE)/10000000</f>
        <v>#VALUE!</v>
      </c>
      <c r="M188" s="21" t="e" vm="135">
        <f t="shared" si="23"/>
        <v>#VALUE!</v>
      </c>
      <c r="N188" t="s">
        <v>39</v>
      </c>
      <c r="O188" s="45" t="e" vm="48">
        <f t="array" ref="O188">_FV(A188,"Industry")</f>
        <v>#VALUE!</v>
      </c>
    </row>
    <row r="189" spans="1:15">
      <c r="A189" t="e">
        <v>#VALUE!</v>
      </c>
      <c r="B189" s="33" t="e" vm="142">
        <f t="array" ref="B189">_FV(A189,"Change (%)",TRUE)</f>
        <v>#VALUE!</v>
      </c>
      <c r="C189" s="35" t="e" vm="136">
        <f t="array" ref="C189">_FV(A189,"Previous close",TRUE)</f>
        <v>#VALUE!</v>
      </c>
      <c r="D189" s="35" t="e" vm="137">
        <f t="array" ref="D189">_FV(A189,"Price")</f>
        <v>#VALUE!</v>
      </c>
      <c r="E189" s="35" t="e" vm="138">
        <f t="array" ref="E189">_FV(A189,"Low")</f>
        <v>#VALUE!</v>
      </c>
      <c r="F189" s="35" t="e" vm="139">
        <f t="array" ref="F189">_FV(A189,"High")</f>
        <v>#VALUE!</v>
      </c>
      <c r="G189" s="35" t="e" vm="140">
        <f t="array" ref="G189">_FV(A189,"52 week low",TRUE)</f>
        <v>#VALUE!</v>
      </c>
      <c r="H189" s="36" t="e" vm="141">
        <f t="array" ref="H189">_FV(A189,"52 week high",TRUE)</f>
        <v>#VALUE!</v>
      </c>
      <c r="I189" s="40" t="e" vm="135">
        <f t="shared" si="20"/>
        <v>#VALUE!</v>
      </c>
      <c r="J189" s="39" t="e" vm="135">
        <f t="shared" si="21"/>
        <v>#VALUE!</v>
      </c>
      <c r="K189" s="54" t="e" vm="135">
        <f t="shared" si="22"/>
        <v>#VALUE!</v>
      </c>
      <c r="L189" s="20" t="e" vm="143">
        <f t="array" ref="L189">_FV(A189,"Market cap",TRUE)/10000000</f>
        <v>#VALUE!</v>
      </c>
      <c r="M189" s="21" t="e" vm="135">
        <f t="shared" si="23"/>
        <v>#VALUE!</v>
      </c>
      <c r="N189" t="s">
        <v>49</v>
      </c>
      <c r="O189" s="46" t="e" vm="48">
        <f t="array" ref="O189">_FV(A189,"Industry")</f>
        <v>#VALUE!</v>
      </c>
    </row>
    <row r="190" spans="1:15">
      <c r="A190" t="e">
        <v>#VALUE!</v>
      </c>
      <c r="B190" s="33" t="e" vm="142">
        <f t="array" ref="B190">_FV(A190,"Change (%)",TRUE)</f>
        <v>#VALUE!</v>
      </c>
      <c r="C190" s="35" t="e" vm="136">
        <f t="array" ref="C190">_FV(A190,"Previous close",TRUE)</f>
        <v>#VALUE!</v>
      </c>
      <c r="D190" s="35" t="e" vm="137">
        <f t="array" ref="D190">_FV(A190,"Price")</f>
        <v>#VALUE!</v>
      </c>
      <c r="E190" s="35" t="e" vm="138">
        <f t="array" ref="E190">_FV(A190,"Low")</f>
        <v>#VALUE!</v>
      </c>
      <c r="F190" s="35" t="e" vm="139">
        <f t="array" ref="F190">_FV(A190,"High")</f>
        <v>#VALUE!</v>
      </c>
      <c r="G190" s="35" t="e" vm="140">
        <f t="array" ref="G190">_FV(A190,"52 week low",TRUE)</f>
        <v>#VALUE!</v>
      </c>
      <c r="H190" s="36" t="e" vm="141">
        <f t="array" ref="H190">_FV(A190,"52 week high",TRUE)</f>
        <v>#VALUE!</v>
      </c>
      <c r="I190" s="40" t="e" vm="135">
        <f t="shared" si="20"/>
        <v>#VALUE!</v>
      </c>
      <c r="J190" s="39" t="e" vm="135">
        <f t="shared" si="21"/>
        <v>#VALUE!</v>
      </c>
      <c r="K190" s="54" t="e" vm="135">
        <f t="shared" si="22"/>
        <v>#VALUE!</v>
      </c>
      <c r="L190" s="20" t="e" vm="143">
        <f t="array" ref="L190">_FV(A190,"Market cap",TRUE)/10000000</f>
        <v>#VALUE!</v>
      </c>
      <c r="M190" s="21" t="e" vm="135">
        <f t="shared" si="23"/>
        <v>#VALUE!</v>
      </c>
      <c r="N190" t="s">
        <v>38</v>
      </c>
      <c r="O190" s="46" t="e" vm="48">
        <f t="array" ref="O190">_FV(A190,"Industry")</f>
        <v>#VALUE!</v>
      </c>
    </row>
    <row r="191" spans="1:15">
      <c r="A191" t="e">
        <v>#VALUE!</v>
      </c>
      <c r="B191" s="33" t="e" vm="142">
        <f t="array" ref="B191">_FV(A191,"Change (%)",TRUE)</f>
        <v>#VALUE!</v>
      </c>
      <c r="C191" s="35" t="e" vm="136">
        <f t="array" ref="C191">_FV(A191,"Previous close",TRUE)</f>
        <v>#VALUE!</v>
      </c>
      <c r="D191" s="35" t="e" vm="137">
        <f t="array" ref="D191">_FV(A191,"Price")</f>
        <v>#VALUE!</v>
      </c>
      <c r="E191" s="35" t="e" vm="138">
        <f t="array" ref="E191">_FV(A191,"Low")</f>
        <v>#VALUE!</v>
      </c>
      <c r="F191" s="35" t="e" vm="139">
        <f t="array" ref="F191">_FV(A191,"High")</f>
        <v>#VALUE!</v>
      </c>
      <c r="G191" s="35" t="e" vm="140">
        <f t="array" ref="G191">_FV(A191,"52 week low",TRUE)</f>
        <v>#VALUE!</v>
      </c>
      <c r="H191" s="36" t="e" vm="141">
        <f t="array" ref="H191">_FV(A191,"52 week high",TRUE)</f>
        <v>#VALUE!</v>
      </c>
      <c r="I191" s="40" t="e" vm="135">
        <f t="shared" si="20"/>
        <v>#VALUE!</v>
      </c>
      <c r="J191" s="39" t="e" vm="135">
        <f t="shared" si="21"/>
        <v>#VALUE!</v>
      </c>
      <c r="K191" s="54" t="e" vm="135">
        <f t="shared" si="22"/>
        <v>#VALUE!</v>
      </c>
      <c r="L191" s="20" t="e" vm="143">
        <f t="array" ref="L191">_FV(A191,"Market cap",TRUE)/10000000</f>
        <v>#VALUE!</v>
      </c>
      <c r="M191" s="21" t="e" vm="135">
        <f t="shared" si="23"/>
        <v>#VALUE!</v>
      </c>
      <c r="N191" t="s">
        <v>53</v>
      </c>
      <c r="O191" s="46" t="e" vm="48">
        <f t="array" ref="O191">_FV(A191,"Industry")</f>
        <v>#VALUE!</v>
      </c>
    </row>
    <row r="192" spans="1:15">
      <c r="A192" t="e">
        <v>#VALUE!</v>
      </c>
      <c r="B192" s="33" t="e" vm="142">
        <f t="array" ref="B192">_FV(A192,"Change (%)",TRUE)</f>
        <v>#VALUE!</v>
      </c>
      <c r="C192" s="35" t="e" vm="136">
        <f t="array" ref="C192">_FV(A192,"Previous close",TRUE)</f>
        <v>#VALUE!</v>
      </c>
      <c r="D192" s="35" t="e" vm="137">
        <f t="array" ref="D192">_FV(A192,"Price")</f>
        <v>#VALUE!</v>
      </c>
      <c r="E192" s="35" t="e" vm="138">
        <f t="array" ref="E192">_FV(A192,"Low")</f>
        <v>#VALUE!</v>
      </c>
      <c r="F192" s="35" t="e" vm="139">
        <f t="array" ref="F192">_FV(A192,"High")</f>
        <v>#VALUE!</v>
      </c>
      <c r="G192" s="35" t="e" vm="140">
        <f t="array" ref="G192">_FV(A192,"52 week low",TRUE)</f>
        <v>#VALUE!</v>
      </c>
      <c r="H192" s="36" t="e" vm="141">
        <f t="array" ref="H192">_FV(A192,"52 week high",TRUE)</f>
        <v>#VALUE!</v>
      </c>
      <c r="I192" s="40" t="e" vm="135">
        <f t="shared" si="20"/>
        <v>#VALUE!</v>
      </c>
      <c r="J192" s="39" t="e" vm="135">
        <f t="shared" si="21"/>
        <v>#VALUE!</v>
      </c>
      <c r="K192" s="54" t="e" vm="135">
        <f t="shared" si="22"/>
        <v>#VALUE!</v>
      </c>
      <c r="L192" s="20" t="e" vm="143">
        <f t="array" ref="L192">_FV(A192,"Market cap",TRUE)/10000000</f>
        <v>#VALUE!</v>
      </c>
      <c r="M192" s="21" t="e" vm="135">
        <f t="shared" si="23"/>
        <v>#VALUE!</v>
      </c>
      <c r="N192" t="s">
        <v>30</v>
      </c>
      <c r="O192" s="46" t="e" vm="48">
        <f t="array" ref="O192">_FV(A192,"Industry")</f>
        <v>#VALUE!</v>
      </c>
    </row>
    <row r="193" spans="1:15">
      <c r="A193" t="e">
        <v>#VALUE!</v>
      </c>
      <c r="B193" s="33" t="e" vm="142">
        <f t="array" ref="B193">_FV(A193,"Change (%)",TRUE)</f>
        <v>#VALUE!</v>
      </c>
      <c r="C193" s="35" t="e" vm="136">
        <f t="array" ref="C193">_FV(A193,"Previous close",TRUE)</f>
        <v>#VALUE!</v>
      </c>
      <c r="D193" s="35" t="e" vm="137">
        <f t="array" ref="D193">_FV(A193,"Price")</f>
        <v>#VALUE!</v>
      </c>
      <c r="E193" s="35" t="e" vm="138">
        <f t="array" ref="E193">_FV(A193,"Low")</f>
        <v>#VALUE!</v>
      </c>
      <c r="F193" s="35" t="e" vm="139">
        <f t="array" ref="F193">_FV(A193,"High")</f>
        <v>#VALUE!</v>
      </c>
      <c r="G193" s="35" t="e" vm="140">
        <f t="array" ref="G193">_FV(A193,"52 week low",TRUE)</f>
        <v>#VALUE!</v>
      </c>
      <c r="H193" s="36" t="e" vm="141">
        <f t="array" ref="H193">_FV(A193,"52 week high",TRUE)</f>
        <v>#VALUE!</v>
      </c>
      <c r="I193" s="40" t="e" vm="135">
        <f t="shared" si="20"/>
        <v>#VALUE!</v>
      </c>
      <c r="J193" s="39" t="e" vm="135">
        <f t="shared" si="21"/>
        <v>#VALUE!</v>
      </c>
      <c r="K193" s="54" t="e" vm="135">
        <f t="shared" si="22"/>
        <v>#VALUE!</v>
      </c>
      <c r="L193" s="20" t="e" vm="143">
        <f t="array" ref="L193">_FV(A193,"Market cap",TRUE)/10000000</f>
        <v>#VALUE!</v>
      </c>
      <c r="M193" s="21" t="e" vm="135">
        <f t="shared" si="23"/>
        <v>#VALUE!</v>
      </c>
      <c r="N193" t="s">
        <v>30</v>
      </c>
      <c r="O193" s="46" t="e" vm="48">
        <f t="array" ref="O193">_FV(A193,"Industry")</f>
        <v>#VALUE!</v>
      </c>
    </row>
    <row r="194" spans="1:15">
      <c r="A194" t="e">
        <v>#VALUE!</v>
      </c>
      <c r="B194" s="33" t="e" vm="142">
        <f t="array" ref="B194">_FV(A194,"Change (%)",TRUE)</f>
        <v>#VALUE!</v>
      </c>
      <c r="C194" s="35" t="e" vm="136">
        <f t="array" ref="C194">_FV(A194,"Previous close",TRUE)</f>
        <v>#VALUE!</v>
      </c>
      <c r="D194" s="35" t="e" vm="137">
        <f t="array" ref="D194">_FV(A194,"Price")</f>
        <v>#VALUE!</v>
      </c>
      <c r="E194" s="35" t="e" vm="138">
        <f t="array" ref="E194">_FV(A194,"Low")</f>
        <v>#VALUE!</v>
      </c>
      <c r="F194" s="35" t="e" vm="139">
        <f t="array" ref="F194">_FV(A194,"High")</f>
        <v>#VALUE!</v>
      </c>
      <c r="G194" s="35" t="e" vm="140">
        <f t="array" ref="G194">_FV(A194,"52 week low",TRUE)</f>
        <v>#VALUE!</v>
      </c>
      <c r="H194" s="36" t="e" vm="141">
        <f t="array" ref="H194">_FV(A194,"52 week high",TRUE)</f>
        <v>#VALUE!</v>
      </c>
      <c r="I194" s="40" t="e" vm="135">
        <f t="shared" ref="I194:I201" si="24">(H194-D194)*100/H194</f>
        <v>#VALUE!</v>
      </c>
      <c r="J194" s="39" t="e" vm="135">
        <f t="shared" ref="J194:J201" si="25">IF(AND(M194="HLC", I194&gt;12), "SURE HLC BUY",IF(AND(M194="HLC", I194&gt;7), "FIRST HLC BUY",IF(AND(M194="LC", I194&gt;20), "SURE LC BUY",IF(AND(M194="LC", I194&gt;10), "LC BUY",IF(AND(M194="HMC", I194&gt;30), "SURE HMC BUY",IF(AND(M194="HMC", I194&gt;20), "HMC BUY",IF(AND(M194="HMC", I194&gt;15), "FIRST HMC BUY",IF(AND(M194="MC", I194&gt;40), "SURE MC BUY",IF(AND(M194="MC", I194&gt;30), "MC BUY",IF(AND(M194="MC", I194&gt;20), "FIRST MC BUY",IF(AND(M194="HSC", I194&gt;60), "SURE HSC BUY",IF(AND(M194="HSC", I194&gt;50), "HSC BUY",IF(AND(M194="HSC", I194&gt;40), "FIRST HSC BUY",IF(AND(M194="SC", I194&gt;70), "SURE SC BUY",IF(AND(M194="SC", I194&gt;60), "SC BUY",IF(AND(M194="SC", I194&gt;50), "FIRST SC BUY",IF(AND(M194="VSC", I194&gt;80), "SURE VSC BUY",IF(AND(M194="VSC", I194&gt;70), "VSC BUY",IF(AND(M194="VSC", I194&gt;60), "FIRST VSC BUY","WATCH")))))))))))))))))))</f>
        <v>#VALUE!</v>
      </c>
      <c r="K194" s="54" t="e" vm="135">
        <f t="shared" ref="K194:K201" si="26">(G194-D194)*100/G194</f>
        <v>#VALUE!</v>
      </c>
      <c r="L194" s="20" t="e" vm="143">
        <f t="array" ref="L194">_FV(A194,"Market cap",TRUE)/10000000</f>
        <v>#VALUE!</v>
      </c>
      <c r="M194" s="21" t="e" vm="135">
        <f t="shared" ref="M194:M201" si="27">IF(L194&gt;500000,"HLC",IF(L194 &gt;100000,"LC",IF(L194 &gt;40000,"HMC",IF(L194 &gt;10000,"MC",IF(L194 &gt;=5000,"HSC",IF(L194 &gt;1000,"SC","VSC"))))))</f>
        <v>#VALUE!</v>
      </c>
      <c r="N194" t="s">
        <v>30</v>
      </c>
      <c r="O194" s="45" t="e" vm="48">
        <f t="array" ref="O194">_FV(A194,"Industry")</f>
        <v>#VALUE!</v>
      </c>
    </row>
    <row r="195" spans="1:15">
      <c r="A195" t="e">
        <v>#VALUE!</v>
      </c>
      <c r="B195" s="33" t="e" vm="142">
        <f t="array" ref="B195">_FV(A195,"Change (%)",TRUE)</f>
        <v>#VALUE!</v>
      </c>
      <c r="C195" s="35" t="e" vm="136">
        <f t="array" ref="C195">_FV(A195,"Previous close",TRUE)</f>
        <v>#VALUE!</v>
      </c>
      <c r="D195" s="35" t="e" vm="137">
        <f t="array" ref="D195">_FV(A195,"Price")</f>
        <v>#VALUE!</v>
      </c>
      <c r="E195" s="35" t="e" vm="138">
        <f t="array" ref="E195">_FV(A195,"Low")</f>
        <v>#VALUE!</v>
      </c>
      <c r="F195" s="35" t="e" vm="139">
        <f t="array" ref="F195">_FV(A195,"High")</f>
        <v>#VALUE!</v>
      </c>
      <c r="G195" s="35" t="e" vm="140">
        <f t="array" ref="G195">_FV(A195,"52 week low",TRUE)</f>
        <v>#VALUE!</v>
      </c>
      <c r="H195" s="36" t="e" vm="141">
        <f t="array" ref="H195">_FV(A195,"52 week high",TRUE)</f>
        <v>#VALUE!</v>
      </c>
      <c r="I195" s="40" t="e" vm="135">
        <f t="shared" si="24"/>
        <v>#VALUE!</v>
      </c>
      <c r="J195" s="39" t="e" vm="135">
        <f t="shared" si="25"/>
        <v>#VALUE!</v>
      </c>
      <c r="K195" s="54" t="e" vm="135">
        <f t="shared" si="26"/>
        <v>#VALUE!</v>
      </c>
      <c r="L195" s="20" t="e" vm="143">
        <f t="array" ref="L195">_FV(A195,"Market cap",TRUE)/10000000</f>
        <v>#VALUE!</v>
      </c>
      <c r="M195" s="21" t="e" vm="135">
        <f t="shared" si="27"/>
        <v>#VALUE!</v>
      </c>
      <c r="N195" t="s">
        <v>38</v>
      </c>
      <c r="O195" s="45" t="e" vm="48">
        <f t="array" ref="O195">_FV(A195,"Industry")</f>
        <v>#VALUE!</v>
      </c>
    </row>
    <row r="196" spans="1:15">
      <c r="A196" t="e">
        <v>#VALUE!</v>
      </c>
      <c r="B196" s="33" t="e" vm="142">
        <f t="array" ref="B196">_FV(A196,"Change (%)",TRUE)</f>
        <v>#VALUE!</v>
      </c>
      <c r="C196" s="35" t="e" vm="136">
        <f t="array" ref="C196">_FV(A196,"Previous close",TRUE)</f>
        <v>#VALUE!</v>
      </c>
      <c r="D196" s="35" t="e" vm="137">
        <f t="array" ref="D196">_FV(A196,"Price")</f>
        <v>#VALUE!</v>
      </c>
      <c r="E196" s="35" t="e" vm="138">
        <f t="array" ref="E196">_FV(A196,"Low")</f>
        <v>#VALUE!</v>
      </c>
      <c r="F196" s="35" t="e" vm="139">
        <f t="array" ref="F196">_FV(A196,"High")</f>
        <v>#VALUE!</v>
      </c>
      <c r="G196" s="35" t="e" vm="140">
        <f t="array" ref="G196">_FV(A196,"52 week low",TRUE)</f>
        <v>#VALUE!</v>
      </c>
      <c r="H196" s="36" t="e" vm="141">
        <f t="array" ref="H196">_FV(A196,"52 week high",TRUE)</f>
        <v>#VALUE!</v>
      </c>
      <c r="I196" s="40" t="e" vm="135">
        <f t="shared" si="24"/>
        <v>#VALUE!</v>
      </c>
      <c r="J196" s="39" t="e" vm="135">
        <f t="shared" si="25"/>
        <v>#VALUE!</v>
      </c>
      <c r="K196" s="54" t="e" vm="135">
        <f t="shared" si="26"/>
        <v>#VALUE!</v>
      </c>
      <c r="L196" s="20" t="e" vm="143">
        <f t="array" ref="L196">_FV(A196,"Market cap",TRUE)/10000000</f>
        <v>#VALUE!</v>
      </c>
      <c r="M196" s="21" t="e" vm="135">
        <f t="shared" si="27"/>
        <v>#VALUE!</v>
      </c>
      <c r="N196" t="s">
        <v>30</v>
      </c>
      <c r="O196" s="46" t="e" vm="48">
        <f t="array" ref="O196">_FV(A196,"Industry")</f>
        <v>#VALUE!</v>
      </c>
    </row>
    <row r="197" spans="1:15">
      <c r="A197" t="e">
        <v>#VALUE!</v>
      </c>
      <c r="B197" s="33" t="e" vm="142">
        <f t="array" ref="B197">_FV(A197,"Change (%)",TRUE)</f>
        <v>#VALUE!</v>
      </c>
      <c r="C197" s="35" t="e" vm="136">
        <f t="array" ref="C197">_FV(A197,"Previous close",TRUE)</f>
        <v>#VALUE!</v>
      </c>
      <c r="D197" s="35" t="e" vm="137">
        <f t="array" ref="D197">_FV(A197,"Price")</f>
        <v>#VALUE!</v>
      </c>
      <c r="E197" s="35" t="e" vm="138">
        <f t="array" ref="E197">_FV(A197,"Low")</f>
        <v>#VALUE!</v>
      </c>
      <c r="F197" s="35" t="e" vm="139">
        <f t="array" ref="F197">_FV(A197,"High")</f>
        <v>#VALUE!</v>
      </c>
      <c r="G197" s="35" t="e" vm="140">
        <f t="array" ref="G197">_FV(A197,"52 week low",TRUE)</f>
        <v>#VALUE!</v>
      </c>
      <c r="H197" s="36" t="e" vm="141">
        <f t="array" ref="H197">_FV(A197,"52 week high",TRUE)</f>
        <v>#VALUE!</v>
      </c>
      <c r="I197" s="40" t="e" vm="135">
        <f t="shared" si="24"/>
        <v>#VALUE!</v>
      </c>
      <c r="J197" s="39" t="e" vm="135">
        <f t="shared" si="25"/>
        <v>#VALUE!</v>
      </c>
      <c r="K197" s="54" t="e" vm="135">
        <f t="shared" si="26"/>
        <v>#VALUE!</v>
      </c>
      <c r="L197" s="20" t="e" vm="143">
        <f t="array" ref="L197">_FV(A197,"Market cap",TRUE)/10000000</f>
        <v>#VALUE!</v>
      </c>
      <c r="M197" s="21" t="e" vm="135">
        <f t="shared" si="27"/>
        <v>#VALUE!</v>
      </c>
      <c r="N197" t="s">
        <v>30</v>
      </c>
      <c r="O197" s="46" t="e" vm="48">
        <f t="array" ref="O197">_FV(A197,"Industry")</f>
        <v>#VALUE!</v>
      </c>
    </row>
    <row r="198" spans="1:15">
      <c r="A198" t="e">
        <v>#VALUE!</v>
      </c>
      <c r="B198" s="33" t="e" vm="142">
        <f t="array" ref="B198">_FV(A198,"Change (%)",TRUE)</f>
        <v>#VALUE!</v>
      </c>
      <c r="C198" s="35" t="e" vm="136">
        <f t="array" ref="C198">_FV(A198,"Previous close",TRUE)</f>
        <v>#VALUE!</v>
      </c>
      <c r="D198" s="35" t="e" vm="137">
        <f t="array" ref="D198">_FV(A198,"Price")</f>
        <v>#VALUE!</v>
      </c>
      <c r="E198" s="35" t="e" vm="138">
        <f t="array" ref="E198">_FV(A198,"Low")</f>
        <v>#VALUE!</v>
      </c>
      <c r="F198" s="35" t="e" vm="139">
        <f t="array" ref="F198">_FV(A198,"High")</f>
        <v>#VALUE!</v>
      </c>
      <c r="G198" s="35" t="e" vm="140">
        <f t="array" ref="G198">_FV(A198,"52 week low",TRUE)</f>
        <v>#VALUE!</v>
      </c>
      <c r="H198" s="36" t="e" vm="141">
        <f t="array" ref="H198">_FV(A198,"52 week high",TRUE)</f>
        <v>#VALUE!</v>
      </c>
      <c r="I198" s="40" t="e" vm="135">
        <f t="shared" si="24"/>
        <v>#VALUE!</v>
      </c>
      <c r="J198" s="39" t="e" vm="135">
        <f t="shared" si="25"/>
        <v>#VALUE!</v>
      </c>
      <c r="K198" s="54" t="e" vm="135">
        <f t="shared" si="26"/>
        <v>#VALUE!</v>
      </c>
      <c r="L198" s="20" t="e" vm="143">
        <f t="array" ref="L198">_FV(A198,"Market cap",TRUE)/10000000</f>
        <v>#VALUE!</v>
      </c>
      <c r="M198" s="21" t="e" vm="135">
        <f t="shared" si="27"/>
        <v>#VALUE!</v>
      </c>
      <c r="N198" t="s">
        <v>51</v>
      </c>
      <c r="O198" s="46" t="e" vm="48">
        <f t="array" ref="O198">_FV(A198,"Industry")</f>
        <v>#VALUE!</v>
      </c>
    </row>
    <row r="199" spans="1:15">
      <c r="A199" t="e">
        <v>#VALUE!</v>
      </c>
      <c r="B199" s="33" t="e" vm="142">
        <f t="array" ref="B199">_FV(A199,"Change (%)",TRUE)</f>
        <v>#VALUE!</v>
      </c>
      <c r="C199" s="35" t="e" vm="136">
        <f t="array" ref="C199">_FV(A199,"Previous close",TRUE)</f>
        <v>#VALUE!</v>
      </c>
      <c r="D199" s="35" t="e" vm="137">
        <f t="array" ref="D199">_FV(A199,"Price")</f>
        <v>#VALUE!</v>
      </c>
      <c r="E199" s="35" t="e" vm="138">
        <f t="array" ref="E199">_FV(A199,"Low")</f>
        <v>#VALUE!</v>
      </c>
      <c r="F199" s="35" t="e" vm="139">
        <f t="array" ref="F199">_FV(A199,"High")</f>
        <v>#VALUE!</v>
      </c>
      <c r="G199" s="35" t="e" vm="140">
        <f t="array" ref="G199">_FV(A199,"52 week low",TRUE)</f>
        <v>#VALUE!</v>
      </c>
      <c r="H199" s="36" t="e" vm="141">
        <f t="array" ref="H199">_FV(A199,"52 week high",TRUE)</f>
        <v>#VALUE!</v>
      </c>
      <c r="I199" s="40" t="e" vm="135">
        <f t="shared" si="24"/>
        <v>#VALUE!</v>
      </c>
      <c r="J199" s="39" t="e" vm="135">
        <f t="shared" si="25"/>
        <v>#VALUE!</v>
      </c>
      <c r="K199" s="54" t="e" vm="135">
        <f t="shared" si="26"/>
        <v>#VALUE!</v>
      </c>
      <c r="L199" s="20" t="e" vm="143">
        <f t="array" ref="L199">_FV(A199,"Market cap",TRUE)/10000000</f>
        <v>#VALUE!</v>
      </c>
      <c r="M199" s="21" t="e" vm="135">
        <f t="shared" si="27"/>
        <v>#VALUE!</v>
      </c>
      <c r="N199" t="s">
        <v>53</v>
      </c>
      <c r="O199" s="46" t="e" vm="48">
        <f t="array" ref="O199">_FV(A199,"Industry")</f>
        <v>#VALUE!</v>
      </c>
    </row>
    <row r="200" spans="1:15">
      <c r="A200" t="e">
        <v>#VALUE!</v>
      </c>
      <c r="B200" s="33" t="e" vm="142">
        <f t="array" ref="B200">_FV(A200,"Change (%)",TRUE)</f>
        <v>#VALUE!</v>
      </c>
      <c r="C200" s="35" t="e" vm="136">
        <f t="array" ref="C200">_FV(A200,"Previous close",TRUE)</f>
        <v>#VALUE!</v>
      </c>
      <c r="D200" s="35" t="e" vm="137">
        <f t="array" ref="D200">_FV(A200,"Price")</f>
        <v>#VALUE!</v>
      </c>
      <c r="E200" s="35" t="e" vm="138">
        <f t="array" ref="E200">_FV(A200,"Low")</f>
        <v>#VALUE!</v>
      </c>
      <c r="F200" s="35" t="e" vm="139">
        <f t="array" ref="F200">_FV(A200,"High")</f>
        <v>#VALUE!</v>
      </c>
      <c r="G200" s="35" t="e" vm="140">
        <f t="array" ref="G200">_FV(A200,"52 week low",TRUE)</f>
        <v>#VALUE!</v>
      </c>
      <c r="H200" s="36" t="e" vm="141">
        <f t="array" ref="H200">_FV(A200,"52 week high",TRUE)</f>
        <v>#VALUE!</v>
      </c>
      <c r="I200" s="40" t="e" vm="135">
        <f t="shared" si="24"/>
        <v>#VALUE!</v>
      </c>
      <c r="J200" s="39" t="e" vm="135">
        <f t="shared" si="25"/>
        <v>#VALUE!</v>
      </c>
      <c r="K200" s="54" t="e" vm="135">
        <f t="shared" si="26"/>
        <v>#VALUE!</v>
      </c>
      <c r="L200" s="20" t="e" vm="143">
        <f t="array" ref="L200">_FV(A200,"Market cap",TRUE)/10000000</f>
        <v>#VALUE!</v>
      </c>
      <c r="M200" s="21" t="e" vm="135">
        <f t="shared" si="27"/>
        <v>#VALUE!</v>
      </c>
      <c r="N200" t="s">
        <v>30</v>
      </c>
      <c r="O200" s="45" t="e" vm="48">
        <f t="array" ref="O200">_FV(A200,"Industry")</f>
        <v>#VALUE!</v>
      </c>
    </row>
    <row r="201" spans="1:15">
      <c r="A201" t="e">
        <v>#VALUE!</v>
      </c>
      <c r="B201" s="33" t="e" vm="142">
        <f t="array" ref="B201">_FV(A201,"Change (%)",TRUE)</f>
        <v>#VALUE!</v>
      </c>
      <c r="C201" s="47" t="e" vm="136">
        <f t="array" ref="C201">_FV(A201,"Previous close",TRUE)</f>
        <v>#VALUE!</v>
      </c>
      <c r="D201" s="47" t="e" vm="137">
        <f t="array" ref="D201">_FV(A201,"Price")</f>
        <v>#VALUE!</v>
      </c>
      <c r="E201" s="47" t="e" vm="138">
        <f t="array" ref="E201">_FV(A201,"Low")</f>
        <v>#VALUE!</v>
      </c>
      <c r="F201" s="47" t="e" vm="139">
        <f t="array" ref="F201">_FV(A201,"High")</f>
        <v>#VALUE!</v>
      </c>
      <c r="G201" s="47" t="e" vm="140">
        <f t="array" ref="G201">_FV(A201,"52 week low",TRUE)</f>
        <v>#VALUE!</v>
      </c>
      <c r="H201" s="48" t="e" vm="141">
        <f t="array" ref="H201">_FV(A201,"52 week high",TRUE)</f>
        <v>#VALUE!</v>
      </c>
      <c r="I201" s="49" t="e" vm="135">
        <f t="shared" si="24"/>
        <v>#VALUE!</v>
      </c>
      <c r="J201" s="50" t="e" vm="135">
        <f t="shared" si="25"/>
        <v>#VALUE!</v>
      </c>
      <c r="K201" s="54" t="e" vm="135">
        <f t="shared" si="26"/>
        <v>#VALUE!</v>
      </c>
      <c r="L201" s="51" t="e" vm="143">
        <f t="array" ref="L201">_FV(A201,"Market cap",TRUE)/10000000</f>
        <v>#VALUE!</v>
      </c>
      <c r="M201" s="52" t="e" vm="135">
        <f t="shared" si="27"/>
        <v>#VALUE!</v>
      </c>
      <c r="N201" t="s">
        <v>53</v>
      </c>
      <c r="O201" s="53" t="e" vm="48">
        <f t="array" ref="O201">_FV(A201,"Industry")</f>
        <v>#VALUE!</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N501"/>
  <sheetViews>
    <sheetView workbookViewId="0">
      <selection activeCell="B1" sqref="B1"/>
    </sheetView>
  </sheetViews>
  <sheetFormatPr defaultRowHeight="15"/>
  <cols>
    <col min="1" max="1" width="52.42578125" customWidth="1"/>
    <col min="3" max="8" width="13.140625" bestFit="1" customWidth="1"/>
    <col min="10" max="10" width="16.28515625" bestFit="1" customWidth="1"/>
    <col min="12" max="12" width="16.42578125" bestFit="1" customWidth="1"/>
    <col min="14" max="14" width="41.7109375" bestFit="1" customWidth="1"/>
  </cols>
  <sheetData>
    <row r="1" spans="1:14" ht="23.25">
      <c r="A1" s="31" t="s">
        <v>0</v>
      </c>
      <c r="B1" s="31" t="s">
        <v>1</v>
      </c>
      <c r="C1" s="31" t="s">
        <v>2</v>
      </c>
      <c r="D1" s="31" t="s">
        <v>3</v>
      </c>
      <c r="E1" s="31" t="s">
        <v>4</v>
      </c>
      <c r="F1" s="31" t="s">
        <v>5</v>
      </c>
      <c r="G1" s="31" t="s">
        <v>6</v>
      </c>
      <c r="H1" s="31" t="s">
        <v>7</v>
      </c>
      <c r="I1" s="31" t="s">
        <v>8</v>
      </c>
      <c r="J1" s="31" t="s">
        <v>9</v>
      </c>
      <c r="K1" s="31" t="s">
        <v>37</v>
      </c>
      <c r="L1" s="31" t="s">
        <v>10</v>
      </c>
      <c r="M1" s="31" t="s">
        <v>11</v>
      </c>
      <c r="N1" s="31" t="s">
        <v>12</v>
      </c>
    </row>
    <row r="2" spans="1:14">
      <c r="A2" s="107" t="e" vm="198">
        <v>#VALUE!</v>
      </c>
      <c r="B2" s="33">
        <f t="array" aca="1" ref="B2" ca="1">_FV(A2,"Change (%)",TRUE)</f>
        <v>-1.3879999999999998E-2</v>
      </c>
      <c r="C2" s="35">
        <f t="array" aca="1" ref="C2" ca="1">_FV(A2,"Previous close",TRUE)</f>
        <v>1196</v>
      </c>
      <c r="D2" s="35">
        <f t="array" aca="1" ref="D2" ca="1">_FV(A2,"Price")</f>
        <v>1179.4000000000001</v>
      </c>
      <c r="E2" s="35">
        <f t="array" aca="1" ref="E2" ca="1">_FV(A2,"Low")</f>
        <v>1172.5999999999999</v>
      </c>
      <c r="F2" s="35">
        <f t="array" aca="1" ref="F2" ca="1">_FV(A2,"High")</f>
        <v>1207.0999999999999</v>
      </c>
      <c r="G2" s="35">
        <f t="array" aca="1" ref="G2" ca="1">_FV(A2,"52 week low",TRUE)</f>
        <v>790.5</v>
      </c>
      <c r="H2" s="36">
        <f t="array" aca="1" ref="H2" ca="1">_FV(A2,"52 week high",TRUE)</f>
        <v>1318</v>
      </c>
      <c r="I2" s="40">
        <f t="shared" ref="I2:I64" ca="1" si="0">(H2-D2)*100/H2</f>
        <v>10.515933232169948</v>
      </c>
      <c r="J2" s="39" t="str">
        <f t="shared" ref="J2:J64" ca="1" si="1">IF(AND(M2="HLC", I2&gt;12), "SURE HLC BUY",IF(AND(M2="HLC", I2&gt;7), "FIRST HLC BUY",IF(AND(M2="LC", I2&gt;20), "SURE LC BUY",IF(AND(M2="LC", I2&gt;10), "LC BUY",IF(AND(M2="HMC", I2&gt;30), "SURE HMC BUY",IF(AND(M2="HMC", I2&gt;20), "HMC BUY",IF(AND(M2="HMC", I2&gt;15), "FIRST HMC BUY",IF(AND(M2="MC", I2&gt;40), "SURE MC BUY",IF(AND(M2="MC", I2&gt;30), "MC BUY",IF(AND(M2="MC", I2&gt;20), "FIRST MC BUY",IF(AND(M2="HSC", I2&gt;60), "SURE HSC BUY",IF(AND(M2="HSC", I2&gt;50), "HSC BUY",IF(AND(M2="HSC", I2&gt;40), "FIRST HSC BUY",IF(AND(M2="SC", I2&gt;70), "SURE SC BUY",IF(AND(M2="SC", I2&gt;60), "SC BUY",IF(AND(M2="SC", I2&gt;50), "FIRST SC BUY",IF(AND(M2="VSC", I2&gt;80), "SURE VSC BUY",IF(AND(M2="VSC", I2&gt;70), "VSC BUY",IF(AND(M2="VSC", I2&gt;60), "FIRST VSC BUY","WATCH")))))))))))))))))))</f>
        <v>WATCH</v>
      </c>
      <c r="K2" s="54">
        <f t="shared" ref="K2:K64" ca="1" si="2">(G2-D2)*100/G2</f>
        <v>-49.196710942441499</v>
      </c>
      <c r="L2" s="20">
        <f t="array" aca="1" ref="L2" ca="1">_FV(A2,"Market cap",TRUE)/10000000</f>
        <v>48470.33</v>
      </c>
      <c r="M2" s="21" t="str">
        <f t="shared" ref="M2:M64" ca="1" si="3">IF(L2&gt;500000,"HLC",IF(L2 &gt;100000,"LC",IF(L2 &gt;40000,"HMC",IF(L2 &gt;10000,"MC",IF(L2 &gt;=5000,"HSC",IF(L2 &gt;1000,"SC","VSC"))))))</f>
        <v>HMC</v>
      </c>
      <c r="N2" s="37" t="str">
        <f t="array" aca="1" ref="N2" ca="1">_FV(A2,"Industry")</f>
        <v>Investment Banking &amp; Investment Services</v>
      </c>
    </row>
    <row r="3" spans="1:14">
      <c r="A3" s="107" t="e" vm="199">
        <v>#VALUE!</v>
      </c>
      <c r="B3" s="33">
        <f t="array" aca="1" ref="B3" ca="1">_FV(A3,"Change (%)",TRUE)</f>
        <v>0</v>
      </c>
      <c r="C3" s="35">
        <f t="array" aca="1" ref="C3" ca="1">_FV(A3,"Previous close",TRUE)</f>
        <v>34575</v>
      </c>
      <c r="D3" s="35">
        <f t="array" aca="1" ref="D3" ca="1">_FV(A3,"Price")</f>
        <v>34575</v>
      </c>
      <c r="E3" s="35">
        <f t="array" aca="1" ref="E3" ca="1">_FV(A3,"Low")</f>
        <v>34490</v>
      </c>
      <c r="F3" s="35">
        <f t="array" aca="1" ref="F3" ca="1">_FV(A3,"High")</f>
        <v>34910</v>
      </c>
      <c r="G3" s="35">
        <f t="array" aca="1" ref="G3" ca="1">_FV(A3,"52 week low",TRUE)</f>
        <v>25413.72</v>
      </c>
      <c r="H3" s="36">
        <f t="array" aca="1" ref="H3" ca="1">_FV(A3,"52 week high",TRUE)</f>
        <v>37000</v>
      </c>
      <c r="I3" s="40">
        <f t="shared" ca="1" si="0"/>
        <v>6.5540540540540544</v>
      </c>
      <c r="J3" s="39" t="str">
        <f t="shared" ca="1" si="1"/>
        <v>WATCH</v>
      </c>
      <c r="K3" s="54">
        <f t="shared" ca="1" si="2"/>
        <v>-36.04855959694212</v>
      </c>
      <c r="L3" s="20">
        <f t="array" aca="1" ref="L3" ca="1">_FV(A3,"Market cap",TRUE)/10000000</f>
        <v>38948.980000000003</v>
      </c>
      <c r="M3" s="21" t="str">
        <f t="shared" ca="1" si="3"/>
        <v>MC</v>
      </c>
      <c r="N3" s="37" t="str">
        <f t="array" aca="1" ref="N3" ca="1">_FV(A3,"Industry")</f>
        <v>Consumer Goods Conglomerates</v>
      </c>
    </row>
    <row r="4" spans="1:14">
      <c r="A4" s="107" t="e" vm="3">
        <v>#VALUE!</v>
      </c>
      <c r="B4" s="33">
        <f t="array" aca="1" ref="B4" ca="1">_FV(A4,"Change (%)",TRUE)</f>
        <v>-6.136E-3</v>
      </c>
      <c r="C4" s="35">
        <f t="array" aca="1" ref="C4" ca="1">_FV(A4,"Previous close",TRUE)</f>
        <v>5215</v>
      </c>
      <c r="D4" s="35">
        <f t="array" aca="1" ref="D4" ca="1">_FV(A4,"Price")</f>
        <v>5183</v>
      </c>
      <c r="E4" s="35">
        <f t="array" aca="1" ref="E4" ca="1">_FV(A4,"Low")</f>
        <v>5164.5</v>
      </c>
      <c r="F4" s="35">
        <f t="array" aca="1" ref="F4" ca="1">_FV(A4,"High")</f>
        <v>5244.5</v>
      </c>
      <c r="G4" s="35">
        <f t="array" aca="1" ref="G4" ca="1">_FV(A4,"52 week low",TRUE)</f>
        <v>4684.45</v>
      </c>
      <c r="H4" s="36">
        <f t="array" aca="1" ref="H4" ca="1">_FV(A4,"52 week high",TRUE)</f>
        <v>7056</v>
      </c>
      <c r="I4" s="40">
        <f t="shared" ca="1" si="0"/>
        <v>26.544784580498867</v>
      </c>
      <c r="J4" s="39" t="str">
        <f t="shared" ca="1" si="1"/>
        <v>SURE LC BUY</v>
      </c>
      <c r="K4" s="54">
        <f t="shared" ca="1" si="2"/>
        <v>-10.64265815624033</v>
      </c>
      <c r="L4" s="20">
        <f t="array" aca="1" ref="L4" ca="1">_FV(A4,"Market cap",TRUE)/10000000</f>
        <v>109832.1</v>
      </c>
      <c r="M4" s="21" t="str">
        <f t="shared" ca="1" si="3"/>
        <v>LC</v>
      </c>
      <c r="N4" s="37" t="str">
        <f t="array" aca="1" ref="N4" ca="1">_FV(A4,"Industry")</f>
        <v>Machinery, Equipment &amp; Components</v>
      </c>
    </row>
    <row r="5" spans="1:14">
      <c r="A5" s="107" t="e" vm="200">
        <v>#VALUE!</v>
      </c>
      <c r="B5" s="33">
        <f t="array" aca="1" ref="B5" ca="1">_FV(A5,"Change (%)",TRUE)</f>
        <v>-2.3569999999999997E-3</v>
      </c>
      <c r="C5" s="35">
        <f t="array" aca="1" ref="C5" ca="1">_FV(A5,"Previous close",TRUE)</f>
        <v>1739.4</v>
      </c>
      <c r="D5" s="35">
        <f t="array" aca="1" ref="D5" ca="1">_FV(A5,"Price")</f>
        <v>1735.3</v>
      </c>
      <c r="E5" s="35">
        <f t="array" aca="1" ref="E5" ca="1">_FV(A5,"Low")</f>
        <v>1725</v>
      </c>
      <c r="F5" s="35">
        <f t="array" aca="1" ref="F5" ca="1">_FV(A5,"High")</f>
        <v>1752</v>
      </c>
      <c r="G5" s="35">
        <f t="array" aca="1" ref="G5" ca="1">_FV(A5,"52 week low",TRUE)</f>
        <v>1725</v>
      </c>
      <c r="H5" s="36">
        <f t="array" aca="1" ref="H5" ca="1">_FV(A5,"52 week high",TRUE)</f>
        <v>2119.9</v>
      </c>
      <c r="I5" s="40">
        <f t="shared" ca="1" si="0"/>
        <v>18.142365205905946</v>
      </c>
      <c r="J5" s="39" t="str">
        <f t="shared" ca="1" si="1"/>
        <v>WATCH</v>
      </c>
      <c r="K5" s="54">
        <f t="shared" ca="1" si="2"/>
        <v>-0.59710144927535969</v>
      </c>
      <c r="L5" s="20">
        <f t="array" aca="1" ref="L5" ca="1">_FV(A5,"Market cap",TRUE)/10000000</f>
        <v>32663.72</v>
      </c>
      <c r="M5" s="21" t="str">
        <f t="shared" ca="1" si="3"/>
        <v>MC</v>
      </c>
      <c r="N5" s="38" t="str">
        <f t="array" aca="1" ref="N5" ca="1">_FV(A5,"Industry")</f>
        <v>Construction Materials</v>
      </c>
    </row>
    <row r="6" spans="1:14">
      <c r="A6" s="107" t="e" vm="201">
        <v>#VALUE!</v>
      </c>
      <c r="B6" s="33">
        <f t="array" aca="1" ref="B6" ca="1">_FV(A6,"Change (%)",TRUE)</f>
        <v>-2.5056999999999999E-2</v>
      </c>
      <c r="C6" s="35">
        <f t="array" aca="1" ref="C6" ca="1">_FV(A6,"Previous close",TRUE)</f>
        <v>237.06</v>
      </c>
      <c r="D6" s="35">
        <f t="array" aca="1" ref="D6" ca="1">_FV(A6,"Price")</f>
        <v>231.12</v>
      </c>
      <c r="E6" s="35">
        <f t="array" aca="1" ref="E6" ca="1">_FV(A6,"Low")</f>
        <v>230.85</v>
      </c>
      <c r="F6" s="35">
        <f t="array" aca="1" ref="F6" ca="1">_FV(A6,"High")</f>
        <v>238.17</v>
      </c>
      <c r="G6" s="35">
        <f t="array" aca="1" ref="G6" ca="1">_FV(A6,"52 week low",TRUE)</f>
        <v>167.75</v>
      </c>
      <c r="H6" s="36">
        <f t="array" aca="1" ref="H6" ca="1">_FV(A6,"52 week high",TRUE)</f>
        <v>324.3</v>
      </c>
      <c r="I6" s="40">
        <f t="shared" ca="1" si="0"/>
        <v>28.732654949121184</v>
      </c>
      <c r="J6" s="39" t="str">
        <f t="shared" ca="1" si="1"/>
        <v>FIRST MC BUY</v>
      </c>
      <c r="K6" s="54">
        <f t="shared" ca="1" si="2"/>
        <v>-37.77645305514158</v>
      </c>
      <c r="L6" s="20">
        <f t="array" aca="1" ref="L6" ca="1">_FV(A6,"Market cap",TRUE)/10000000</f>
        <v>14365.17</v>
      </c>
      <c r="M6" s="21" t="str">
        <f t="shared" ca="1" si="3"/>
        <v>MC</v>
      </c>
      <c r="N6" s="37" t="str">
        <f t="array" aca="1" ref="N6" ca="1">_FV(A6,"Industry")</f>
        <v>Electrical Utilities &amp; IPPs</v>
      </c>
    </row>
    <row r="7" spans="1:14">
      <c r="A7" s="107" t="e" vm="202">
        <v>#VALUE!</v>
      </c>
      <c r="B7" s="33">
        <f t="array" aca="1" ref="B7" ca="1">_FV(A7,"Change (%)",TRUE)</f>
        <v>-1.4612E-2</v>
      </c>
      <c r="C7" s="35">
        <f t="array" aca="1" ref="C7" ca="1">_FV(A7,"Previous close",TRUE)</f>
        <v>3941.9</v>
      </c>
      <c r="D7" s="35">
        <f t="array" aca="1" ref="D7" ca="1">_FV(A7,"Price")</f>
        <v>3884.3</v>
      </c>
      <c r="E7" s="35">
        <f t="array" aca="1" ref="E7" ca="1">_FV(A7,"Low")</f>
        <v>3870.7</v>
      </c>
      <c r="F7" s="35">
        <f t="array" aca="1" ref="F7" ca="1">_FV(A7,"High")</f>
        <v>3954.3</v>
      </c>
      <c r="G7" s="35">
        <f t="array" aca="1" ref="G7" ca="1">_FV(A7,"52 week low",TRUE)</f>
        <v>3001.1</v>
      </c>
      <c r="H7" s="36">
        <f t="array" aca="1" ref="H7" ca="1">_FV(A7,"52 week high",TRUE)</f>
        <v>3999</v>
      </c>
      <c r="I7" s="40">
        <f t="shared" ca="1" si="0"/>
        <v>2.8682170542635612</v>
      </c>
      <c r="J7" s="39" t="str">
        <f t="shared" ca="1" si="1"/>
        <v>WATCH</v>
      </c>
      <c r="K7" s="54">
        <f t="shared" ca="1" si="2"/>
        <v>-29.429209289927037</v>
      </c>
      <c r="L7" s="20">
        <f t="array" aca="1" ref="L7" ca="1">_FV(A7,"Market cap",TRUE)/10000000</f>
        <v>36785.96</v>
      </c>
      <c r="M7" s="21" t="str">
        <f t="shared" ca="1" si="3"/>
        <v>MC</v>
      </c>
      <c r="N7" s="37" t="str">
        <f t="array" aca="1" ref="N7" ca="1">_FV(A7,"Industry")</f>
        <v>Machinery, Equipment &amp; Components</v>
      </c>
    </row>
    <row r="8" spans="1:14">
      <c r="A8" s="107" t="e" vm="203">
        <v>#VALUE!</v>
      </c>
      <c r="B8" s="33">
        <f t="array" aca="1" ref="B8" ca="1">_FV(A8,"Change (%)",TRUE)</f>
        <v>1.4796E-2</v>
      </c>
      <c r="C8" s="35">
        <f t="array" aca="1" ref="C8" ca="1">_FV(A8,"Previous close",TRUE)</f>
        <v>1858.6</v>
      </c>
      <c r="D8" s="35">
        <f t="array" aca="1" ref="D8" ca="1">_FV(A8,"Price")</f>
        <v>1886.1</v>
      </c>
      <c r="E8" s="35">
        <f t="array" aca="1" ref="E8" ca="1">_FV(A8,"Low")</f>
        <v>1851.4</v>
      </c>
      <c r="F8" s="35">
        <f t="array" aca="1" ref="F8" ca="1">_FV(A8,"High")</f>
        <v>1891</v>
      </c>
      <c r="G8" s="35">
        <f t="array" aca="1" ref="G8" ca="1">_FV(A8,"52 week low",TRUE)</f>
        <v>1272.7</v>
      </c>
      <c r="H8" s="36">
        <f t="array" aca="1" ref="H8" ca="1">_FV(A8,"52 week high",TRUE)</f>
        <v>1936</v>
      </c>
      <c r="I8" s="40">
        <f t="shared" ca="1" si="0"/>
        <v>2.5774793388429798</v>
      </c>
      <c r="J8" s="39" t="str">
        <f t="shared" ca="1" si="1"/>
        <v>WATCH</v>
      </c>
      <c r="K8" s="54">
        <f t="shared" ca="1" si="2"/>
        <v>-48.196747073151556</v>
      </c>
      <c r="L8" s="20">
        <f t="array" aca="1" ref="L8" ca="1">_FV(A8,"Market cap",TRUE)/10000000</f>
        <v>51601.43</v>
      </c>
      <c r="M8" s="21" t="str">
        <f t="shared" ca="1" si="3"/>
        <v>HMC</v>
      </c>
      <c r="N8" s="38" t="str">
        <f t="array" aca="1" ref="N8" ca="1">_FV(A8,"Industry")</f>
        <v>Metals &amp; Mining</v>
      </c>
    </row>
    <row r="9" spans="1:14">
      <c r="A9" s="107" t="e" vm="13">
        <v>#VALUE!</v>
      </c>
      <c r="B9" s="33">
        <f t="array" aca="1" ref="B9" ca="1">_FV(A9,"Change (%)",TRUE)</f>
        <v>9.2399999999999991E-4</v>
      </c>
      <c r="C9" s="35">
        <f t="array" aca="1" ref="C9" ca="1">_FV(A9,"Previous close",TRUE)</f>
        <v>974.05</v>
      </c>
      <c r="D9" s="35">
        <f t="array" aca="1" ref="D9" ca="1">_FV(A9,"Price")</f>
        <v>974.95</v>
      </c>
      <c r="E9" s="35">
        <f t="array" aca="1" ref="E9" ca="1">_FV(A9,"Low")</f>
        <v>970</v>
      </c>
      <c r="F9" s="35">
        <f t="array" aca="1" ref="F9" ca="1">_FV(A9,"High")</f>
        <v>982</v>
      </c>
      <c r="G9" s="35">
        <f t="array" aca="1" ref="G9" ca="1">_FV(A9,"52 week low",TRUE)</f>
        <v>478.35</v>
      </c>
      <c r="H9" s="36">
        <f t="array" aca="1" ref="H9" ca="1">_FV(A9,"52 week high",TRUE)</f>
        <v>1007.25</v>
      </c>
      <c r="I9" s="40">
        <f t="shared" ca="1" si="0"/>
        <v>3.2067510548523162</v>
      </c>
      <c r="J9" s="39" t="str">
        <f t="shared" ca="1" si="1"/>
        <v>WATCH</v>
      </c>
      <c r="K9" s="54">
        <f t="shared" ca="1" si="2"/>
        <v>-103.81519807672206</v>
      </c>
      <c r="L9" s="20">
        <f t="array" aca="1" ref="L9" ca="1">_FV(A9,"Market cap",TRUE)/10000000</f>
        <v>72754.92</v>
      </c>
      <c r="M9" s="21" t="str">
        <f t="shared" ca="1" si="3"/>
        <v>HMC</v>
      </c>
      <c r="N9" s="37" t="str">
        <f t="array" aca="1" ref="N9" ca="1">_FV(A9,"Industry")</f>
        <v>Banking Services</v>
      </c>
    </row>
    <row r="10" spans="1:14">
      <c r="A10" s="107" t="e" vm="15">
        <v>#VALUE!</v>
      </c>
      <c r="B10" s="33">
        <f t="array" aca="1" ref="B10" ca="1">_FV(A10,"Change (%)",TRUE)</f>
        <v>0</v>
      </c>
      <c r="C10" s="35">
        <f t="array" aca="1" ref="C10" ca="1">_FV(A10,"Previous close",TRUE)</f>
        <v>236.95</v>
      </c>
      <c r="D10" s="35">
        <f t="array" aca="1" ref="D10" ca="1">_FV(A10,"Price")</f>
        <v>236.95</v>
      </c>
      <c r="E10" s="35">
        <f t="array" aca="1" ref="E10" ca="1">_FV(A10,"Low")</f>
        <v>235.5</v>
      </c>
      <c r="F10" s="35">
        <f t="array" aca="1" ref="F10" ca="1">_FV(A10,"High")</f>
        <v>237.75</v>
      </c>
      <c r="G10" s="35">
        <f t="array" aca="1" ref="G10" ca="1">_FV(A10,"52 week low",TRUE)</f>
        <v>231.55</v>
      </c>
      <c r="H10" s="36">
        <f t="array" aca="1" ref="H10" ca="1">_FV(A10,"52 week high",TRUE)</f>
        <v>337.05</v>
      </c>
      <c r="I10" s="40">
        <f t="shared" ca="1" si="0"/>
        <v>29.698857736240917</v>
      </c>
      <c r="J10" s="39" t="str">
        <f t="shared" ca="1" si="1"/>
        <v>FIRST MC BUY</v>
      </c>
      <c r="K10" s="54">
        <f t="shared" ca="1" si="2"/>
        <v>-2.332109695530113</v>
      </c>
      <c r="L10" s="20">
        <f t="array" aca="1" ref="L10" ca="1">_FV(A10,"Market cap",TRUE)/10000000</f>
        <v>30691.73</v>
      </c>
      <c r="M10" s="21" t="str">
        <f t="shared" ca="1" si="3"/>
        <v>MC</v>
      </c>
      <c r="N10" s="37" t="str">
        <f t="array" aca="1" ref="N10" ca="1">_FV(A10,"Industry")</f>
        <v>Food &amp; Tobacco</v>
      </c>
    </row>
    <row r="11" spans="1:14">
      <c r="A11" s="107" t="e" vm="204">
        <v>#VALUE!</v>
      </c>
      <c r="B11" s="33">
        <f t="array" aca="1" ref="B11" ca="1">_FV(A11,"Change (%)",TRUE)</f>
        <v>-5.9560000000000004E-3</v>
      </c>
      <c r="C11" s="35">
        <f t="array" aca="1" ref="C11" ca="1">_FV(A11,"Previous close",TRUE)</f>
        <v>486.9</v>
      </c>
      <c r="D11" s="35">
        <f t="array" aca="1" ref="D11" ca="1">_FV(A11,"Price")</f>
        <v>484</v>
      </c>
      <c r="E11" s="35">
        <f t="array" aca="1" ref="E11" ca="1">_FV(A11,"Low")</f>
        <v>481</v>
      </c>
      <c r="F11" s="35">
        <f t="array" aca="1" ref="F11" ca="1">_FV(A11,"High")</f>
        <v>491.05</v>
      </c>
      <c r="G11" s="35">
        <f t="array" aca="1" ref="G11" ca="1">_FV(A11,"52 week low",TRUE)</f>
        <v>346.05</v>
      </c>
      <c r="H11" s="36">
        <f t="array" aca="1" ref="H11" ca="1">_FV(A11,"52 week high",TRUE)</f>
        <v>547.79999999999995</v>
      </c>
      <c r="I11" s="40">
        <f t="shared" ca="1" si="0"/>
        <v>11.646586345381518</v>
      </c>
      <c r="J11" s="39" t="str">
        <f t="shared" ca="1" si="1"/>
        <v>WATCH</v>
      </c>
      <c r="K11" s="54">
        <f t="shared" ca="1" si="2"/>
        <v>-39.864181476665216</v>
      </c>
      <c r="L11" s="20">
        <f t="array" aca="1" ref="L11" ca="1">_FV(A11,"Market cap",TRUE)/10000000</f>
        <v>21121.54</v>
      </c>
      <c r="M11" s="21" t="str">
        <f t="shared" ca="1" si="3"/>
        <v>MC</v>
      </c>
      <c r="N11" s="37" t="str">
        <f t="array" aca="1" ref="N11" ca="1">_FV(A11,"Industry")</f>
        <v>Banking Services</v>
      </c>
    </row>
    <row r="12" spans="1:14">
      <c r="A12" s="107" t="e" vm="1">
        <v>#VALUE!</v>
      </c>
      <c r="B12" s="33">
        <f t="array" aca="1" ref="B12" ca="1">_FV(A12,"Change (%)",TRUE)</f>
        <v>-8.6909999999999991E-3</v>
      </c>
      <c r="C12" s="35">
        <f t="array" aca="1" ref="C12" ca="1">_FV(A12,"Previous close",TRUE)</f>
        <v>379.7</v>
      </c>
      <c r="D12" s="35">
        <f t="array" aca="1" ref="D12" ca="1">_FV(A12,"Price")</f>
        <v>376.4</v>
      </c>
      <c r="E12" s="35">
        <f t="array" aca="1" ref="E12" ca="1">_FV(A12,"Low")</f>
        <v>375.55</v>
      </c>
      <c r="F12" s="35">
        <f t="array" aca="1" ref="F12" ca="1">_FV(A12,"High")</f>
        <v>382.8</v>
      </c>
      <c r="G12" s="35">
        <f t="array" aca="1" ref="G12" ca="1">_FV(A12,"52 week low",TRUE)</f>
        <v>344.2</v>
      </c>
      <c r="H12" s="36">
        <f t="array" aca="1" ref="H12" ca="1">_FV(A12,"52 week high",TRUE)</f>
        <v>495</v>
      </c>
      <c r="I12" s="40">
        <f t="shared" ca="1" si="0"/>
        <v>23.959595959595962</v>
      </c>
      <c r="J12" s="39" t="str">
        <f t="shared" ca="1" si="1"/>
        <v>FIRST MC BUY</v>
      </c>
      <c r="K12" s="54">
        <f t="shared" ca="1" si="2"/>
        <v>-9.3550261475886085</v>
      </c>
      <c r="L12" s="20">
        <f t="array" aca="1" ref="L12" ca="1">_FV(A12,"Market cap",TRUE)/10000000</f>
        <v>13648.03</v>
      </c>
      <c r="M12" s="21" t="str">
        <f t="shared" ca="1" si="3"/>
        <v>MC</v>
      </c>
      <c r="N12" s="38" t="str">
        <f t="array" aca="1" ref="N12" ca="1">_FV(A12,"Industry")</f>
        <v>Chemicals</v>
      </c>
    </row>
    <row r="13" spans="1:14">
      <c r="A13" s="107" t="e" vm="205">
        <v>#VALUE!</v>
      </c>
      <c r="B13" s="33">
        <f t="array" aca="1" ref="B13" ca="1">_FV(A13,"Change (%)",TRUE)</f>
        <v>-2.0836E-2</v>
      </c>
      <c r="C13" s="35">
        <f t="array" aca="1" ref="C13" ca="1">_FV(A13,"Previous close",TRUE)</f>
        <v>1511.8</v>
      </c>
      <c r="D13" s="35">
        <f t="array" aca="1" ref="D13" ca="1">_FV(A13,"Price")</f>
        <v>1480.3</v>
      </c>
      <c r="E13" s="35">
        <f t="array" aca="1" ref="E13" ca="1">_FV(A13,"Low")</f>
        <v>1475.3</v>
      </c>
      <c r="F13" s="35">
        <f t="array" aca="1" ref="F13" ca="1">_FV(A13,"High")</f>
        <v>1520</v>
      </c>
      <c r="G13" s="35">
        <f t="array" aca="1" ref="G13" ca="1">_FV(A13,"52 week low",TRUE)</f>
        <v>1435</v>
      </c>
      <c r="H13" s="36">
        <f t="array" aca="1" ref="H13" ca="1">_FV(A13,"52 week high",TRUE)</f>
        <v>2234</v>
      </c>
      <c r="I13" s="40">
        <f t="shared" ca="1" si="0"/>
        <v>33.737690241718887</v>
      </c>
      <c r="J13" s="39" t="str">
        <f t="shared" ca="1" si="1"/>
        <v>MC BUY</v>
      </c>
      <c r="K13" s="54">
        <f t="shared" ca="1" si="2"/>
        <v>-3.1567944250871047</v>
      </c>
      <c r="L13" s="20">
        <f t="array" aca="1" ref="L13" ca="1">_FV(A13,"Market cap",TRUE)/10000000</f>
        <v>11720.94</v>
      </c>
      <c r="M13" s="21" t="str">
        <f t="shared" ca="1" si="3"/>
        <v>MC</v>
      </c>
      <c r="N13" s="37" t="str">
        <f t="array" aca="1" ref="N13" ca="1">_FV(A13,"Industry")</f>
        <v>Banking Services</v>
      </c>
    </row>
    <row r="14" spans="1:14">
      <c r="A14" s="107" t="e" vm="206">
        <v>#VALUE!</v>
      </c>
      <c r="B14" s="33">
        <f t="array" aca="1" ref="B14" ca="1">_FV(A14,"Change (%)",TRUE)</f>
        <v>1.3677E-2</v>
      </c>
      <c r="C14" s="35">
        <f t="array" aca="1" ref="C14" ca="1">_FV(A14,"Previous close",TRUE)</f>
        <v>28515</v>
      </c>
      <c r="D14" s="35">
        <f t="array" aca="1" ref="D14" ca="1">_FV(A14,"Price")</f>
        <v>28905</v>
      </c>
      <c r="E14" s="35">
        <f t="array" aca="1" ref="E14" ca="1">_FV(A14,"Low")</f>
        <v>28425</v>
      </c>
      <c r="F14" s="35">
        <f t="array" aca="1" ref="F14" ca="1">_FV(A14,"High")</f>
        <v>28990</v>
      </c>
      <c r="G14" s="35">
        <f t="array" aca="1" ref="G14" ca="1">_FV(A14,"52 week low",TRUE)</f>
        <v>25325</v>
      </c>
      <c r="H14" s="36">
        <f t="array" aca="1" ref="H14" ca="1">_FV(A14,"52 week high",TRUE)</f>
        <v>37000</v>
      </c>
      <c r="I14" s="40">
        <f t="shared" ca="1" si="0"/>
        <v>21.878378378378379</v>
      </c>
      <c r="J14" s="39" t="str">
        <f t="shared" ca="1" si="1"/>
        <v>HMC BUY</v>
      </c>
      <c r="K14" s="54">
        <f t="shared" ca="1" si="2"/>
        <v>-14.136229022704837</v>
      </c>
      <c r="L14" s="20">
        <f t="array" aca="1" ref="L14" ca="1">_FV(A14,"Market cap",TRUE)/10000000</f>
        <v>60592.39</v>
      </c>
      <c r="M14" s="21" t="str">
        <f t="shared" ca="1" si="3"/>
        <v>HMC</v>
      </c>
      <c r="N14" s="37" t="str">
        <f t="array" aca="1" ref="N14" ca="1">_FV(A14,"Industry")</f>
        <v>Pharmaceuticals</v>
      </c>
    </row>
    <row r="15" spans="1:14">
      <c r="A15" s="107" t="e" vm="207">
        <v>#VALUE!</v>
      </c>
      <c r="B15" s="33">
        <f t="array" aca="1" ref="B15" ca="1">_FV(A15,"Change (%)",TRUE)</f>
        <v>-9.8890000000000002E-3</v>
      </c>
      <c r="C15" s="35">
        <f t="array" aca="1" ref="C15" ca="1">_FV(A15,"Previous close",TRUE)</f>
        <v>960.7</v>
      </c>
      <c r="D15" s="35">
        <f t="array" aca="1" ref="D15" ca="1">_FV(A15,"Price")</f>
        <v>951.2</v>
      </c>
      <c r="E15" s="35">
        <f t="array" aca="1" ref="E15" ca="1">_FV(A15,"Low")</f>
        <v>948.1</v>
      </c>
      <c r="F15" s="35">
        <f t="array" aca="1" ref="F15" ca="1">_FV(A15,"High")</f>
        <v>960.7</v>
      </c>
      <c r="G15" s="35">
        <f t="array" aca="1" ref="G15" ca="1">_FV(A15,"52 week low",TRUE)</f>
        <v>909</v>
      </c>
      <c r="H15" s="36">
        <f t="array" aca="1" ref="H15" ca="1">_FV(A15,"52 week high",TRUE)</f>
        <v>1600</v>
      </c>
      <c r="I15" s="40">
        <f t="shared" ca="1" si="0"/>
        <v>40.549999999999997</v>
      </c>
      <c r="J15" s="39" t="str">
        <f t="shared" ca="1" si="1"/>
        <v>SURE MC BUY</v>
      </c>
      <c r="K15" s="54">
        <f t="shared" ca="1" si="2"/>
        <v>-4.6424642464246473</v>
      </c>
      <c r="L15" s="20">
        <f t="array" aca="1" ref="L15" ca="1">_FV(A15,"Market cap",TRUE)/10000000</f>
        <v>11433.79</v>
      </c>
      <c r="M15" s="21" t="str">
        <f t="shared" ca="1" si="3"/>
        <v>MC</v>
      </c>
      <c r="N15" s="38" t="str">
        <f t="array" aca="1" ref="N15" ca="1">_FV(A15,"Industry")</f>
        <v>Machinery, Equipment &amp; Components</v>
      </c>
    </row>
    <row r="16" spans="1:14">
      <c r="A16" s="107" t="e" vm="190">
        <v>#VALUE!</v>
      </c>
      <c r="B16" s="33">
        <f t="array" aca="1" ref="B16" ca="1">_FV(A16,"Change (%)",TRUE)</f>
        <v>1.8814999999999998E-2</v>
      </c>
      <c r="C16" s="35">
        <f t="array" aca="1" ref="C16" ca="1">_FV(A16,"Previous close",TRUE)</f>
        <v>996.55</v>
      </c>
      <c r="D16" s="35">
        <f t="array" aca="1" ref="D16" ca="1">_FV(A16,"Price")</f>
        <v>1015.3</v>
      </c>
      <c r="E16" s="35">
        <f t="array" aca="1" ref="E16" ca="1">_FV(A16,"Low")</f>
        <v>991.1</v>
      </c>
      <c r="F16" s="35">
        <f t="array" aca="1" ref="F16" ca="1">_FV(A16,"High")</f>
        <v>1020.4</v>
      </c>
      <c r="G16" s="35">
        <f t="array" aca="1" ref="G16" ca="1">_FV(A16,"52 week low",TRUE)</f>
        <v>639.45000000000005</v>
      </c>
      <c r="H16" s="36">
        <f t="array" aca="1" ref="H16" ca="1">_FV(A16,"52 week high",TRUE)</f>
        <v>1050</v>
      </c>
      <c r="I16" s="40">
        <f t="shared" ca="1" si="0"/>
        <v>3.304761904761909</v>
      </c>
      <c r="J16" s="39" t="str">
        <f t="shared" ca="1" si="1"/>
        <v>WATCH</v>
      </c>
      <c r="K16" s="54">
        <f t="shared" ca="1" si="2"/>
        <v>-58.777074048009993</v>
      </c>
      <c r="L16" s="20">
        <f t="array" aca="1" ref="L16" ca="1">_FV(A16,"Market cap",TRUE)/10000000</f>
        <v>119713.8</v>
      </c>
      <c r="M16" s="21" t="str">
        <f t="shared" ca="1" si="3"/>
        <v>LC</v>
      </c>
      <c r="N16" s="38" t="str">
        <f t="array" aca="1" ref="N16" ca="1">_FV(A16,"Industry")</f>
        <v>Electrical Utilities &amp; IPPs</v>
      </c>
    </row>
    <row r="17" spans="1:14">
      <c r="A17" s="107" t="e" vm="4">
        <v>#VALUE!</v>
      </c>
      <c r="B17" s="33">
        <f t="array" aca="1" ref="B17" ca="1">_FV(A17,"Change (%)",TRUE)</f>
        <v>3.2390000000000001E-3</v>
      </c>
      <c r="C17" s="35">
        <f t="array" aca="1" ref="C17" ca="1">_FV(A17,"Previous close",TRUE)</f>
        <v>2222.6999999999998</v>
      </c>
      <c r="D17" s="35">
        <f t="array" aca="1" ref="D17" ca="1">_FV(A17,"Price")</f>
        <v>2229.9</v>
      </c>
      <c r="E17" s="35">
        <f t="array" aca="1" ref="E17" ca="1">_FV(A17,"Low")</f>
        <v>2218</v>
      </c>
      <c r="F17" s="35">
        <f t="array" aca="1" ref="F17" ca="1">_FV(A17,"High")</f>
        <v>2250.9</v>
      </c>
      <c r="G17" s="35">
        <f t="array" aca="1" ref="G17" ca="1">_FV(A17,"52 week low",TRUE)</f>
        <v>1964.71</v>
      </c>
      <c r="H17" s="36">
        <f t="array" aca="1" ref="H17" ca="1">_FV(A17,"52 week high",TRUE)</f>
        <v>2612.7600000000002</v>
      </c>
      <c r="I17" s="40">
        <f t="shared" ca="1" si="0"/>
        <v>14.653469893905299</v>
      </c>
      <c r="J17" s="39" t="str">
        <f t="shared" ca="1" si="1"/>
        <v>LC BUY</v>
      </c>
      <c r="K17" s="54">
        <f t="shared" ca="1" si="2"/>
        <v>-13.497666322256213</v>
      </c>
      <c r="L17" s="20">
        <f t="array" aca="1" ref="L17" ca="1">_FV(A17,"Market cap",TRUE)/10000000</f>
        <v>275121.09999999998</v>
      </c>
      <c r="M17" s="21" t="str">
        <f t="shared" ca="1" si="3"/>
        <v>LC</v>
      </c>
      <c r="N17" s="37" t="str">
        <f t="array" aca="1" ref="N17" ca="1">_FV(A17,"Industry")</f>
        <v>Diversified Industrial Goods Wholesale</v>
      </c>
    </row>
    <row r="18" spans="1:14">
      <c r="A18" s="107" t="e" vm="5">
        <v>#VALUE!</v>
      </c>
      <c r="B18" s="33">
        <f t="array" aca="1" ref="B18" ca="1">_FV(A18,"Change (%)",TRUE)</f>
        <v>3.0539999999999999E-3</v>
      </c>
      <c r="C18" s="35">
        <f t="array" aca="1" ref="C18" ca="1">_FV(A18,"Previous close",TRUE)</f>
        <v>1015</v>
      </c>
      <c r="D18" s="35">
        <f t="array" aca="1" ref="D18" ca="1">_FV(A18,"Price")</f>
        <v>1018.1</v>
      </c>
      <c r="E18" s="35">
        <f t="array" aca="1" ref="E18" ca="1">_FV(A18,"Low")</f>
        <v>1011.5</v>
      </c>
      <c r="F18" s="35">
        <f t="array" aca="1" ref="F18" ca="1">_FV(A18,"High")</f>
        <v>1027</v>
      </c>
      <c r="G18" s="35">
        <f t="array" aca="1" ref="G18" ca="1">_FV(A18,"52 week low",TRUE)</f>
        <v>758</v>
      </c>
      <c r="H18" s="36">
        <f t="array" aca="1" ref="H18" ca="1">_FV(A18,"52 week high",TRUE)</f>
        <v>1177.55</v>
      </c>
      <c r="I18" s="40">
        <f t="shared" ca="1" si="0"/>
        <v>13.540826291877197</v>
      </c>
      <c r="J18" s="39" t="str">
        <f t="shared" ca="1" si="1"/>
        <v>LC BUY</v>
      </c>
      <c r="K18" s="54">
        <f t="shared" ca="1" si="2"/>
        <v>-34.313984168865439</v>
      </c>
      <c r="L18" s="20">
        <f t="array" aca="1" ref="L18" ca="1">_FV(A18,"Market cap",TRUE)/10000000</f>
        <v>167188.4</v>
      </c>
      <c r="M18" s="21" t="str">
        <f t="shared" ca="1" si="3"/>
        <v>LC</v>
      </c>
      <c r="N18" s="37" t="str">
        <f t="array" aca="1" ref="N18" ca="1">_FV(A18,"Industry")</f>
        <v>Electrical Utilities &amp; IPPs</v>
      </c>
    </row>
    <row r="19" spans="1:14">
      <c r="A19" s="107" t="e" vm="156">
        <v>#VALUE!</v>
      </c>
      <c r="B19" s="33">
        <f t="array" aca="1" ref="B19" ca="1">_FV(A19,"Change (%)",TRUE)</f>
        <v>-4.8180000000000002E-3</v>
      </c>
      <c r="C19" s="35">
        <f t="array" aca="1" ref="C19" ca="1">_FV(A19,"Previous close",TRUE)</f>
        <v>1494.3</v>
      </c>
      <c r="D19" s="35">
        <f t="array" aca="1" ref="D19" ca="1">_FV(A19,"Price")</f>
        <v>1487.1</v>
      </c>
      <c r="E19" s="35">
        <f t="array" aca="1" ref="E19" ca="1">_FV(A19,"Low")</f>
        <v>1485</v>
      </c>
      <c r="F19" s="35">
        <f t="array" aca="1" ref="F19" ca="1">_FV(A19,"High")</f>
        <v>1501.4</v>
      </c>
      <c r="G19" s="35">
        <f t="array" aca="1" ref="G19" ca="1">_FV(A19,"52 week low",TRUE)</f>
        <v>1010.75</v>
      </c>
      <c r="H19" s="36">
        <f t="array" aca="1" ref="H19" ca="1">_FV(A19,"52 week high",TRUE)</f>
        <v>1549</v>
      </c>
      <c r="I19" s="40">
        <f t="shared" ca="1" si="0"/>
        <v>3.9961265332472622</v>
      </c>
      <c r="J19" s="39" t="str">
        <f t="shared" ca="1" si="1"/>
        <v>WATCH</v>
      </c>
      <c r="K19" s="54">
        <f t="shared" ca="1" si="2"/>
        <v>-47.12837002226069</v>
      </c>
      <c r="L19" s="20">
        <f t="array" aca="1" ref="L19" ca="1">_FV(A19,"Market cap",TRUE)/10000000</f>
        <v>344280.6</v>
      </c>
      <c r="M19" s="21" t="str">
        <f t="shared" ca="1" si="3"/>
        <v>LC</v>
      </c>
      <c r="N19" s="37" t="str">
        <f t="array" aca="1" ref="N19" ca="1">_FV(A19,"Industry")</f>
        <v>Transport Infrastructure</v>
      </c>
    </row>
    <row r="20" spans="1:14">
      <c r="A20" s="107" t="e" vm="192">
        <v>#VALUE!</v>
      </c>
      <c r="B20" s="33">
        <f t="array" aca="1" ref="B20" ca="1">_FV(A20,"Change (%)",TRUE)</f>
        <v>-6.7759999999999999E-3</v>
      </c>
      <c r="C20" s="35">
        <f t="array" aca="1" ref="C20" ca="1">_FV(A20,"Previous close",TRUE)</f>
        <v>143.16</v>
      </c>
      <c r="D20" s="35">
        <f t="array" aca="1" ref="D20" ca="1">_FV(A20,"Price")</f>
        <v>142.19</v>
      </c>
      <c r="E20" s="35">
        <f t="array" aca="1" ref="E20" ca="1">_FV(A20,"Low")</f>
        <v>141.9</v>
      </c>
      <c r="F20" s="35">
        <f t="array" aca="1" ref="F20" ca="1">_FV(A20,"High")</f>
        <v>144.37</v>
      </c>
      <c r="G20" s="35">
        <f t="array" aca="1" ref="G20" ca="1">_FV(A20,"52 week low",TRUE)</f>
        <v>89</v>
      </c>
      <c r="H20" s="36">
        <f t="array" aca="1" ref="H20" ca="1">_FV(A20,"52 week high",TRUE)</f>
        <v>182.7</v>
      </c>
      <c r="I20" s="40">
        <f t="shared" ca="1" si="0"/>
        <v>22.172961138478378</v>
      </c>
      <c r="J20" s="39" t="str">
        <f t="shared" ca="1" si="1"/>
        <v>SURE LC BUY</v>
      </c>
      <c r="K20" s="54">
        <f t="shared" ca="1" si="2"/>
        <v>-59.764044943820224</v>
      </c>
      <c r="L20" s="20">
        <f t="array" aca="1" ref="L20" ca="1">_FV(A20,"Market cap",TRUE)/10000000</f>
        <v>276079.7</v>
      </c>
      <c r="M20" s="21" t="str">
        <f t="shared" ca="1" si="3"/>
        <v>LC</v>
      </c>
      <c r="N20" s="38" t="str">
        <f t="array" aca="1" ref="N20" ca="1">_FV(A20,"Industry")</f>
        <v>Electrical Utilities &amp; IPPs</v>
      </c>
    </row>
    <row r="21" spans="1:14">
      <c r="A21" s="107" t="e" vm="208">
        <v>#VALUE!</v>
      </c>
      <c r="B21" s="33">
        <f t="array" aca="1" ref="B21" ca="1">_FV(A21,"Change (%)",TRUE)</f>
        <v>8.1390000000000004E-3</v>
      </c>
      <c r="C21" s="35">
        <f t="array" aca="1" ref="C21" ca="1">_FV(A21,"Previous close",TRUE)</f>
        <v>565.20000000000005</v>
      </c>
      <c r="D21" s="35">
        <f t="array" aca="1" ref="D21" ca="1">_FV(A21,"Price")</f>
        <v>569.79999999999995</v>
      </c>
      <c r="E21" s="35">
        <f t="array" aca="1" ref="E21" ca="1">_FV(A21,"Low")</f>
        <v>563</v>
      </c>
      <c r="F21" s="35">
        <f t="array" aca="1" ref="F21" ca="1">_FV(A21,"High")</f>
        <v>585</v>
      </c>
      <c r="G21" s="35">
        <f t="array" aca="1" ref="G21" ca="1">_FV(A21,"52 week low",TRUE)</f>
        <v>532.6</v>
      </c>
      <c r="H21" s="36">
        <f t="array" aca="1" ref="H21" ca="1">_FV(A21,"52 week high",TRUE)</f>
        <v>798</v>
      </c>
      <c r="I21" s="40">
        <f t="shared" ca="1" si="0"/>
        <v>28.596491228070182</v>
      </c>
      <c r="J21" s="39" t="str">
        <f t="shared" ca="1" si="1"/>
        <v>HMC BUY</v>
      </c>
      <c r="K21" s="54">
        <f t="shared" ca="1" si="2"/>
        <v>-6.9846038302666038</v>
      </c>
      <c r="L21" s="20">
        <f t="array" aca="1" ref="L21" ca="1">_FV(A21,"Market cap",TRUE)/10000000</f>
        <v>62161.27</v>
      </c>
      <c r="M21" s="21" t="str">
        <f t="shared" ca="1" si="3"/>
        <v>HMC</v>
      </c>
      <c r="N21" s="38" t="str">
        <f t="array" aca="1" ref="N21" ca="1">_FV(A21,"Industry")</f>
        <v>Natural Gas Utilities</v>
      </c>
    </row>
    <row r="22" spans="1:14">
      <c r="A22" s="107" t="e" vm="209">
        <v>#VALUE!</v>
      </c>
      <c r="B22" s="33">
        <f t="array" aca="1" ref="B22" ca="1">_FV(A22,"Change (%)",TRUE)</f>
        <v>2.1589999999999999E-3</v>
      </c>
      <c r="C22" s="35">
        <f t="array" aca="1" ref="C22" ca="1">_FV(A22,"Previous close",TRUE)</f>
        <v>347.4</v>
      </c>
      <c r="D22" s="35">
        <f t="array" aca="1" ref="D22" ca="1">_FV(A22,"Price")</f>
        <v>348.15</v>
      </c>
      <c r="E22" s="35">
        <f t="array" aca="1" ref="E22" ca="1">_FV(A22,"Low")</f>
        <v>344</v>
      </c>
      <c r="F22" s="35">
        <f t="array" aca="1" ref="F22" ca="1">_FV(A22,"High")</f>
        <v>349.95</v>
      </c>
      <c r="G22" s="35">
        <f t="array" aca="1" ref="G22" ca="1">_FV(A22,"52 week low",TRUE)</f>
        <v>149.01</v>
      </c>
      <c r="H22" s="36">
        <f t="array" aca="1" ref="H22" ca="1">_FV(A22,"52 week high",TRUE)</f>
        <v>368.95</v>
      </c>
      <c r="I22" s="40">
        <f t="shared" ca="1" si="0"/>
        <v>5.6376202737498335</v>
      </c>
      <c r="J22" s="39" t="str">
        <f t="shared" ca="1" si="1"/>
        <v>WATCH</v>
      </c>
      <c r="K22" s="54">
        <f t="shared" ca="1" si="2"/>
        <v>-133.64203744715121</v>
      </c>
      <c r="L22" s="20">
        <f t="array" aca="1" ref="L22" ca="1">_FV(A22,"Market cap",TRUE)/10000000</f>
        <v>90923.79</v>
      </c>
      <c r="M22" s="21" t="str">
        <f t="shared" ca="1" si="3"/>
        <v>HMC</v>
      </c>
      <c r="N22" s="37" t="str">
        <f t="array" aca="1" ref="N22" ca="1">_FV(A22,"Industry")</f>
        <v>Insurance</v>
      </c>
    </row>
    <row r="23" spans="1:14">
      <c r="A23" s="107" t="e" vm="210">
        <v>#VALUE!</v>
      </c>
      <c r="B23" s="33">
        <f t="array" aca="1" ref="B23" ca="1">_FV(A23,"Change (%)",TRUE)</f>
        <v>-1.4630000000000001E-2</v>
      </c>
      <c r="C23" s="35">
        <f t="array" aca="1" ref="C23" ca="1">_FV(A23,"Previous close",TRUE)</f>
        <v>77.92</v>
      </c>
      <c r="D23" s="35">
        <f t="array" aca="1" ref="D23" ca="1">_FV(A23,"Price")</f>
        <v>76.78</v>
      </c>
      <c r="E23" s="35">
        <f t="array" aca="1" ref="E23" ca="1">_FV(A23,"Low")</f>
        <v>76.58</v>
      </c>
      <c r="F23" s="35">
        <f t="array" aca="1" ref="F23" ca="1">_FV(A23,"High")</f>
        <v>77.930000000000007</v>
      </c>
      <c r="G23" s="35">
        <f t="array" aca="1" ref="G23" ca="1">_FV(A23,"52 week low",TRUE)</f>
        <v>70.55</v>
      </c>
      <c r="H23" s="36">
        <f t="array" aca="1" ref="H23" ca="1">_FV(A23,"52 week high",TRUE)</f>
        <v>107.75</v>
      </c>
      <c r="I23" s="40">
        <f t="shared" ca="1" si="0"/>
        <v>28.742459396751741</v>
      </c>
      <c r="J23" s="39" t="str">
        <f t="shared" ca="1" si="1"/>
        <v>WATCH</v>
      </c>
      <c r="K23" s="54">
        <f t="shared" ca="1" si="2"/>
        <v>-8.830616583982998</v>
      </c>
      <c r="L23" s="20">
        <f t="array" aca="1" ref="L23" ca="1">_FV(A23,"Market cap",TRUE)/10000000</f>
        <v>9476.7049999999999</v>
      </c>
      <c r="M23" s="21" t="str">
        <f t="shared" ca="1" si="3"/>
        <v>HSC</v>
      </c>
      <c r="N23" s="38" t="str">
        <f t="array" aca="1" ref="N23" ca="1">_FV(A23,"Industry")</f>
        <v>Specialty Retailers</v>
      </c>
    </row>
    <row r="24" spans="1:14">
      <c r="A24" s="107" t="e" vm="211">
        <v>#VALUE!</v>
      </c>
      <c r="B24" s="33">
        <f t="array" aca="1" ref="B24" ca="1">_FV(A24,"Change (%)",TRUE)</f>
        <v>4.0640000000000001E-4</v>
      </c>
      <c r="C24" s="35">
        <f t="array" aca="1" ref="C24" ca="1">_FV(A24,"Previous close",TRUE)</f>
        <v>123.03</v>
      </c>
      <c r="D24" s="35">
        <f t="array" aca="1" ref="D24" ca="1">_FV(A24,"Price")</f>
        <v>123.08</v>
      </c>
      <c r="E24" s="35">
        <f t="array" aca="1" ref="E24" ca="1">_FV(A24,"Low")</f>
        <v>121.81</v>
      </c>
      <c r="F24" s="35">
        <f t="array" aca="1" ref="F24" ca="1">_FV(A24,"High")</f>
        <v>124.99</v>
      </c>
      <c r="G24" s="35">
        <f t="array" aca="1" ref="G24" ca="1">_FV(A24,"52 week low",TRUE)</f>
        <v>115</v>
      </c>
      <c r="H24" s="36">
        <f t="array" aca="1" ref="H24" ca="1">_FV(A24,"52 week high",TRUE)</f>
        <v>175</v>
      </c>
      <c r="I24" s="40">
        <f t="shared" ca="1" si="0"/>
        <v>29.668571428571429</v>
      </c>
      <c r="J24" s="39" t="str">
        <f t="shared" ca="1" si="1"/>
        <v>FIRST MC BUY</v>
      </c>
      <c r="K24" s="54">
        <f t="shared" ca="1" si="2"/>
        <v>-7.0260869565217368</v>
      </c>
      <c r="L24" s="20">
        <f t="array" aca="1" ref="L24" ca="1">_FV(A24,"Market cap",TRUE)/10000000</f>
        <v>14962.82</v>
      </c>
      <c r="M24" s="21" t="str">
        <f t="shared" ca="1" si="3"/>
        <v>MC</v>
      </c>
      <c r="N24" s="37" t="str">
        <f t="array" aca="1" ref="N24" ca="1">_FV(A24,"Industry")</f>
        <v>Specialty Retailers</v>
      </c>
    </row>
    <row r="25" spans="1:14">
      <c r="A25" s="107" t="e" vm="212">
        <v>#VALUE!</v>
      </c>
      <c r="B25" s="33">
        <f t="array" aca="1" ref="B25" ca="1">_FV(A25,"Change (%)",TRUE)</f>
        <v>-9.5420000000000001E-3</v>
      </c>
      <c r="C25" s="35">
        <f t="array" aca="1" ref="C25" ca="1">_FV(A25,"Previous close",TRUE)</f>
        <v>1697.8</v>
      </c>
      <c r="D25" s="35">
        <f t="array" aca="1" ref="D25" ca="1">_FV(A25,"Price")</f>
        <v>1681.6</v>
      </c>
      <c r="E25" s="35">
        <f t="array" aca="1" ref="E25" ca="1">_FV(A25,"Low")</f>
        <v>1675</v>
      </c>
      <c r="F25" s="35">
        <f t="array" aca="1" ref="F25" ca="1">_FV(A25,"High")</f>
        <v>1715</v>
      </c>
      <c r="G25" s="35">
        <f t="array" aca="1" ref="G25" ca="1">_FV(A25,"52 week low",TRUE)</f>
        <v>1562.6</v>
      </c>
      <c r="H25" s="36">
        <f t="array" aca="1" ref="H25" ca="1">_FV(A25,"52 week high",TRUE)</f>
        <v>2652.6</v>
      </c>
      <c r="I25" s="40">
        <f t="shared" ca="1" si="0"/>
        <v>36.605594511045766</v>
      </c>
      <c r="J25" s="39" t="str">
        <f t="shared" ca="1" si="1"/>
        <v>MC BUY</v>
      </c>
      <c r="K25" s="54">
        <f t="shared" ca="1" si="2"/>
        <v>-7.61551260719314</v>
      </c>
      <c r="L25" s="20">
        <f t="array" aca="1" ref="L25" ca="1">_FV(A25,"Market cap",TRUE)/10000000</f>
        <v>18768.25</v>
      </c>
      <c r="M25" s="21" t="str">
        <f t="shared" ca="1" si="3"/>
        <v>MC</v>
      </c>
      <c r="N25" s="37" t="str">
        <f t="array" aca="1" ref="N25" ca="1">_FV(A25,"Industry")</f>
        <v>Paper &amp; Forest Products</v>
      </c>
    </row>
    <row r="26" spans="1:14">
      <c r="A26" s="107" t="e" vm="213">
        <v>#VALUE!</v>
      </c>
      <c r="B26" s="33">
        <f t="array" aca="1" ref="B26" ca="1">_FV(A26,"Change (%)",TRUE)</f>
        <v>-4.2009999999999999E-3</v>
      </c>
      <c r="C26" s="35">
        <f t="array" aca="1" ref="C26" ca="1">_FV(A26,"Previous close",TRUE)</f>
        <v>773.7</v>
      </c>
      <c r="D26" s="35">
        <f t="array" aca="1" ref="D26" ca="1">_FV(A26,"Price")</f>
        <v>770.45</v>
      </c>
      <c r="E26" s="35">
        <f t="array" aca="1" ref="E26" ca="1">_FV(A26,"Low")</f>
        <v>767.3</v>
      </c>
      <c r="F26" s="35">
        <f t="array" aca="1" ref="F26" ca="1">_FV(A26,"High")</f>
        <v>780</v>
      </c>
      <c r="G26" s="35">
        <f t="array" aca="1" ref="G26" ca="1">_FV(A26,"52 week low",TRUE)</f>
        <v>556.45000000000005</v>
      </c>
      <c r="H26" s="36">
        <f t="array" aca="1" ref="H26" ca="1">_FV(A26,"52 week high",TRUE)</f>
        <v>908</v>
      </c>
      <c r="I26" s="40">
        <f t="shared" ca="1" si="0"/>
        <v>15.148678414096912</v>
      </c>
      <c r="J26" s="39" t="str">
        <f t="shared" ca="1" si="1"/>
        <v>WATCH</v>
      </c>
      <c r="K26" s="54">
        <f t="shared" ca="1" si="2"/>
        <v>-38.458082487195611</v>
      </c>
      <c r="L26" s="20">
        <f t="array" aca="1" ref="L26" ca="1">_FV(A26,"Market cap",TRUE)/10000000</f>
        <v>22342.71</v>
      </c>
      <c r="M26" s="21" t="str">
        <f t="shared" ca="1" si="3"/>
        <v>MC</v>
      </c>
      <c r="N26" s="37" t="str">
        <f t="array" aca="1" ref="N26" ca="1">_FV(A26,"Industry")</f>
        <v>Investment Banking &amp; Investment Services</v>
      </c>
    </row>
    <row r="27" spans="1:14">
      <c r="A27" s="107" t="e" vm="214">
        <v>#VALUE!</v>
      </c>
      <c r="B27" s="33">
        <f t="array" aca="1" ref="B27" ca="1">_FV(A27,"Change (%)",TRUE)</f>
        <v>-7.0940000000000005E-3</v>
      </c>
      <c r="C27" s="35">
        <f t="array" aca="1" ref="C27" ca="1">_FV(A27,"Previous close",TRUE)</f>
        <v>725.95</v>
      </c>
      <c r="D27" s="35">
        <f t="array" aca="1" ref="D27" ca="1">_FV(A27,"Price")</f>
        <v>720.8</v>
      </c>
      <c r="E27" s="35">
        <f t="array" aca="1" ref="E27" ca="1">_FV(A27,"Low")</f>
        <v>720.05</v>
      </c>
      <c r="F27" s="35">
        <f t="array" aca="1" ref="F27" ca="1">_FV(A27,"High")</f>
        <v>731</v>
      </c>
      <c r="G27" s="35">
        <f t="array" aca="1" ref="G27" ca="1">_FV(A27,"52 week low",TRUE)</f>
        <v>609.85</v>
      </c>
      <c r="H27" s="36">
        <f t="array" aca="1" ref="H27" ca="1">_FV(A27,"52 week high",TRUE)</f>
        <v>1037</v>
      </c>
      <c r="I27" s="40">
        <f t="shared" ca="1" si="0"/>
        <v>30.491803278688529</v>
      </c>
      <c r="J27" s="39" t="str">
        <f t="shared" ca="1" si="1"/>
        <v>MC BUY</v>
      </c>
      <c r="K27" s="54">
        <f t="shared" ca="1" si="2"/>
        <v>-18.192998278265133</v>
      </c>
      <c r="L27" s="20">
        <f t="array" aca="1" ref="L27" ca="1">_FV(A27,"Market cap",TRUE)/10000000</f>
        <v>25480.85</v>
      </c>
      <c r="M27" s="21" t="str">
        <f t="shared" ca="1" si="3"/>
        <v>MC</v>
      </c>
      <c r="N27" s="38" t="str">
        <f t="array" aca="1" ref="N27" ca="1">_FV(A27,"Industry")</f>
        <v>Oil &amp; Gas Related Equipment and Services</v>
      </c>
    </row>
    <row r="28" spans="1:14">
      <c r="A28" s="107" t="e" vm="215">
        <v>#VALUE!</v>
      </c>
      <c r="B28" s="33">
        <f t="array" aca="1" ref="B28" ca="1">_FV(A28,"Change (%)",TRUE)</f>
        <v>3.2360000000000002E-3</v>
      </c>
      <c r="C28" s="35">
        <f t="array" aca="1" ref="C28" ca="1">_FV(A28,"Previous close",TRUE)</f>
        <v>247.2</v>
      </c>
      <c r="D28" s="35">
        <f t="array" aca="1" ref="D28" ca="1">_FV(A28,"Price")</f>
        <v>248</v>
      </c>
      <c r="E28" s="35">
        <f t="array" aca="1" ref="E28" ca="1">_FV(A28,"Low")</f>
        <v>240.9</v>
      </c>
      <c r="F28" s="35">
        <f t="array" aca="1" ref="F28" ca="1">_FV(A28,"High")</f>
        <v>250.8</v>
      </c>
      <c r="G28" s="35">
        <f t="array" aca="1" ref="G28" ca="1">_FV(A28,"52 week low",TRUE)</f>
        <v>220</v>
      </c>
      <c r="H28" s="36">
        <f t="array" aca="1" ref="H28" ca="1">_FV(A28,"52 week high",TRUE)</f>
        <v>302</v>
      </c>
      <c r="I28" s="40">
        <f t="shared" ca="1" si="0"/>
        <v>17.880794701986755</v>
      </c>
      <c r="J28" s="39" t="str">
        <f t="shared" ca="1" si="1"/>
        <v>WATCH</v>
      </c>
      <c r="K28" s="54">
        <f t="shared" ca="1" si="2"/>
        <v>-12.727272727272727</v>
      </c>
      <c r="L28" s="20">
        <f t="array" aca="1" ref="L28" ca="1">_FV(A28,"Market cap",TRUE)/10000000</f>
        <v>27389.55</v>
      </c>
      <c r="M28" s="21" t="str">
        <f t="shared" ca="1" si="3"/>
        <v>MC</v>
      </c>
      <c r="N28" s="37" t="str">
        <f t="array" aca="1" ref="N28" ca="1">_FV(A28,"Industry")</f>
        <v>Freight &amp; Logistics Services</v>
      </c>
    </row>
    <row r="29" spans="1:14">
      <c r="A29" s="107" t="e" vm="216">
        <v>#VALUE!</v>
      </c>
      <c r="B29" s="33">
        <f t="array" aca="1" ref="B29" ca="1">_FV(A29,"Change (%)",TRUE)</f>
        <v>5.9330000000000008E-3</v>
      </c>
      <c r="C29" s="35">
        <f t="array" aca="1" ref="C29" ca="1">_FV(A29,"Previous close",TRUE)</f>
        <v>387.65</v>
      </c>
      <c r="D29" s="35">
        <f t="array" aca="1" ref="D29" ca="1">_FV(A29,"Price")</f>
        <v>389.95</v>
      </c>
      <c r="E29" s="35">
        <f t="array" aca="1" ref="E29" ca="1">_FV(A29,"Low")</f>
        <v>386.5</v>
      </c>
      <c r="F29" s="35">
        <f t="array" aca="1" ref="F29" ca="1">_FV(A29,"High")</f>
        <v>391.25</v>
      </c>
      <c r="G29" s="35">
        <f t="array" aca="1" ref="G29" ca="1">_FV(A29,"52 week low",TRUE)</f>
        <v>376.3</v>
      </c>
      <c r="H29" s="36">
        <f t="array" aca="1" ref="H29" ca="1">_FV(A29,"52 week high",TRUE)</f>
        <v>570</v>
      </c>
      <c r="I29" s="40">
        <f t="shared" ca="1" si="0"/>
        <v>31.587719298245613</v>
      </c>
      <c r="J29" s="39" t="str">
        <f t="shared" ca="1" si="1"/>
        <v>MC BUY</v>
      </c>
      <c r="K29" s="54">
        <f t="shared" ca="1" si="2"/>
        <v>-3.6274249269200043</v>
      </c>
      <c r="L29" s="20">
        <f t="array" aca="1" ref="L29" ca="1">_FV(A29,"Market cap",TRUE)/10000000</f>
        <v>14257.17</v>
      </c>
      <c r="M29" s="21" t="str">
        <f t="shared" ca="1" si="3"/>
        <v>MC</v>
      </c>
      <c r="N29" s="37" t="str">
        <f t="array" aca="1" ref="N29" ca="1">_FV(A29,"Industry")</f>
        <v>Construction &amp; Engineering</v>
      </c>
    </row>
    <row r="30" spans="1:14">
      <c r="A30" s="107" t="e" vm="6">
        <v>#VALUE!</v>
      </c>
      <c r="B30" s="33">
        <f t="array" aca="1" ref="B30" ca="1">_FV(A30,"Change (%)",TRUE)</f>
        <v>7.3010000000000002E-4</v>
      </c>
      <c r="C30" s="35">
        <f t="array" aca="1" ref="C30" ca="1">_FV(A30,"Previous close",TRUE)</f>
        <v>1780.6</v>
      </c>
      <c r="D30" s="35">
        <f t="array" aca="1" ref="D30" ca="1">_FV(A30,"Price")</f>
        <v>1781.9</v>
      </c>
      <c r="E30" s="35">
        <f t="array" aca="1" ref="E30" ca="1">_FV(A30,"Low")</f>
        <v>1748</v>
      </c>
      <c r="F30" s="35">
        <f t="array" aca="1" ref="F30" ca="1">_FV(A30,"High")</f>
        <v>1786.2</v>
      </c>
      <c r="G30" s="35">
        <f t="array" aca="1" ref="G30" ca="1">_FV(A30,"52 week low",TRUE)</f>
        <v>1246</v>
      </c>
      <c r="H30" s="36">
        <f t="array" aca="1" ref="H30" ca="1">_FV(A30,"52 week high",TRUE)</f>
        <v>2185.9</v>
      </c>
      <c r="I30" s="40">
        <f t="shared" ca="1" si="0"/>
        <v>18.482089757079464</v>
      </c>
      <c r="J30" s="39" t="str">
        <f t="shared" ca="1" si="1"/>
        <v>WATCH</v>
      </c>
      <c r="K30" s="54">
        <f t="shared" ca="1" si="2"/>
        <v>-43.009630818619591</v>
      </c>
      <c r="L30" s="20">
        <f t="array" aca="1" ref="L30" ca="1">_FV(A30,"Market cap",TRUE)/10000000</f>
        <v>25046.15</v>
      </c>
      <c r="M30" s="21" t="str">
        <f t="shared" ca="1" si="3"/>
        <v>MC</v>
      </c>
      <c r="N30" s="38" t="str">
        <f t="array" aca="1" ref="N30" ca="1">_FV(A30,"Industry")</f>
        <v>Media &amp; Publishing</v>
      </c>
    </row>
    <row r="31" spans="1:14">
      <c r="A31" s="107" t="e" vm="217">
        <v>#VALUE!</v>
      </c>
      <c r="B31" s="33">
        <f t="array" aca="1" ref="B31" ca="1">_FV(A31,"Change (%)",TRUE)</f>
        <v>-1.9345000000000001E-2</v>
      </c>
      <c r="C31" s="35">
        <f t="array" aca="1" ref="C31" ca="1">_FV(A31,"Previous close",TRUE)</f>
        <v>2734.5</v>
      </c>
      <c r="D31" s="35">
        <f t="array" aca="1" ref="D31" ca="1">_FV(A31,"Price")</f>
        <v>2681.6</v>
      </c>
      <c r="E31" s="35">
        <f t="array" aca="1" ref="E31" ca="1">_FV(A31,"Low")</f>
        <v>2671.2</v>
      </c>
      <c r="F31" s="35">
        <f t="array" aca="1" ref="F31" ca="1">_FV(A31,"High")</f>
        <v>2732</v>
      </c>
      <c r="G31" s="35">
        <f t="array" aca="1" ref="G31" ca="1">_FV(A31,"52 week low",TRUE)</f>
        <v>2327.3000000000002</v>
      </c>
      <c r="H31" s="36">
        <f t="array" aca="1" ref="H31" ca="1">_FV(A31,"52 week high",TRUE)</f>
        <v>3115.9</v>
      </c>
      <c r="I31" s="40">
        <f t="shared" ca="1" si="0"/>
        <v>13.938188003466097</v>
      </c>
      <c r="J31" s="39" t="str">
        <f t="shared" ca="1" si="1"/>
        <v>WATCH</v>
      </c>
      <c r="K31" s="54">
        <f t="shared" ca="1" si="2"/>
        <v>-15.223649722854796</v>
      </c>
      <c r="L31" s="20">
        <f t="array" aca="1" ref="L31" ca="1">_FV(A31,"Market cap",TRUE)/10000000</f>
        <v>33502.74</v>
      </c>
      <c r="M31" s="21" t="str">
        <f t="shared" ca="1" si="3"/>
        <v>MC</v>
      </c>
      <c r="N31" s="37" t="str">
        <f t="array" aca="1" ref="N31" ca="1">_FV(A31,"Industry")</f>
        <v>Pharmaceuticals</v>
      </c>
    </row>
    <row r="32" spans="1:14">
      <c r="A32" s="107" t="e" vm="218">
        <v>#VALUE!</v>
      </c>
      <c r="B32" s="33">
        <f t="array" aca="1" ref="B32" ca="1">_FV(A32,"Change (%)",TRUE)</f>
        <v>2.241E-4</v>
      </c>
      <c r="C32" s="35">
        <f t="array" aca="1" ref="C32" ca="1">_FV(A32,"Previous close",TRUE)</f>
        <v>446.3</v>
      </c>
      <c r="D32" s="35">
        <f t="array" aca="1" ref="D32" ca="1">_FV(A32,"Price")</f>
        <v>446.4</v>
      </c>
      <c r="E32" s="35">
        <f t="array" aca="1" ref="E32" ca="1">_FV(A32,"Low")</f>
        <v>442.05</v>
      </c>
      <c r="F32" s="35">
        <f t="array" aca="1" ref="F32" ca="1">_FV(A32,"High")</f>
        <v>450</v>
      </c>
      <c r="G32" s="35">
        <f t="array" aca="1" ref="G32" ca="1">_FV(A32,"52 week low",TRUE)</f>
        <v>405</v>
      </c>
      <c r="H32" s="36">
        <f t="array" aca="1" ref="H32" ca="1">_FV(A32,"52 week high",TRUE)</f>
        <v>678.4</v>
      </c>
      <c r="I32" s="40">
        <f t="shared" ca="1" si="0"/>
        <v>34.198113207547173</v>
      </c>
      <c r="J32" s="39" t="str">
        <f t="shared" ca="1" si="1"/>
        <v>WATCH</v>
      </c>
      <c r="K32" s="54">
        <f t="shared" ca="1" si="2"/>
        <v>-10.222222222222218</v>
      </c>
      <c r="L32" s="20">
        <f t="array" aca="1" ref="L32" ca="1">_FV(A32,"Market cap",TRUE)/10000000</f>
        <v>6832.9449999999997</v>
      </c>
      <c r="M32" s="21" t="str">
        <f t="shared" ca="1" si="3"/>
        <v>HSC</v>
      </c>
      <c r="N32" s="38" t="str">
        <f t="array" aca="1" ref="N32" ca="1">_FV(A32,"Industry")</f>
        <v>Pharmaceuticals</v>
      </c>
    </row>
    <row r="33" spans="1:14">
      <c r="A33" s="107" t="e" vm="219">
        <v>#VALUE!</v>
      </c>
      <c r="B33" s="33">
        <f t="array" aca="1" ref="B33" ca="1">_FV(A33,"Change (%)",TRUE)</f>
        <v>-3.8900000000000002E-3</v>
      </c>
      <c r="C33" s="35">
        <f t="array" aca="1" ref="C33" ca="1">_FV(A33,"Previous close",TRUE)</f>
        <v>3136</v>
      </c>
      <c r="D33" s="35">
        <f t="array" aca="1" ref="D33" ca="1">_FV(A33,"Price")</f>
        <v>3123.8</v>
      </c>
      <c r="E33" s="35">
        <f t="array" aca="1" ref="E33" ca="1">_FV(A33,"Low")</f>
        <v>3120</v>
      </c>
      <c r="F33" s="35">
        <f t="array" aca="1" ref="F33" ca="1">_FV(A33,"High")</f>
        <v>3152.1</v>
      </c>
      <c r="G33" s="35">
        <f t="array" aca="1" ref="G33" ca="1">_FV(A33,"52 week low",TRUE)</f>
        <v>2892.65</v>
      </c>
      <c r="H33" s="36">
        <f t="array" aca="1" ref="H33" ca="1">_FV(A33,"52 week high",TRUE)</f>
        <v>3788.49</v>
      </c>
      <c r="I33" s="40">
        <f t="shared" ca="1" si="0"/>
        <v>17.544984941229874</v>
      </c>
      <c r="J33" s="39" t="str">
        <f t="shared" ca="1" si="1"/>
        <v>WATCH</v>
      </c>
      <c r="K33" s="54">
        <f t="shared" ca="1" si="2"/>
        <v>-7.9909425613192075</v>
      </c>
      <c r="L33" s="20">
        <f t="array" aca="1" ref="L33" ca="1">_FV(A33,"Market cap",TRUE)/10000000</f>
        <v>14281.44</v>
      </c>
      <c r="M33" s="21" t="str">
        <f t="shared" ca="1" si="3"/>
        <v>MC</v>
      </c>
      <c r="N33" s="37" t="str">
        <f t="array" aca="1" ref="N33" ca="1">_FV(A33,"Industry")</f>
        <v>Chemicals</v>
      </c>
    </row>
    <row r="34" spans="1:14">
      <c r="A34" s="107" t="e" vm="220">
        <v>#VALUE!</v>
      </c>
      <c r="B34" s="33">
        <f t="array" aca="1" ref="B34" ca="1">_FV(A34,"Change (%)",TRUE)</f>
        <v>-5.8330000000000005E-3</v>
      </c>
      <c r="C34" s="35">
        <f t="array" aca="1" ref="C34" ca="1">_FV(A34,"Previous close",TRUE)</f>
        <v>857.2</v>
      </c>
      <c r="D34" s="35">
        <f t="array" aca="1" ref="D34" ca="1">_FV(A34,"Price")</f>
        <v>852.2</v>
      </c>
      <c r="E34" s="35">
        <f t="array" aca="1" ref="E34" ca="1">_FV(A34,"Low")</f>
        <v>851</v>
      </c>
      <c r="F34" s="35">
        <f t="array" aca="1" ref="F34" ca="1">_FV(A34,"High")</f>
        <v>863.2</v>
      </c>
      <c r="G34" s="35">
        <f t="array" aca="1" ref="G34" ca="1">_FV(A34,"52 week low",TRUE)</f>
        <v>725.2</v>
      </c>
      <c r="H34" s="36">
        <f t="array" aca="1" ref="H34" ca="1">_FV(A34,"52 week high",TRUE)</f>
        <v>1123.95</v>
      </c>
      <c r="I34" s="40">
        <f t="shared" ca="1" si="0"/>
        <v>24.178121802571287</v>
      </c>
      <c r="J34" s="39" t="str">
        <f t="shared" ca="1" si="1"/>
        <v>FIRST MC BUY</v>
      </c>
      <c r="K34" s="54">
        <f t="shared" ca="1" si="2"/>
        <v>-17.512410369553226</v>
      </c>
      <c r="L34" s="20">
        <f t="array" aca="1" ref="L34" ca="1">_FV(A34,"Market cap",TRUE)/10000000</f>
        <v>16849.39</v>
      </c>
      <c r="M34" s="21" t="str">
        <f t="shared" ca="1" si="3"/>
        <v>MC</v>
      </c>
      <c r="N34" s="38" t="str">
        <f t="array" aca="1" ref="N34" ca="1">_FV(A34,"Industry")</f>
        <v>Pharmaceuticals</v>
      </c>
    </row>
    <row r="35" spans="1:14">
      <c r="A35" s="107" t="e" vm="221">
        <v>#VALUE!</v>
      </c>
      <c r="B35" s="33">
        <f t="array" aca="1" ref="B35" ca="1">_FV(A35,"Change (%)",TRUE)</f>
        <v>-5.5700000000000003E-3</v>
      </c>
      <c r="C35" s="35">
        <f t="array" aca="1" ref="C35" ca="1">_FV(A35,"Previous close",TRUE)</f>
        <v>5566</v>
      </c>
      <c r="D35" s="35">
        <f t="array" aca="1" ref="D35" ca="1">_FV(A35,"Price")</f>
        <v>5535</v>
      </c>
      <c r="E35" s="35">
        <f t="array" aca="1" ref="E35" ca="1">_FV(A35,"Low")</f>
        <v>5508</v>
      </c>
      <c r="F35" s="35">
        <f t="array" aca="1" ref="F35" ca="1">_FV(A35,"High")</f>
        <v>5581</v>
      </c>
      <c r="G35" s="35">
        <f t="array" aca="1" ref="G35" ca="1">_FV(A35,"52 week low",TRUE)</f>
        <v>4491.6499999999996</v>
      </c>
      <c r="H35" s="36">
        <f t="array" aca="1" ref="H35" ca="1">_FV(A35,"52 week high",TRUE)</f>
        <v>5868</v>
      </c>
      <c r="I35" s="40">
        <f t="shared" ca="1" si="0"/>
        <v>5.6748466257668708</v>
      </c>
      <c r="J35" s="39" t="str">
        <f t="shared" ca="1" si="1"/>
        <v>WATCH</v>
      </c>
      <c r="K35" s="54">
        <f t="shared" ca="1" si="2"/>
        <v>-23.228657620250917</v>
      </c>
      <c r="L35" s="20">
        <f t="array" aca="1" ref="L35" ca="1">_FV(A35,"Market cap",TRUE)/10000000</f>
        <v>66549.88</v>
      </c>
      <c r="M35" s="21" t="str">
        <f t="shared" ca="1" si="3"/>
        <v>HMC</v>
      </c>
      <c r="N35" s="37" t="str">
        <f t="array" aca="1" ref="N35" ca="1">_FV(A35,"Industry")</f>
        <v>Pharmaceuticals</v>
      </c>
    </row>
    <row r="36" spans="1:14">
      <c r="A36" s="107" t="e" vm="222">
        <v>#VALUE!</v>
      </c>
      <c r="B36" s="33">
        <f t="array" aca="1" ref="B36" ca="1">_FV(A36,"Change (%)",TRUE)</f>
        <v>-1.3846000000000001E-2</v>
      </c>
      <c r="C36" s="35">
        <f t="array" aca="1" ref="C36" ca="1">_FV(A36,"Previous close",TRUE)</f>
        <v>1603.4</v>
      </c>
      <c r="D36" s="35">
        <f t="array" aca="1" ref="D36" ca="1">_FV(A36,"Price")</f>
        <v>1581.2</v>
      </c>
      <c r="E36" s="35">
        <f t="array" aca="1" ref="E36" ca="1">_FV(A36,"Low")</f>
        <v>1580</v>
      </c>
      <c r="F36" s="35">
        <f t="array" aca="1" ref="F36" ca="1">_FV(A36,"High")</f>
        <v>1605</v>
      </c>
      <c r="G36" s="35">
        <f t="array" aca="1" ref="G36" ca="1">_FV(A36,"52 week low",TRUE)</f>
        <v>1508</v>
      </c>
      <c r="H36" s="36">
        <f t="array" aca="1" ref="H36" ca="1">_FV(A36,"52 week high",TRUE)</f>
        <v>2438.8000000000002</v>
      </c>
      <c r="I36" s="40">
        <f t="shared" ca="1" si="0"/>
        <v>35.164835164835168</v>
      </c>
      <c r="J36" s="39" t="str">
        <f t="shared" ca="1" si="1"/>
        <v>WATCH</v>
      </c>
      <c r="K36" s="54">
        <f t="shared" ca="1" si="2"/>
        <v>-4.854111405835547</v>
      </c>
      <c r="L36" s="20">
        <f t="array" aca="1" ref="L36" ca="1">_FV(A36,"Market cap",TRUE)/10000000</f>
        <v>8086.8980000000001</v>
      </c>
      <c r="M36" s="21" t="str">
        <f t="shared" ca="1" si="3"/>
        <v>HSC</v>
      </c>
      <c r="N36" s="38" t="str">
        <f t="array" aca="1" ref="N36" ca="1">_FV(A36,"Industry")</f>
        <v>Chemicals</v>
      </c>
    </row>
    <row r="37" spans="1:14">
      <c r="A37" s="107" t="e" vm="223">
        <v>#VALUE!</v>
      </c>
      <c r="B37" s="33">
        <f t="array" aca="1" ref="B37" ca="1">_FV(A37,"Change (%)",TRUE)</f>
        <v>-1.8093999999999999E-2</v>
      </c>
      <c r="C37" s="35">
        <f t="array" aca="1" ref="C37" ca="1">_FV(A37,"Previous close",TRUE)</f>
        <v>16.579999999999998</v>
      </c>
      <c r="D37" s="35">
        <f t="array" aca="1" ref="D37" ca="1">_FV(A37,"Price")</f>
        <v>16.28</v>
      </c>
      <c r="E37" s="35">
        <f t="array" aca="1" ref="E37" ca="1">_FV(A37,"Low")</f>
        <v>16.21</v>
      </c>
      <c r="F37" s="35">
        <f t="array" aca="1" ref="F37" ca="1">_FV(A37,"High")</f>
        <v>16.55</v>
      </c>
      <c r="G37" s="35">
        <f t="array" aca="1" ref="G37" ca="1">_FV(A37,"52 week low",TRUE)</f>
        <v>14.01</v>
      </c>
      <c r="H37" s="36">
        <f t="array" aca="1" ref="H37" ca="1">_FV(A37,"52 week high",TRUE)</f>
        <v>23.5</v>
      </c>
      <c r="I37" s="40">
        <f t="shared" ca="1" si="0"/>
        <v>30.723404255319146</v>
      </c>
      <c r="J37" s="39" t="str">
        <f t="shared" ca="1" si="1"/>
        <v>WATCH</v>
      </c>
      <c r="K37" s="54">
        <f t="shared" ca="1" si="2"/>
        <v>-16.202712348322638</v>
      </c>
      <c r="L37" s="20">
        <f t="array" aca="1" ref="L37" ca="1">_FV(A37,"Market cap",TRUE)/10000000</f>
        <v>8083.4120000000003</v>
      </c>
      <c r="M37" s="21" t="str">
        <f t="shared" ca="1" si="3"/>
        <v>HSC</v>
      </c>
      <c r="N37" s="38" t="str">
        <f t="array" aca="1" ref="N37" ca="1">_FV(A37,"Industry")</f>
        <v>Textiles &amp; Apparel</v>
      </c>
    </row>
    <row r="38" spans="1:14">
      <c r="A38" s="107" t="e" vm="8">
        <v>#VALUE!</v>
      </c>
      <c r="B38" s="33">
        <f t="array" aca="1" ref="B38" ca="1">_FV(A38,"Change (%)",TRUE)</f>
        <v>-5.3490000000000005E-3</v>
      </c>
      <c r="C38" s="35">
        <f t="array" aca="1" ref="C38" ca="1">_FV(A38,"Previous close",TRUE)</f>
        <v>925.35</v>
      </c>
      <c r="D38" s="35">
        <f t="array" aca="1" ref="D38" ca="1">_FV(A38,"Price")</f>
        <v>920.4</v>
      </c>
      <c r="E38" s="35">
        <f t="array" aca="1" ref="E38" ca="1">_FV(A38,"Low")</f>
        <v>919.1</v>
      </c>
      <c r="F38" s="35">
        <f t="array" aca="1" ref="F38" ca="1">_FV(A38,"High")</f>
        <v>927.5</v>
      </c>
      <c r="G38" s="35">
        <f t="array" aca="1" ref="G38" ca="1">_FV(A38,"52 week low",TRUE)</f>
        <v>832.3</v>
      </c>
      <c r="H38" s="36">
        <f t="array" aca="1" ref="H38" ca="1">_FV(A38,"52 week high",TRUE)</f>
        <v>1242</v>
      </c>
      <c r="I38" s="40">
        <f t="shared" ca="1" si="0"/>
        <v>25.893719806763286</v>
      </c>
      <c r="J38" s="39" t="str">
        <f t="shared" ca="1" si="1"/>
        <v>FIRST MC BUY</v>
      </c>
      <c r="K38" s="54">
        <f t="shared" ca="1" si="2"/>
        <v>-10.585125555689057</v>
      </c>
      <c r="L38" s="20">
        <f t="array" aca="1" ref="L38" ca="1">_FV(A38,"Market cap",TRUE)/10000000</f>
        <v>16936.25</v>
      </c>
      <c r="M38" s="21" t="str">
        <f t="shared" ca="1" si="3"/>
        <v>MC</v>
      </c>
      <c r="N38" s="37" t="str">
        <f t="array" aca="1" ref="N38" ca="1">_FV(A38,"Industry")</f>
        <v>Machinery, Equipment &amp; Components</v>
      </c>
    </row>
    <row r="39" spans="1:14">
      <c r="A39" s="107" t="e" vm="224">
        <v>#VALUE!</v>
      </c>
      <c r="B39" s="33">
        <f t="array" aca="1" ref="B39" ca="1">_FV(A39,"Change (%)",TRUE)</f>
        <v>-1.201E-3</v>
      </c>
      <c r="C39" s="35">
        <f t="array" aca="1" ref="C39" ca="1">_FV(A39,"Previous close",TRUE)</f>
        <v>6660</v>
      </c>
      <c r="D39" s="35">
        <f t="array" aca="1" ref="D39" ca="1">_FV(A39,"Price")</f>
        <v>6652</v>
      </c>
      <c r="E39" s="35">
        <f t="array" aca="1" ref="E39" ca="1">_FV(A39,"Low")</f>
        <v>6618</v>
      </c>
      <c r="F39" s="35">
        <f t="array" aca="1" ref="F39" ca="1">_FV(A39,"High")</f>
        <v>6733</v>
      </c>
      <c r="G39" s="35">
        <f t="array" aca="1" ref="G39" ca="1">_FV(A39,"52 week low",TRUE)</f>
        <v>5235</v>
      </c>
      <c r="H39" s="36">
        <f t="array" aca="1" ref="H39" ca="1">_FV(A39,"52 week high",TRUE)</f>
        <v>8626</v>
      </c>
      <c r="I39" s="40">
        <f t="shared" ca="1" si="0"/>
        <v>22.88430326918618</v>
      </c>
      <c r="J39" s="39" t="str">
        <f t="shared" ca="1" si="1"/>
        <v>FIRST MC BUY</v>
      </c>
      <c r="K39" s="54">
        <f t="shared" ca="1" si="2"/>
        <v>-27.067812798471824</v>
      </c>
      <c r="L39" s="20">
        <f t="array" aca="1" ref="L39" ca="1">_FV(A39,"Market cap",TRUE)/10000000</f>
        <v>23396.44</v>
      </c>
      <c r="M39" s="21" t="str">
        <f t="shared" ca="1" si="3"/>
        <v>MC</v>
      </c>
      <c r="N39" s="38" t="str">
        <f t="array" aca="1" ref="N39" ca="1">_FV(A39,"Industry")</f>
        <v>Machinery, Equipment &amp; Components</v>
      </c>
    </row>
    <row r="40" spans="1:14">
      <c r="A40" s="107" t="e" vm="186">
        <v>#VALUE!</v>
      </c>
      <c r="B40" s="33">
        <f t="array" aca="1" ref="B40" ca="1">_FV(A40,"Change (%)",TRUE)</f>
        <v>1.1950000000000001E-2</v>
      </c>
      <c r="C40" s="35">
        <f t="array" aca="1" ref="C40" ca="1">_FV(A40,"Previous close",TRUE)</f>
        <v>548.1</v>
      </c>
      <c r="D40" s="35">
        <f t="array" aca="1" ref="D40" ca="1">_FV(A40,"Price")</f>
        <v>554.65</v>
      </c>
      <c r="E40" s="35">
        <f t="array" aca="1" ref="E40" ca="1">_FV(A40,"Low")</f>
        <v>548.20000000000005</v>
      </c>
      <c r="F40" s="35">
        <f t="array" aca="1" ref="F40" ca="1">_FV(A40,"High")</f>
        <v>555</v>
      </c>
      <c r="G40" s="35">
        <f t="array" aca="1" ref="G40" ca="1">_FV(A40,"52 week low",TRUE)</f>
        <v>455</v>
      </c>
      <c r="H40" s="36">
        <f t="array" aca="1" ref="H40" ca="1">_FV(A40,"52 week high",TRUE)</f>
        <v>624.95000000000005</v>
      </c>
      <c r="I40" s="40">
        <f t="shared" ca="1" si="0"/>
        <v>11.24889991199297</v>
      </c>
      <c r="J40" s="39" t="str">
        <f t="shared" ca="1" si="1"/>
        <v>LC BUY</v>
      </c>
      <c r="K40" s="54">
        <f t="shared" ca="1" si="2"/>
        <v>-21.901098901098898</v>
      </c>
      <c r="L40" s="20">
        <f t="array" aca="1" ref="L40" ca="1">_FV(A40,"Market cap",TRUE)/10000000</f>
        <v>137099.70000000001</v>
      </c>
      <c r="M40" s="21" t="str">
        <f t="shared" ca="1" si="3"/>
        <v>LC</v>
      </c>
      <c r="N40" s="38" t="str">
        <f t="array" aca="1" ref="N40" ca="1">_FV(A40,"Industry")</f>
        <v>Construction Materials</v>
      </c>
    </row>
    <row r="41" spans="1:14">
      <c r="A41" s="107" t="e" vm="225">
        <v>#VALUE!</v>
      </c>
      <c r="B41" s="33">
        <f t="array" aca="1" ref="B41" ca="1">_FV(A41,"Change (%)",TRUE)</f>
        <v>-9.469E-3</v>
      </c>
      <c r="C41" s="35">
        <f t="array" aca="1" ref="C41" ca="1">_FV(A41,"Previous close",TRUE)</f>
        <v>3062.5</v>
      </c>
      <c r="D41" s="35">
        <f t="array" aca="1" ref="D41" ca="1">_FV(A41,"Price")</f>
        <v>3033.5</v>
      </c>
      <c r="E41" s="35">
        <f t="array" aca="1" ref="E41" ca="1">_FV(A41,"Low")</f>
        <v>3012.5</v>
      </c>
      <c r="F41" s="35">
        <f t="array" aca="1" ref="F41" ca="1">_FV(A41,"High")</f>
        <v>3108.9</v>
      </c>
      <c r="G41" s="35">
        <f t="array" aca="1" ref="G41" ca="1">_FV(A41,"52 week low",TRUE)</f>
        <v>1594</v>
      </c>
      <c r="H41" s="36">
        <f t="array" aca="1" ref="H41" ca="1">_FV(A41,"52 week high",TRUE)</f>
        <v>3321.4</v>
      </c>
      <c r="I41" s="40">
        <f t="shared" ca="1" si="0"/>
        <v>8.6680315529595973</v>
      </c>
      <c r="J41" s="39" t="str">
        <f t="shared" ca="1" si="1"/>
        <v>WATCH</v>
      </c>
      <c r="K41" s="54">
        <f t="shared" ca="1" si="2"/>
        <v>-90.307402760351323</v>
      </c>
      <c r="L41" s="20">
        <f t="array" aca="1" ref="L41" ca="1">_FV(A41,"Market cap",TRUE)/10000000</f>
        <v>25184.31</v>
      </c>
      <c r="M41" s="21" t="str">
        <f t="shared" ca="1" si="3"/>
        <v>MC</v>
      </c>
      <c r="N41" s="38" t="str">
        <f t="array" aca="1" ref="N41" ca="1">_FV(A41,"Instrument type",TRUE)</f>
        <v>Stock</v>
      </c>
    </row>
    <row r="42" spans="1:14">
      <c r="A42" s="107" t="e" vm="226">
        <v>#VALUE!</v>
      </c>
      <c r="B42" s="33">
        <f t="array" aca="1" ref="B42" ca="1">_FV(A42,"Change (%)",TRUE)</f>
        <v>-2.1436E-2</v>
      </c>
      <c r="C42" s="35">
        <f t="array" aca="1" ref="C42" ca="1">_FV(A42,"Previous close",TRUE)</f>
        <v>566.79999999999995</v>
      </c>
      <c r="D42" s="35">
        <f t="array" aca="1" ref="D42" ca="1">_FV(A42,"Price")</f>
        <v>554.65</v>
      </c>
      <c r="E42" s="35">
        <f t="array" aca="1" ref="E42" ca="1">_FV(A42,"Low")</f>
        <v>551.6</v>
      </c>
      <c r="F42" s="35">
        <f t="array" aca="1" ref="F42" ca="1">_FV(A42,"High")</f>
        <v>565</v>
      </c>
      <c r="G42" s="35">
        <f t="array" aca="1" ref="G42" ca="1">_FV(A42,"52 week low",TRUE)</f>
        <v>376.15</v>
      </c>
      <c r="H42" s="36">
        <f t="array" aca="1" ref="H42" ca="1">_FV(A42,"52 week high",TRUE)</f>
        <v>947.9</v>
      </c>
      <c r="I42" s="40">
        <f t="shared" ca="1" si="0"/>
        <v>41.486443717691742</v>
      </c>
      <c r="J42" s="39" t="str">
        <f t="shared" ca="1" si="1"/>
        <v>SURE MC BUY</v>
      </c>
      <c r="K42" s="54">
        <f t="shared" ca="1" si="2"/>
        <v>-47.454472949621163</v>
      </c>
      <c r="L42" s="20">
        <f t="array" aca="1" ref="L42" ca="1">_FV(A42,"Market cap",TRUE)/10000000</f>
        <v>20397.830000000002</v>
      </c>
      <c r="M42" s="21" t="str">
        <f t="shared" ca="1" si="3"/>
        <v>MC</v>
      </c>
      <c r="N42" s="38" t="str">
        <f t="array" aca="1" ref="N42" ca="1">_FV(A42,"Industry")</f>
        <v>Real Estate Operations</v>
      </c>
    </row>
    <row r="43" spans="1:14">
      <c r="A43" s="107" t="e" vm="227">
        <v>#VALUE!</v>
      </c>
      <c r="B43" s="33">
        <f t="array" aca="1" ref="B43" ca="1">_FV(A43,"Change (%)",TRUE)</f>
        <v>-1.1094E-2</v>
      </c>
      <c r="C43" s="35">
        <f t="array" aca="1" ref="C43" ca="1">_FV(A43,"Previous close",TRUE)</f>
        <v>2523.8000000000002</v>
      </c>
      <c r="D43" s="35">
        <f t="array" aca="1" ref="D43" ca="1">_FV(A43,"Price")</f>
        <v>2495.8000000000002</v>
      </c>
      <c r="E43" s="35">
        <f t="array" aca="1" ref="E43" ca="1">_FV(A43,"Low")</f>
        <v>2484.6999999999998</v>
      </c>
      <c r="F43" s="35">
        <f t="array" aca="1" ref="F43" ca="1">_FV(A43,"High")</f>
        <v>2547.1</v>
      </c>
      <c r="G43" s="35">
        <f t="array" aca="1" ref="G43" ca="1">_FV(A43,"52 week low",TRUE)</f>
        <v>1941</v>
      </c>
      <c r="H43" s="36">
        <f t="array" aca="1" ref="H43" ca="1">_FV(A43,"52 week high",TRUE)</f>
        <v>3285</v>
      </c>
      <c r="I43" s="40">
        <f t="shared" ca="1" si="0"/>
        <v>24.024353120243529</v>
      </c>
      <c r="J43" s="39" t="str">
        <f t="shared" ca="1" si="1"/>
        <v>FIRST MC BUY</v>
      </c>
      <c r="K43" s="54">
        <f t="shared" ca="1" si="2"/>
        <v>-28.583204533745498</v>
      </c>
      <c r="L43" s="20">
        <f t="array" aca="1" ref="L43" ca="1">_FV(A43,"Market cap",TRUE)/10000000</f>
        <v>22926.03</v>
      </c>
      <c r="M43" s="21" t="str">
        <f t="shared" ca="1" si="3"/>
        <v>MC</v>
      </c>
      <c r="N43" s="37" t="str">
        <f t="array" aca="1" ref="N43" ca="1">_FV(A43,"Industry")</f>
        <v>Investment Banking &amp; Investment Services</v>
      </c>
    </row>
    <row r="44" spans="1:14">
      <c r="A44" s="107" t="e" vm="228">
        <v>#VALUE!</v>
      </c>
      <c r="B44" s="33">
        <f t="array" aca="1" ref="B44" ca="1">_FV(A44,"Change (%)",TRUE)</f>
        <v>-7.4799999999999997E-3</v>
      </c>
      <c r="C44" s="35">
        <f t="array" aca="1" ref="C44" ca="1">_FV(A44,"Previous close",TRUE)</f>
        <v>8690</v>
      </c>
      <c r="D44" s="35">
        <f t="array" aca="1" ref="D44" ca="1">_FV(A44,"Price")</f>
        <v>8625</v>
      </c>
      <c r="E44" s="35">
        <f t="array" aca="1" ref="E44" ca="1">_FV(A44,"Low")</f>
        <v>8592</v>
      </c>
      <c r="F44" s="35">
        <f t="array" aca="1" ref="F44" ca="1">_FV(A44,"High")</f>
        <v>8688</v>
      </c>
      <c r="G44" s="35">
        <f t="array" aca="1" ref="G44" ca="1">_FV(A44,"52 week low",TRUE)</f>
        <v>4308.05</v>
      </c>
      <c r="H44" s="36">
        <f t="array" aca="1" ref="H44" ca="1">_FV(A44,"52 week high",TRUE)</f>
        <v>11779.9</v>
      </c>
      <c r="I44" s="40">
        <f t="shared" ca="1" si="0"/>
        <v>26.78206096825949</v>
      </c>
      <c r="J44" s="39" t="str">
        <f t="shared" ca="1" si="1"/>
        <v>FIRST MC BUY</v>
      </c>
      <c r="K44" s="54">
        <f t="shared" ca="1" si="2"/>
        <v>-100.20658998850988</v>
      </c>
      <c r="L44" s="20">
        <f t="array" aca="1" ref="L44" ca="1">_FV(A44,"Market cap",TRUE)/10000000</f>
        <v>34906.269999999997</v>
      </c>
      <c r="M44" s="21" t="str">
        <f t="shared" ca="1" si="3"/>
        <v>MC</v>
      </c>
      <c r="N44" s="38" t="str">
        <f t="array" aca="1" ref="N44" ca="1">_FV(A44,"Industry")</f>
        <v>Machinery, Equipment &amp; Components</v>
      </c>
    </row>
    <row r="45" spans="1:14">
      <c r="A45" s="107" t="e" vm="164">
        <v>#VALUE!</v>
      </c>
      <c r="B45" s="33">
        <f t="array" aca="1" ref="B45" ca="1">_FV(A45,"Change (%)",TRUE)</f>
        <v>-2.2309999999999999E-3</v>
      </c>
      <c r="C45" s="35">
        <f t="array" aca="1" ref="C45" ca="1">_FV(A45,"Previous close",TRUE)</f>
        <v>7172</v>
      </c>
      <c r="D45" s="35">
        <f t="array" aca="1" ref="D45" ca="1">_FV(A45,"Price")</f>
        <v>7156</v>
      </c>
      <c r="E45" s="35">
        <f t="array" aca="1" ref="E45" ca="1">_FV(A45,"Low")</f>
        <v>7131.5</v>
      </c>
      <c r="F45" s="35">
        <f t="array" aca="1" ref="F45" ca="1">_FV(A45,"High")</f>
        <v>7202</v>
      </c>
      <c r="G45" s="35">
        <f t="array" aca="1" ref="G45" ca="1">_FV(A45,"52 week low",TRUE)</f>
        <v>6001</v>
      </c>
      <c r="H45" s="36">
        <f t="array" aca="1" ref="H45" ca="1">_FV(A45,"52 week high",TRUE)</f>
        <v>8099.5</v>
      </c>
      <c r="I45" s="40">
        <f t="shared" ca="1" si="0"/>
        <v>11.648867214025557</v>
      </c>
      <c r="J45" s="39" t="str">
        <f t="shared" ca="1" si="1"/>
        <v>LC BUY</v>
      </c>
      <c r="K45" s="54">
        <f t="shared" ca="1" si="2"/>
        <v>-19.246792201299783</v>
      </c>
      <c r="L45" s="20">
        <f t="array" aca="1" ref="L45" ca="1">_FV(A45,"Market cap",TRUE)/10000000</f>
        <v>103122.4</v>
      </c>
      <c r="M45" s="21" t="str">
        <f t="shared" ca="1" si="3"/>
        <v>LC</v>
      </c>
      <c r="N45" s="38" t="str">
        <f t="array" aca="1" ref="N45" ca="1">_FV(A45,"Industry")</f>
        <v>Healthcare Providers &amp; Services</v>
      </c>
    </row>
    <row r="46" spans="1:14">
      <c r="A46" s="107" t="e" vm="229">
        <v>#VALUE!</v>
      </c>
      <c r="B46" s="33">
        <f t="array" aca="1" ref="B46" ca="1">_FV(A46,"Change (%)",TRUE)</f>
        <v>-1.153E-2</v>
      </c>
      <c r="C46" s="35">
        <f t="array" aca="1" ref="C46" ca="1">_FV(A46,"Previous close",TRUE)</f>
        <v>511.7</v>
      </c>
      <c r="D46" s="35">
        <f t="array" aca="1" ref="D46" ca="1">_FV(A46,"Price")</f>
        <v>505.8</v>
      </c>
      <c r="E46" s="35">
        <f t="array" aca="1" ref="E46" ca="1">_FV(A46,"Low")</f>
        <v>504.1</v>
      </c>
      <c r="F46" s="35">
        <f t="array" aca="1" ref="F46" ca="1">_FV(A46,"High")</f>
        <v>511.7</v>
      </c>
      <c r="G46" s="35">
        <f t="array" aca="1" ref="G46" ca="1">_FV(A46,"52 week low",TRUE)</f>
        <v>370.9</v>
      </c>
      <c r="H46" s="36">
        <f t="array" aca="1" ref="H46" ca="1">_FV(A46,"52 week high",TRUE)</f>
        <v>546</v>
      </c>
      <c r="I46" s="40">
        <f t="shared" ca="1" si="0"/>
        <v>7.3626373626373613</v>
      </c>
      <c r="J46" s="39" t="str">
        <f t="shared" ca="1" si="1"/>
        <v>WATCH</v>
      </c>
      <c r="K46" s="54">
        <f t="shared" ca="1" si="2"/>
        <v>-36.370989485036411</v>
      </c>
      <c r="L46" s="20">
        <f t="array" aca="1" ref="L46" ca="1">_FV(A46,"Market cap",TRUE)/10000000</f>
        <v>32412.99</v>
      </c>
      <c r="M46" s="21" t="str">
        <f t="shared" ca="1" si="3"/>
        <v>MC</v>
      </c>
      <c r="N46" s="37" t="str">
        <f t="array" aca="1" ref="N46" ca="1">_FV(A46,"Industry")</f>
        <v>Automobiles &amp; Auto Parts</v>
      </c>
    </row>
    <row r="47" spans="1:14">
      <c r="A47" s="107" t="e" vm="230">
        <v>#VALUE!</v>
      </c>
      <c r="B47" s="33">
        <f t="array" aca="1" ref="B47" ca="1">_FV(A47,"Change (%)",TRUE)</f>
        <v>-4.7829999999999999E-3</v>
      </c>
      <c r="C47" s="35">
        <f t="array" aca="1" ref="C47" ca="1">_FV(A47,"Previous close",TRUE)</f>
        <v>282.25</v>
      </c>
      <c r="D47" s="35">
        <f t="array" aca="1" ref="D47" ca="1">_FV(A47,"Price")</f>
        <v>280.89999999999998</v>
      </c>
      <c r="E47" s="35">
        <f t="array" aca="1" ref="E47" ca="1">_FV(A47,"Low")</f>
        <v>280</v>
      </c>
      <c r="F47" s="35">
        <f t="array" aca="1" ref="F47" ca="1">_FV(A47,"High")</f>
        <v>283.5</v>
      </c>
      <c r="G47" s="35">
        <f t="array" aca="1" ref="G47" ca="1">_FV(A47,"52 week low",TRUE)</f>
        <v>267.95</v>
      </c>
      <c r="H47" s="36">
        <f t="array" aca="1" ref="H47" ca="1">_FV(A47,"52 week high",TRUE)</f>
        <v>364</v>
      </c>
      <c r="I47" s="40">
        <f t="shared" ca="1" si="0"/>
        <v>22.829670329670336</v>
      </c>
      <c r="J47" s="39" t="str">
        <f t="shared" ca="1" si="1"/>
        <v>FIRST MC BUY</v>
      </c>
      <c r="K47" s="54">
        <f t="shared" ca="1" si="2"/>
        <v>-4.832991229707031</v>
      </c>
      <c r="L47" s="20">
        <f t="array" aca="1" ref="L47" ca="1">_FV(A47,"Market cap",TRUE)/10000000</f>
        <v>14132.9</v>
      </c>
      <c r="M47" s="21" t="str">
        <f t="shared" ca="1" si="3"/>
        <v>MC</v>
      </c>
      <c r="N47" s="37" t="str">
        <f t="array" aca="1" ref="N47" ca="1">_FV(A47,"Industry")</f>
        <v>Banking Services</v>
      </c>
    </row>
    <row r="48" spans="1:14">
      <c r="A48" s="107" t="e" vm="231">
        <v>#VALUE!</v>
      </c>
      <c r="B48" s="33">
        <f t="array" aca="1" ref="B48" ca="1">_FV(A48,"Change (%)",TRUE)</f>
        <v>2.6394000000000001E-2</v>
      </c>
      <c r="C48" s="35">
        <f t="array" aca="1" ref="C48" ca="1">_FV(A48,"Previous close",TRUE)</f>
        <v>969.9</v>
      </c>
      <c r="D48" s="35">
        <f t="array" aca="1" ref="D48" ca="1">_FV(A48,"Price")</f>
        <v>995.5</v>
      </c>
      <c r="E48" s="35">
        <f t="array" aca="1" ref="E48" ca="1">_FV(A48,"Low")</f>
        <v>962.8</v>
      </c>
      <c r="F48" s="35">
        <f t="array" aca="1" ref="F48" ca="1">_FV(A48,"High")</f>
        <v>1002.8</v>
      </c>
      <c r="G48" s="35">
        <f t="array" aca="1" ref="G48" ca="1">_FV(A48,"52 week low",TRUE)</f>
        <v>576.79999999999995</v>
      </c>
      <c r="H48" s="36">
        <f t="array" aca="1" ref="H48" ca="1">_FV(A48,"52 week high",TRUE)</f>
        <v>1074</v>
      </c>
      <c r="I48" s="40">
        <f t="shared" ca="1" si="0"/>
        <v>7.3091247672253257</v>
      </c>
      <c r="J48" s="39" t="str">
        <f t="shared" ca="1" si="1"/>
        <v>WATCH</v>
      </c>
      <c r="K48" s="54">
        <f t="shared" ca="1" si="2"/>
        <v>-72.590152565880743</v>
      </c>
      <c r="L48" s="20">
        <f t="array" aca="1" ref="L48" ca="1">_FV(A48,"Market cap",TRUE)/10000000</f>
        <v>24725.39</v>
      </c>
      <c r="M48" s="21" t="str">
        <f t="shared" ca="1" si="3"/>
        <v>MC</v>
      </c>
      <c r="N48" s="37" t="str">
        <f t="array" aca="1" ref="N48" ca="1">_FV(A48,"Industry")</f>
        <v>Automobiles &amp; Auto Parts</v>
      </c>
    </row>
    <row r="49" spans="1:14">
      <c r="A49" s="107" t="e" vm="232">
        <v>#VALUE!</v>
      </c>
      <c r="B49" s="33">
        <f t="array" aca="1" ref="B49" ca="1">_FV(A49,"Change (%)",TRUE)</f>
        <v>-3.594E-3</v>
      </c>
      <c r="C49" s="35">
        <f t="array" aca="1" ref="C49" ca="1">_FV(A49,"Previous close",TRUE)</f>
        <v>175.31</v>
      </c>
      <c r="D49" s="35">
        <f t="array" aca="1" ref="D49" ca="1">_FV(A49,"Price")</f>
        <v>174.68</v>
      </c>
      <c r="E49" s="35">
        <f t="array" aca="1" ref="E49" ca="1">_FV(A49,"Low")</f>
        <v>173.27</v>
      </c>
      <c r="F49" s="35">
        <f t="array" aca="1" ref="F49" ca="1">_FV(A49,"High")</f>
        <v>175.99</v>
      </c>
      <c r="G49" s="35">
        <f t="array" aca="1" ref="G49" ca="1">_FV(A49,"52 week low",TRUE)</f>
        <v>95.93</v>
      </c>
      <c r="H49" s="36">
        <f t="array" aca="1" ref="H49" ca="1">_FV(A49,"52 week high",TRUE)</f>
        <v>178.3</v>
      </c>
      <c r="I49" s="40">
        <f t="shared" ca="1" si="0"/>
        <v>2.0302860347728573</v>
      </c>
      <c r="J49" s="39" t="str">
        <f t="shared" ca="1" si="1"/>
        <v>WATCH</v>
      </c>
      <c r="K49" s="54">
        <f t="shared" ca="1" si="2"/>
        <v>-82.091108099655997</v>
      </c>
      <c r="L49" s="20">
        <f t="array" aca="1" ref="L49" ca="1">_FV(A49,"Market cap",TRUE)/10000000</f>
        <v>102974.5</v>
      </c>
      <c r="M49" s="21" t="str">
        <f t="shared" ca="1" si="3"/>
        <v>LC</v>
      </c>
      <c r="N49" s="37" t="str">
        <f t="array" aca="1" ref="N49" ca="1">_FV(A49,"Industry")</f>
        <v>Machinery, Equipment &amp; Components</v>
      </c>
    </row>
    <row r="50" spans="1:14">
      <c r="A50" s="107" t="e" vm="10">
        <v>#VALUE!</v>
      </c>
      <c r="B50" s="33">
        <f t="array" aca="1" ref="B50" ca="1">_FV(A50,"Change (%)",TRUE)</f>
        <v>-1.4001E-2</v>
      </c>
      <c r="C50" s="35">
        <f t="array" aca="1" ref="C50" ca="1">_FV(A50,"Previous close",TRUE)</f>
        <v>2785.5</v>
      </c>
      <c r="D50" s="35">
        <f t="array" aca="1" ref="D50" ca="1">_FV(A50,"Price")</f>
        <v>2746.5</v>
      </c>
      <c r="E50" s="35">
        <f t="array" aca="1" ref="E50" ca="1">_FV(A50,"Low")</f>
        <v>2743</v>
      </c>
      <c r="F50" s="35">
        <f t="array" aca="1" ref="F50" ca="1">_FV(A50,"High")</f>
        <v>2794.4</v>
      </c>
      <c r="G50" s="35">
        <f t="array" aca="1" ref="G50" ca="1">_FV(A50,"52 week low",TRUE)</f>
        <v>2124.75</v>
      </c>
      <c r="H50" s="36">
        <f t="array" aca="1" ref="H50" ca="1">_FV(A50,"52 week high",TRUE)</f>
        <v>2985.7</v>
      </c>
      <c r="I50" s="40">
        <f t="shared" ca="1" si="0"/>
        <v>8.0115215862276798</v>
      </c>
      <c r="J50" s="39" t="str">
        <f t="shared" ca="1" si="1"/>
        <v>WATCH</v>
      </c>
      <c r="K50" s="54">
        <f t="shared" ca="1" si="2"/>
        <v>-29.262266148958702</v>
      </c>
      <c r="L50" s="20">
        <f t="array" aca="1" ref="L50" ca="1">_FV(A50,"Market cap",TRUE)/10000000</f>
        <v>263273.5</v>
      </c>
      <c r="M50" s="21" t="str">
        <f t="shared" ca="1" si="3"/>
        <v>LC</v>
      </c>
      <c r="N50" s="37" t="str">
        <f t="array" aca="1" ref="N50" ca="1">_FV(A50,"Industry")</f>
        <v>Chemicals</v>
      </c>
    </row>
    <row r="51" spans="1:14">
      <c r="A51" s="107" t="e" vm="233">
        <v>#VALUE!</v>
      </c>
      <c r="B51" s="33">
        <f t="array" aca="1" ref="B51" ca="1">_FV(A51,"Change (%)",TRUE)</f>
        <v>3.4744999999999998E-2</v>
      </c>
      <c r="C51" s="35">
        <f t="array" aca="1" ref="C51" ca="1">_FV(A51,"Previous close",TRUE)</f>
        <v>597.20000000000005</v>
      </c>
      <c r="D51" s="35">
        <f t="array" aca="1" ref="D51" ca="1">_FV(A51,"Price")</f>
        <v>617.95000000000005</v>
      </c>
      <c r="E51" s="35">
        <f t="array" aca="1" ref="E51" ca="1">_FV(A51,"Low")</f>
        <v>597.15</v>
      </c>
      <c r="F51" s="35">
        <f t="array" aca="1" ref="F51" ca="1">_FV(A51,"High")</f>
        <v>626.29999999999995</v>
      </c>
      <c r="G51" s="35">
        <f t="array" aca="1" ref="G51" ca="1">_FV(A51,"52 week low",TRUE)</f>
        <v>387.1</v>
      </c>
      <c r="H51" s="36">
        <f t="array" aca="1" ref="H51" ca="1">_FV(A51,"52 week high",TRUE)</f>
        <v>732.2</v>
      </c>
      <c r="I51" s="40">
        <f t="shared" ca="1" si="0"/>
        <v>15.603660202130564</v>
      </c>
      <c r="J51" s="39" t="str">
        <f t="shared" ca="1" si="1"/>
        <v>WATCH</v>
      </c>
      <c r="K51" s="54">
        <f t="shared" ca="1" si="2"/>
        <v>-59.635753035391375</v>
      </c>
      <c r="L51" s="20">
        <f t="array" aca="1" ref="L51" ca="1">_FV(A51,"Market cap",TRUE)/10000000</f>
        <v>30870.400000000001</v>
      </c>
      <c r="M51" s="21" t="str">
        <f t="shared" ca="1" si="3"/>
        <v>MC</v>
      </c>
      <c r="N51" s="38" t="str">
        <f t="array" aca="1" ref="N51" ca="1">_FV(A51,"Industry")</f>
        <v>Healthcare Providers &amp; Services</v>
      </c>
    </row>
    <row r="52" spans="1:14">
      <c r="A52" s="107" t="e" vm="234">
        <v>#VALUE!</v>
      </c>
      <c r="B52" s="33">
        <f t="array" aca="1" ref="B52" ca="1">_FV(A52,"Change (%)",TRUE)</f>
        <v>-3.1522999999999995E-2</v>
      </c>
      <c r="C52" s="35">
        <f t="array" aca="1" ref="C52" ca="1">_FV(A52,"Previous close",TRUE)</f>
        <v>9168</v>
      </c>
      <c r="D52" s="35">
        <f t="array" aca="1" ref="D52" ca="1">_FV(A52,"Price")</f>
        <v>8879</v>
      </c>
      <c r="E52" s="35">
        <f t="array" aca="1" ref="E52" ca="1">_FV(A52,"Low")</f>
        <v>8800</v>
      </c>
      <c r="F52" s="35">
        <f t="array" aca="1" ref="F52" ca="1">_FV(A52,"High")</f>
        <v>9199</v>
      </c>
      <c r="G52" s="35">
        <f t="array" aca="1" ref="G52" ca="1">_FV(A52,"52 week low",TRUE)</f>
        <v>6312.75</v>
      </c>
      <c r="H52" s="36">
        <f t="array" aca="1" ref="H52" ca="1">_FV(A52,"52 week high",TRUE)</f>
        <v>10691</v>
      </c>
      <c r="I52" s="40">
        <f t="shared" ca="1" si="0"/>
        <v>16.948835469086148</v>
      </c>
      <c r="J52" s="39" t="str">
        <f t="shared" ca="1" si="1"/>
        <v>WATCH</v>
      </c>
      <c r="K52" s="54">
        <f t="shared" ca="1" si="2"/>
        <v>-40.651855372064475</v>
      </c>
      <c r="L52" s="20">
        <f t="array" aca="1" ref="L52" ca="1">_FV(A52,"Market cap",TRUE)/10000000</f>
        <v>22920</v>
      </c>
      <c r="M52" s="21" t="str">
        <f t="shared" ca="1" si="3"/>
        <v>MC</v>
      </c>
      <c r="N52" s="37" t="str">
        <f t="array" aca="1" ref="N52" ca="1">_FV(A52,"Industry")</f>
        <v>Pharmaceuticals</v>
      </c>
    </row>
    <row r="53" spans="1:14">
      <c r="A53" s="107" t="e" vm="11">
        <v>#VALUE!</v>
      </c>
      <c r="B53" s="33">
        <f t="array" aca="1" ref="B53" ca="1">_FV(A53,"Change (%)",TRUE)</f>
        <v>-4.7260000000000002E-3</v>
      </c>
      <c r="C53" s="35">
        <f t="array" aca="1" ref="C53" ca="1">_FV(A53,"Previous close",TRUE)</f>
        <v>1396.6</v>
      </c>
      <c r="D53" s="35">
        <f t="array" aca="1" ref="D53" ca="1">_FV(A53,"Price")</f>
        <v>1390</v>
      </c>
      <c r="E53" s="35">
        <f t="array" aca="1" ref="E53" ca="1">_FV(A53,"Low")</f>
        <v>1386</v>
      </c>
      <c r="F53" s="35">
        <f t="array" aca="1" ref="F53" ca="1">_FV(A53,"High")</f>
        <v>1399.9</v>
      </c>
      <c r="G53" s="35">
        <f t="array" aca="1" ref="G53" ca="1">_FV(A53,"52 week low",TRUE)</f>
        <v>1232.3</v>
      </c>
      <c r="H53" s="36">
        <f t="array" aca="1" ref="H53" ca="1">_FV(A53,"52 week high",TRUE)</f>
        <v>1747.95</v>
      </c>
      <c r="I53" s="40">
        <f t="shared" ca="1" si="0"/>
        <v>20.478274550187365</v>
      </c>
      <c r="J53" s="39" t="str">
        <f t="shared" ca="1" si="1"/>
        <v>FIRST MC BUY</v>
      </c>
      <c r="K53" s="54">
        <f t="shared" ca="1" si="2"/>
        <v>-12.797208471963</v>
      </c>
      <c r="L53" s="20">
        <f t="array" aca="1" ref="L53" ca="1">_FV(A53,"Market cap",TRUE)/10000000</f>
        <v>37519.68</v>
      </c>
      <c r="M53" s="21" t="str">
        <f t="shared" ca="1" si="3"/>
        <v>MC</v>
      </c>
      <c r="N53" s="37" t="str">
        <f t="array" aca="1" ref="N53" ca="1">_FV(A53,"Industry")</f>
        <v>Homebuilding &amp; Construction Supplies</v>
      </c>
    </row>
    <row r="54" spans="1:14">
      <c r="A54" s="107" t="e" vm="235">
        <v>#VALUE!</v>
      </c>
      <c r="B54" s="33">
        <f t="array" aca="1" ref="B54" ca="1">_FV(A54,"Change (%)",TRUE)</f>
        <v>-1.6348999999999999E-2</v>
      </c>
      <c r="C54" s="35">
        <f t="array" aca="1" ref="C54" ca="1">_FV(A54,"Previous close",TRUE)</f>
        <v>721.75</v>
      </c>
      <c r="D54" s="35">
        <f t="array" aca="1" ref="D54" ca="1">_FV(A54,"Price")</f>
        <v>709.95</v>
      </c>
      <c r="E54" s="35">
        <f t="array" aca="1" ref="E54" ca="1">_FV(A54,"Low")</f>
        <v>705</v>
      </c>
      <c r="F54" s="35">
        <f t="array" aca="1" ref="F54" ca="1">_FV(A54,"High")</f>
        <v>727.8</v>
      </c>
      <c r="G54" s="35">
        <f t="array" aca="1" ref="G54" ca="1">_FV(A54,"52 week low",TRUE)</f>
        <v>288.14999999999998</v>
      </c>
      <c r="H54" s="36">
        <f t="array" aca="1" ref="H54" ca="1">_FV(A54,"52 week high",TRUE)</f>
        <v>790</v>
      </c>
      <c r="I54" s="40">
        <f t="shared" ca="1" si="0"/>
        <v>10.132911392405058</v>
      </c>
      <c r="J54" s="39" t="str">
        <f t="shared" ca="1" si="1"/>
        <v>WATCH</v>
      </c>
      <c r="K54" s="54">
        <f t="shared" ca="1" si="2"/>
        <v>-146.38209266007291</v>
      </c>
      <c r="L54" s="20">
        <f t="array" aca="1" ref="L54" ca="1">_FV(A54,"Market cap",TRUE)/10000000</f>
        <v>27528.07</v>
      </c>
      <c r="M54" s="21" t="str">
        <f t="shared" ca="1" si="3"/>
        <v>MC</v>
      </c>
      <c r="N54" s="37" t="str">
        <f t="array" aca="1" ref="N54" ca="1">_FV(A54,"Industry")</f>
        <v>Leisure Products</v>
      </c>
    </row>
    <row r="55" spans="1:14">
      <c r="A55" s="107" t="e" vm="12">
        <v>#VALUE!</v>
      </c>
      <c r="B55" s="33">
        <f t="array" aca="1" ref="B55" ca="1">_FV(A55,"Change (%)",TRUE)</f>
        <v>-1.0730000000000002E-3</v>
      </c>
      <c r="C55" s="35">
        <f t="array" aca="1" ref="C55" ca="1">_FV(A55,"Previous close",TRUE)</f>
        <v>6055</v>
      </c>
      <c r="D55" s="35">
        <f t="array" aca="1" ref="D55" ca="1">_FV(A55,"Price")</f>
        <v>6048.5</v>
      </c>
      <c r="E55" s="35">
        <f t="array" aca="1" ref="E55" ca="1">_FV(A55,"Low")</f>
        <v>6010</v>
      </c>
      <c r="F55" s="35">
        <f t="array" aca="1" ref="F55" ca="1">_FV(A55,"High")</f>
        <v>6095</v>
      </c>
      <c r="G55" s="35">
        <f t="array" aca="1" ref="G55" ca="1">_FV(A55,"52 week low",TRUE)</f>
        <v>4752</v>
      </c>
      <c r="H55" s="36">
        <f t="array" aca="1" ref="H55" ca="1">_FV(A55,"52 week high",TRUE)</f>
        <v>7788</v>
      </c>
      <c r="I55" s="40">
        <f t="shared" ca="1" si="0"/>
        <v>22.335644581407294</v>
      </c>
      <c r="J55" s="39" t="str">
        <f t="shared" ca="1" si="1"/>
        <v>FIRST MC BUY</v>
      </c>
      <c r="K55" s="54">
        <f t="shared" ca="1" si="2"/>
        <v>-27.283249158249159</v>
      </c>
      <c r="L55" s="20">
        <f t="array" aca="1" ref="L55" ca="1">_FV(A55,"Market cap",TRUE)/10000000</f>
        <v>17826.98</v>
      </c>
      <c r="M55" s="21" t="str">
        <f t="shared" ca="1" si="3"/>
        <v>MC</v>
      </c>
      <c r="N55" s="37" t="str">
        <f t="array" aca="1" ref="N55" ca="1">_FV(A55,"Industry")</f>
        <v>Chemicals</v>
      </c>
    </row>
    <row r="56" spans="1:14">
      <c r="A56" s="107" t="e" vm="14">
        <v>#VALUE!</v>
      </c>
      <c r="B56" s="33">
        <f t="array" aca="1" ref="B56" ca="1">_FV(A56,"Change (%)",TRUE)</f>
        <v>-4.2929999999999999E-3</v>
      </c>
      <c r="C56" s="35">
        <f t="array" aca="1" ref="C56" ca="1">_FV(A56,"Previous close",TRUE)</f>
        <v>1211.4000000000001</v>
      </c>
      <c r="D56" s="35">
        <f t="array" aca="1" ref="D56" ca="1">_FV(A56,"Price")</f>
        <v>1206.2</v>
      </c>
      <c r="E56" s="35">
        <f t="array" aca="1" ref="E56" ca="1">_FV(A56,"Low")</f>
        <v>1203.8</v>
      </c>
      <c r="F56" s="35">
        <f t="array" aca="1" ref="F56" ca="1">_FV(A56,"High")</f>
        <v>1220.9000000000001</v>
      </c>
      <c r="G56" s="35">
        <f t="array" aca="1" ref="G56" ca="1">_FV(A56,"52 week low",TRUE)</f>
        <v>1010</v>
      </c>
      <c r="H56" s="36">
        <f t="array" aca="1" ref="H56" ca="1">_FV(A56,"52 week high",TRUE)</f>
        <v>1356.2</v>
      </c>
      <c r="I56" s="40">
        <f t="shared" ca="1" si="0"/>
        <v>11.060315587671434</v>
      </c>
      <c r="J56" s="39" t="str">
        <f t="shared" ca="1" si="1"/>
        <v>WATCH</v>
      </c>
      <c r="K56" s="54">
        <f t="shared" ca="1" si="2"/>
        <v>-19.425742574257431</v>
      </c>
      <c r="L56" s="20">
        <f t="array" aca="1" ref="L56" ca="1">_FV(A56,"Market cap",TRUE)/10000000</f>
        <v>70358.31</v>
      </c>
      <c r="M56" s="21" t="str">
        <f t="shared" ca="1" si="3"/>
        <v>HMC</v>
      </c>
      <c r="N56" s="37" t="str">
        <f t="array" aca="1" ref="N56" ca="1">_FV(A56,"Industry")</f>
        <v>Pharmaceuticals</v>
      </c>
    </row>
    <row r="57" spans="1:14">
      <c r="A57" s="107" t="e" vm="236">
        <v>#VALUE!</v>
      </c>
      <c r="B57" s="33">
        <f t="array" aca="1" ref="B57" ca="1">_FV(A57,"Change (%)",TRUE)</f>
        <v>-1.3177000000000001E-2</v>
      </c>
      <c r="C57" s="35">
        <f t="array" aca="1" ref="C57" ca="1">_FV(A57,"Previous close",TRUE)</f>
        <v>2921.8</v>
      </c>
      <c r="D57" s="35">
        <f t="array" aca="1" ref="D57" ca="1">_FV(A57,"Price")</f>
        <v>2883.3</v>
      </c>
      <c r="E57" s="35">
        <f t="array" aca="1" ref="E57" ca="1">_FV(A57,"Low")</f>
        <v>2870</v>
      </c>
      <c r="F57" s="35">
        <f t="array" aca="1" ref="F57" ca="1">_FV(A57,"High")</f>
        <v>2949.9</v>
      </c>
      <c r="G57" s="35">
        <f t="array" aca="1" ref="G57" ca="1">_FV(A57,"52 week low",TRUE)</f>
        <v>1325.5</v>
      </c>
      <c r="H57" s="36">
        <f t="array" aca="1" ref="H57" ca="1">_FV(A57,"52 week high",TRUE)</f>
        <v>3318.7</v>
      </c>
      <c r="I57" s="40">
        <f t="shared" ca="1" si="0"/>
        <v>13.119595022147216</v>
      </c>
      <c r="J57" s="39" t="str">
        <f t="shared" ca="1" si="1"/>
        <v>WATCH</v>
      </c>
      <c r="K57" s="54">
        <f t="shared" ca="1" si="2"/>
        <v>-117.52546208977746</v>
      </c>
      <c r="L57" s="20">
        <f t="array" aca="1" ref="L57" ca="1">_FV(A57,"Market cap",TRUE)/10000000</f>
        <v>49625.34</v>
      </c>
      <c r="M57" s="21" t="str">
        <f t="shared" ca="1" si="3"/>
        <v>HMC</v>
      </c>
      <c r="N57" s="37" t="str">
        <f t="array" aca="1" ref="N57" ca="1">_FV(A57,"Industry")</f>
        <v>Investment Banking &amp; Investment Services</v>
      </c>
    </row>
    <row r="58" spans="1:14">
      <c r="A58" s="107" t="e" vm="35">
        <v>#VALUE!</v>
      </c>
      <c r="B58" s="33">
        <f t="array" aca="1" ref="B58" ca="1">_FV(A58,"Change (%)",TRUE)</f>
        <v>-3.3679999999999999E-3</v>
      </c>
      <c r="C58" s="35">
        <f t="array" aca="1" ref="C58" ca="1">_FV(A58,"Previous close",TRUE)</f>
        <v>3800.2</v>
      </c>
      <c r="D58" s="35">
        <f t="array" aca="1" ref="D58" ca="1">_FV(A58,"Price")</f>
        <v>3787.4</v>
      </c>
      <c r="E58" s="35">
        <f t="array" aca="1" ref="E58" ca="1">_FV(A58,"Low")</f>
        <v>3781.2</v>
      </c>
      <c r="F58" s="35">
        <f t="array" aca="1" ref="F58" ca="1">_FV(A58,"High")</f>
        <v>3824</v>
      </c>
      <c r="G58" s="35">
        <f t="array" aca="1" ref="G58" ca="1">_FV(A58,"52 week low",TRUE)</f>
        <v>3340</v>
      </c>
      <c r="H58" s="36">
        <f t="array" aca="1" ref="H58" ca="1">_FV(A58,"52 week high",TRUE)</f>
        <v>4949.5</v>
      </c>
      <c r="I58" s="40">
        <f t="shared" ca="1" si="0"/>
        <v>23.479139307000704</v>
      </c>
      <c r="J58" s="39" t="str">
        <f t="shared" ca="1" si="1"/>
        <v>SURE LC BUY</v>
      </c>
      <c r="K58" s="54">
        <f t="shared" ca="1" si="2"/>
        <v>-13.395209580838326</v>
      </c>
      <c r="L58" s="20">
        <f t="array" aca="1" ref="L58" ca="1">_FV(A58,"Market cap",TRUE)/10000000</f>
        <v>247291.6</v>
      </c>
      <c r="M58" s="21" t="str">
        <f t="shared" ca="1" si="3"/>
        <v>LC</v>
      </c>
      <c r="N58" s="37" t="str">
        <f t="array" aca="1" ref="N58" ca="1">_FV(A58,"Industry")</f>
        <v>Food &amp; Drug Retailing</v>
      </c>
    </row>
    <row r="59" spans="1:14">
      <c r="A59" s="107" t="e" vm="162">
        <v>#VALUE!</v>
      </c>
      <c r="B59" s="33">
        <f t="array" aca="1" ref="B59" ca="1">_FV(A59,"Change (%)",TRUE)</f>
        <v>1.549E-3</v>
      </c>
      <c r="C59" s="35">
        <f t="array" aca="1" ref="C59" ca="1">_FV(A59,"Previous close",TRUE)</f>
        <v>1226.3</v>
      </c>
      <c r="D59" s="35">
        <f t="array" aca="1" ref="D59" ca="1">_FV(A59,"Price")</f>
        <v>1228.2</v>
      </c>
      <c r="E59" s="35">
        <f t="array" aca="1" ref="E59" ca="1">_FV(A59,"Low")</f>
        <v>1222</v>
      </c>
      <c r="F59" s="35">
        <f t="array" aca="1" ref="F59" ca="1">_FV(A59,"High")</f>
        <v>1229.9000000000001</v>
      </c>
      <c r="G59" s="35">
        <f t="array" aca="1" ref="G59" ca="1">_FV(A59,"52 week low",TRUE)</f>
        <v>933.5</v>
      </c>
      <c r="H59" s="36">
        <f t="array" aca="1" ref="H59" ca="1">_FV(A59,"52 week high",TRUE)</f>
        <v>1304</v>
      </c>
      <c r="I59" s="40">
        <f t="shared" ca="1" si="0"/>
        <v>5.8128834355828189</v>
      </c>
      <c r="J59" s="39" t="str">
        <f t="shared" ca="1" si="1"/>
        <v>WATCH</v>
      </c>
      <c r="K59" s="54">
        <f t="shared" ca="1" si="2"/>
        <v>-31.569362613818964</v>
      </c>
      <c r="L59" s="20">
        <f t="array" aca="1" ref="L59" ca="1">_FV(A59,"Market cap",TRUE)/10000000</f>
        <v>381355</v>
      </c>
      <c r="M59" s="21" t="str">
        <f t="shared" ca="1" si="3"/>
        <v>LC</v>
      </c>
      <c r="N59" s="37" t="str">
        <f t="array" aca="1" ref="N59" ca="1">_FV(A59,"Industry")</f>
        <v>Banking Services</v>
      </c>
    </row>
    <row r="60" spans="1:14">
      <c r="A60" s="107" t="e" vm="237">
        <v>#VALUE!</v>
      </c>
      <c r="B60" s="33">
        <f t="array" aca="1" ref="B60" ca="1">_FV(A60,"Change (%)",TRUE)</f>
        <v>-4.1180000000000001E-3</v>
      </c>
      <c r="C60" s="35">
        <f t="array" aca="1" ref="C60" ca="1">_FV(A60,"Previous close",TRUE)</f>
        <v>3909.7</v>
      </c>
      <c r="D60" s="35">
        <f t="array" aca="1" ref="D60" ca="1">_FV(A60,"Price")</f>
        <v>3893.6</v>
      </c>
      <c r="E60" s="35">
        <f t="array" aca="1" ref="E60" ca="1">_FV(A60,"Low")</f>
        <v>3862.2</v>
      </c>
      <c r="F60" s="35">
        <f t="array" aca="1" ref="F60" ca="1">_FV(A60,"High")</f>
        <v>3918.2</v>
      </c>
      <c r="G60" s="35">
        <f t="array" aca="1" ref="G60" ca="1">_FV(A60,"52 week low",TRUE)</f>
        <v>3785.8</v>
      </c>
      <c r="H60" s="36">
        <f t="array" aca="1" ref="H60" ca="1">_FV(A60,"52 week high",TRUE)</f>
        <v>5799.6</v>
      </c>
      <c r="I60" s="40">
        <f t="shared" ca="1" si="0"/>
        <v>32.864335471411827</v>
      </c>
      <c r="J60" s="39" t="str">
        <f t="shared" ca="1" si="1"/>
        <v>MC BUY</v>
      </c>
      <c r="K60" s="54">
        <f t="shared" ca="1" si="2"/>
        <v>-2.847482698504932</v>
      </c>
      <c r="L60" s="20">
        <f t="array" aca="1" ref="L60" ca="1">_FV(A60,"Market cap",TRUE)/10000000</f>
        <v>16923.39</v>
      </c>
      <c r="M60" s="21" t="str">
        <f t="shared" ca="1" si="3"/>
        <v>MC</v>
      </c>
      <c r="N60" s="37" t="str">
        <f t="array" aca="1" ref="N60" ca="1">_FV(A60,"Industry")</f>
        <v>Chemicals</v>
      </c>
    </row>
    <row r="61" spans="1:14">
      <c r="A61" s="107" t="e" vm="20">
        <v>#VALUE!</v>
      </c>
      <c r="B61" s="33">
        <f t="array" aca="1" ref="B61" ca="1">_FV(A61,"Change (%)",TRUE)</f>
        <v>4.8720000000000005E-3</v>
      </c>
      <c r="C61" s="35">
        <f t="array" aca="1" ref="C61" ca="1">_FV(A61,"Previous close",TRUE)</f>
        <v>1867.9</v>
      </c>
      <c r="D61" s="35">
        <f t="array" aca="1" ref="D61" ca="1">_FV(A61,"Price")</f>
        <v>1877</v>
      </c>
      <c r="E61" s="35">
        <f t="array" aca="1" ref="E61" ca="1">_FV(A61,"Low")</f>
        <v>1867.7</v>
      </c>
      <c r="F61" s="35">
        <f t="array" aca="1" ref="F61" ca="1">_FV(A61,"High")</f>
        <v>1926.7</v>
      </c>
      <c r="G61" s="35">
        <f t="array" aca="1" ref="G61" ca="1">_FV(A61,"52 week low",TRUE)</f>
        <v>1175</v>
      </c>
      <c r="H61" s="36">
        <f t="array" aca="1" ref="H61" ca="1">_FV(A61,"52 week high",TRUE)</f>
        <v>2437.4</v>
      </c>
      <c r="I61" s="40">
        <f t="shared" ca="1" si="0"/>
        <v>22.991712480512025</v>
      </c>
      <c r="J61" s="39" t="str">
        <f t="shared" ca="1" si="1"/>
        <v>FIRST MC BUY</v>
      </c>
      <c r="K61" s="54">
        <f t="shared" ca="1" si="2"/>
        <v>-59.744680851063826</v>
      </c>
      <c r="L61" s="20">
        <f t="array" aca="1" ref="L61" ca="1">_FV(A61,"Market cap",TRUE)/10000000</f>
        <v>15633.35</v>
      </c>
      <c r="M61" s="21" t="str">
        <f t="shared" ca="1" si="3"/>
        <v>MC</v>
      </c>
      <c r="N61" s="37" t="str">
        <f t="array" aca="1" ref="N61" ca="1">_FV(A61,"Industry")</f>
        <v>Machinery, Equipment &amp; Components</v>
      </c>
    </row>
    <row r="62" spans="1:14">
      <c r="A62" s="107" t="e" vm="238">
        <v>#VALUE!</v>
      </c>
      <c r="B62" s="33">
        <f t="array" aca="1" ref="B62" ca="1">_FV(A62,"Change (%)",TRUE)</f>
        <v>-1.1271E-2</v>
      </c>
      <c r="C62" s="35">
        <f t="array" aca="1" ref="C62" ca="1">_FV(A62,"Previous close",TRUE)</f>
        <v>323.85000000000002</v>
      </c>
      <c r="D62" s="35">
        <f t="array" aca="1" ref="D62" ca="1">_FV(A62,"Price")</f>
        <v>320.2</v>
      </c>
      <c r="E62" s="35">
        <f t="array" aca="1" ref="E62" ca="1">_FV(A62,"Low")</f>
        <v>318.8</v>
      </c>
      <c r="F62" s="35">
        <f t="array" aca="1" ref="F62" ca="1">_FV(A62,"High")</f>
        <v>326.05</v>
      </c>
      <c r="G62" s="35">
        <f t="array" aca="1" ref="G62" ca="1">_FV(A62,"52 week low",TRUE)</f>
        <v>276.95</v>
      </c>
      <c r="H62" s="36">
        <f t="array" aca="1" ref="H62" ca="1">_FV(A62,"52 week high",TRUE)</f>
        <v>521.79999999999995</v>
      </c>
      <c r="I62" s="40">
        <f t="shared" ca="1" si="0"/>
        <v>38.635492525871975</v>
      </c>
      <c r="J62" s="39" t="str">
        <f t="shared" ca="1" si="1"/>
        <v>MC BUY</v>
      </c>
      <c r="K62" s="54">
        <f t="shared" ca="1" si="2"/>
        <v>-15.616537281097672</v>
      </c>
      <c r="L62" s="20">
        <f t="array" aca="1" ref="L62" ca="1">_FV(A62,"Market cap",TRUE)/10000000</f>
        <v>13332.62</v>
      </c>
      <c r="M62" s="21" t="str">
        <f t="shared" ca="1" si="3"/>
        <v>MC</v>
      </c>
      <c r="N62" s="37" t="str">
        <f t="array" aca="1" ref="N62" ca="1">_FV(A62,"Industry")</f>
        <v>Professional &amp; Commercial Services</v>
      </c>
    </row>
    <row r="63" spans="1:14">
      <c r="A63" s="107" t="e" vm="25">
        <v>#VALUE!</v>
      </c>
      <c r="B63" s="33">
        <f t="array" aca="1" ref="B63" ca="1">_FV(A63,"Change (%)",TRUE)</f>
        <v>-8.1989999999999997E-3</v>
      </c>
      <c r="C63" s="35">
        <f t="array" aca="1" ref="C63" ca="1">_FV(A63,"Previous close",TRUE)</f>
        <v>2670.9</v>
      </c>
      <c r="D63" s="35">
        <f t="array" aca="1" ref="D63" ca="1">_FV(A63,"Price")</f>
        <v>2649</v>
      </c>
      <c r="E63" s="35">
        <f t="array" aca="1" ref="E63" ca="1">_FV(A63,"Low")</f>
        <v>2636</v>
      </c>
      <c r="F63" s="35">
        <f t="array" aca="1" ref="F63" ca="1">_FV(A63,"High")</f>
        <v>2689.3</v>
      </c>
      <c r="G63" s="35">
        <f t="array" aca="1" ref="G63" ca="1">_FV(A63,"52 week low",TRUE)</f>
        <v>1226.49</v>
      </c>
      <c r="H63" s="36">
        <f t="array" aca="1" ref="H63" ca="1">_FV(A63,"52 week high",TRUE)</f>
        <v>3030</v>
      </c>
      <c r="I63" s="40">
        <f t="shared" ca="1" si="0"/>
        <v>12.574257425742575</v>
      </c>
      <c r="J63" s="39" t="str">
        <f t="shared" ca="1" si="1"/>
        <v>LC BUY</v>
      </c>
      <c r="K63" s="54">
        <f t="shared" ca="1" si="2"/>
        <v>-115.98219308759141</v>
      </c>
      <c r="L63" s="20">
        <f t="array" aca="1" ref="L63" ca="1">_FV(A63,"Market cap",TRUE)/10000000</f>
        <v>108785.5</v>
      </c>
      <c r="M63" s="21" t="str">
        <f t="shared" ca="1" si="3"/>
        <v>LC</v>
      </c>
      <c r="N63" s="37" t="str">
        <f t="array" aca="1" ref="N63" ca="1">_FV(A63,"Industry")</f>
        <v>Investment Banking &amp; Investment Services</v>
      </c>
    </row>
    <row r="64" spans="1:14">
      <c r="A64" s="107" t="e" vm="16">
        <v>#VALUE!</v>
      </c>
      <c r="B64" s="33">
        <f t="array" aca="1" ref="B64" ca="1">_FV(A64,"Change (%)",TRUE)</f>
        <v>-1.1505000000000001E-2</v>
      </c>
      <c r="C64" s="35">
        <f t="array" aca="1" ref="C64" ca="1">_FV(A64,"Previous close",TRUE)</f>
        <v>9170</v>
      </c>
      <c r="D64" s="35">
        <f t="array" aca="1" ref="D64" ca="1">_FV(A64,"Price")</f>
        <v>9064.5</v>
      </c>
      <c r="E64" s="35">
        <f t="array" aca="1" ref="E64" ca="1">_FV(A64,"Low")</f>
        <v>9052</v>
      </c>
      <c r="F64" s="35">
        <f t="array" aca="1" ref="F64" ca="1">_FV(A64,"High")</f>
        <v>9185.5</v>
      </c>
      <c r="G64" s="35">
        <f t="array" aca="1" ref="G64" ca="1">_FV(A64,"52 week low",TRUE)</f>
        <v>7089.35</v>
      </c>
      <c r="H64" s="36">
        <f t="array" aca="1" ref="H64" ca="1">_FV(A64,"52 week high",TRUE)</f>
        <v>9490</v>
      </c>
      <c r="I64" s="40">
        <f t="shared" ca="1" si="0"/>
        <v>4.4836670179135929</v>
      </c>
      <c r="J64" s="39" t="str">
        <f t="shared" ca="1" si="1"/>
        <v>WATCH</v>
      </c>
      <c r="K64" s="54">
        <f t="shared" ca="1" si="2"/>
        <v>-27.860805292445704</v>
      </c>
      <c r="L64" s="20">
        <f t="array" aca="1" ref="L64" ca="1">_FV(A64,"Market cap",TRUE)/10000000</f>
        <v>256267.2</v>
      </c>
      <c r="M64" s="21" t="str">
        <f t="shared" ca="1" si="3"/>
        <v>LC</v>
      </c>
      <c r="N64" s="37" t="str">
        <f t="array" aca="1" ref="N64" ca="1">_FV(A64,"Industry")</f>
        <v>Automobiles &amp; Auto Parts</v>
      </c>
    </row>
    <row r="65" spans="1:14">
      <c r="A65" s="107" t="e" vm="17">
        <v>#VALUE!</v>
      </c>
      <c r="B65" s="33">
        <f t="array" aca="1" ref="B65" ca="1">_FV(A65,"Change (%)",TRUE)</f>
        <v>-1.1565000000000001E-2</v>
      </c>
      <c r="C65" s="35">
        <f t="array" aca="1" ref="C65" ca="1">_FV(A65,"Previous close",TRUE)</f>
        <v>1011.7</v>
      </c>
      <c r="D65" s="35">
        <f t="array" aca="1" ref="D65" ca="1">_FV(A65,"Price")</f>
        <v>1000</v>
      </c>
      <c r="E65" s="35">
        <f t="array" aca="1" ref="E65" ca="1">_FV(A65,"Low")</f>
        <v>998</v>
      </c>
      <c r="F65" s="35">
        <f t="array" aca="1" ref="F65" ca="1">_FV(A65,"High")</f>
        <v>1011.7</v>
      </c>
      <c r="G65" s="35">
        <f t="array" aca="1" ref="G65" ca="1">_FV(A65,"52 week low",TRUE)</f>
        <v>678.28</v>
      </c>
      <c r="H65" s="36">
        <f t="array" aca="1" ref="H65" ca="1">_FV(A65,"52 week high",TRUE)</f>
        <v>1102.5</v>
      </c>
      <c r="I65" s="40">
        <f t="shared" ref="I65:I128" ca="1" si="4">(H65-D65)*100/H65</f>
        <v>9.2970521541950113</v>
      </c>
      <c r="J65" s="39" t="str">
        <f t="shared" ref="J65:J128" ca="1" si="5">IF(AND(M65="HLC", I65&gt;12), "SURE HLC BUY",IF(AND(M65="HLC", I65&gt;7), "FIRST HLC BUY",IF(AND(M65="LC", I65&gt;20), "SURE LC BUY",IF(AND(M65="LC", I65&gt;10), "LC BUY",IF(AND(M65="HMC", I65&gt;30), "SURE HMC BUY",IF(AND(M65="HMC", I65&gt;20), "HMC BUY",IF(AND(M65="HMC", I65&gt;15), "FIRST HMC BUY",IF(AND(M65="MC", I65&gt;40), "SURE MC BUY",IF(AND(M65="MC", I65&gt;30), "MC BUY",IF(AND(M65="MC", I65&gt;20), "FIRST MC BUY",IF(AND(M65="HSC", I65&gt;60), "SURE HSC BUY",IF(AND(M65="HSC", I65&gt;50), "HSC BUY",IF(AND(M65="HSC", I65&gt;40), "FIRST HSC BUY",IF(AND(M65="SC", I65&gt;70), "SURE SC BUY",IF(AND(M65="SC", I65&gt;60), "SC BUY",IF(AND(M65="SC", I65&gt;50), "FIRST SC BUY",IF(AND(M65="VSC", I65&gt;80), "SURE VSC BUY",IF(AND(M65="VSC", I65&gt;70), "VSC BUY",IF(AND(M65="VSC", I65&gt;60), "FIRST VSC BUY","WATCH")))))))))))))))))))</f>
        <v>FIRST HLC BUY</v>
      </c>
      <c r="K65" s="54">
        <f t="shared" ref="K65:K128" ca="1" si="6">(G65-D65)*100/G65</f>
        <v>-47.431739104794488</v>
      </c>
      <c r="L65" s="20">
        <f t="array" aca="1" ref="L65" ca="1">_FV(A65,"Market cap",TRUE)/10000000</f>
        <v>628785.19999999995</v>
      </c>
      <c r="M65" s="21" t="str">
        <f t="shared" ref="M65:M128" ca="1" si="7">IF(L65&gt;500000,"HLC",IF(L65 &gt;100000,"LC",IF(L65 &gt;40000,"HMC",IF(L65 &gt;10000,"MC",IF(L65 &gt;=5000,"HSC",IF(L65 &gt;1000,"SC","VSC"))))))</f>
        <v>HLC</v>
      </c>
      <c r="N65" s="37" t="str">
        <f t="array" aca="1" ref="N65" ca="1">_FV(A65,"Industry")</f>
        <v>Banking Services</v>
      </c>
    </row>
    <row r="66" spans="1:14">
      <c r="A66" s="107" t="e" vm="150">
        <v>#VALUE!</v>
      </c>
      <c r="B66" s="33">
        <f t="array" aca="1" ref="B66" ca="1">_FV(A66,"Change (%)",TRUE)</f>
        <v>-8.8909999999999996E-3</v>
      </c>
      <c r="C66" s="35">
        <f t="array" aca="1" ref="C66" ca="1">_FV(A66,"Previous close",TRUE)</f>
        <v>2035.7</v>
      </c>
      <c r="D66" s="35">
        <f t="array" aca="1" ref="D66" ca="1">_FV(A66,"Price")</f>
        <v>2017.6</v>
      </c>
      <c r="E66" s="35">
        <f t="array" aca="1" ref="E66" ca="1">_FV(A66,"Low")</f>
        <v>2005.4</v>
      </c>
      <c r="F66" s="35">
        <f t="array" aca="1" ref="F66" ca="1">_FV(A66,"High")</f>
        <v>2035.7</v>
      </c>
      <c r="G66" s="35">
        <f t="array" aca="1" ref="G66" ca="1">_FV(A66,"52 week low",TRUE)</f>
        <v>1551.65</v>
      </c>
      <c r="H66" s="36">
        <f t="array" aca="1" ref="H66" ca="1">_FV(A66,"52 week high",TRUE)</f>
        <v>2195</v>
      </c>
      <c r="I66" s="40">
        <f t="shared" ca="1" si="4"/>
        <v>8.0820045558086591</v>
      </c>
      <c r="J66" s="39" t="str">
        <f t="shared" ca="1" si="5"/>
        <v>WATCH</v>
      </c>
      <c r="K66" s="54">
        <f t="shared" ca="1" si="6"/>
        <v>-30.029323623239765</v>
      </c>
      <c r="L66" s="20">
        <f t="array" aca="1" ref="L66" ca="1">_FV(A66,"Market cap",TRUE)/10000000</f>
        <v>325033.3</v>
      </c>
      <c r="M66" s="21" t="str">
        <f t="shared" ca="1" si="7"/>
        <v>LC</v>
      </c>
      <c r="N66" s="37" t="str">
        <f t="array" aca="1" ref="N66" ca="1">_FV(A66,"Industry")</f>
        <v>Banking Services</v>
      </c>
    </row>
    <row r="67" spans="1:14">
      <c r="A67" s="107" t="e" vm="196">
        <v>#VALUE!</v>
      </c>
      <c r="B67" s="33">
        <f t="array" aca="1" ref="B67" ca="1">_FV(A67,"Change (%)",TRUE)</f>
        <v>-6.1479999999999998E-3</v>
      </c>
      <c r="C67" s="35">
        <f t="array" aca="1" ref="C67" ca="1">_FV(A67,"Previous close",TRUE)</f>
        <v>11224</v>
      </c>
      <c r="D67" s="35">
        <f t="array" aca="1" ref="D67" ca="1">_FV(A67,"Price")</f>
        <v>11155</v>
      </c>
      <c r="E67" s="35">
        <f t="array" aca="1" ref="E67" ca="1">_FV(A67,"Low")</f>
        <v>11149</v>
      </c>
      <c r="F67" s="35">
        <f t="array" aca="1" ref="F67" ca="1">_FV(A67,"High")</f>
        <v>11295</v>
      </c>
      <c r="G67" s="35">
        <f t="array" aca="1" ref="G67" ca="1">_FV(A67,"52 week low",TRUE)</f>
        <v>10245.1</v>
      </c>
      <c r="H67" s="36">
        <f t="array" aca="1" ref="H67" ca="1">_FV(A67,"52 week high",TRUE)</f>
        <v>14763</v>
      </c>
      <c r="I67" s="40">
        <f t="shared" ca="1" si="4"/>
        <v>24.439477071056018</v>
      </c>
      <c r="J67" s="39" t="str">
        <f t="shared" ca="1" si="5"/>
        <v>SURE LC BUY</v>
      </c>
      <c r="K67" s="54">
        <f t="shared" ca="1" si="6"/>
        <v>-8.8813188743887288</v>
      </c>
      <c r="L67" s="20">
        <f t="array" aca="1" ref="L67" ca="1">_FV(A67,"Market cap",TRUE)/10000000</f>
        <v>124915.8</v>
      </c>
      <c r="M67" s="21" t="str">
        <f t="shared" ca="1" si="7"/>
        <v>LC</v>
      </c>
      <c r="N67" s="37" t="str">
        <f t="array" aca="1" ref="N67" ca="1">_FV(A67,"Industry")</f>
        <v>Holding Companies</v>
      </c>
    </row>
    <row r="68" spans="1:14">
      <c r="A68" s="107" t="e" vm="187">
        <v>#VALUE!</v>
      </c>
      <c r="B68" s="33">
        <f t="array" aca="1" ref="B68" ca="1">_FV(A68,"Change (%)",TRUE)</f>
        <v>-3.1530000000000002E-4</v>
      </c>
      <c r="C68" s="35">
        <f t="array" aca="1" ref="C68" ca="1">_FV(A68,"Previous close",TRUE)</f>
        <v>95.16</v>
      </c>
      <c r="D68" s="35">
        <f t="array" aca="1" ref="D68" ca="1">_FV(A68,"Price")</f>
        <v>95.13</v>
      </c>
      <c r="E68" s="35">
        <f t="array" aca="1" ref="E68" ca="1">_FV(A68,"Low")</f>
        <v>94.6</v>
      </c>
      <c r="F68" s="35">
        <f t="array" aca="1" ref="F68" ca="1">_FV(A68,"High")</f>
        <v>95.6</v>
      </c>
      <c r="G68" s="35">
        <f t="array" aca="1" ref="G68" ca="1">_FV(A68,"52 week low",TRUE)</f>
        <v>92.1</v>
      </c>
      <c r="H68" s="36">
        <f t="array" aca="1" ref="H68" ca="1">_FV(A68,"52 week high",TRUE)</f>
        <v>136.96</v>
      </c>
      <c r="I68" s="40">
        <f t="shared" ca="1" si="4"/>
        <v>30.541764018691595</v>
      </c>
      <c r="J68" s="39" t="str">
        <f t="shared" ca="1" si="5"/>
        <v>SURE HMC BUY</v>
      </c>
      <c r="K68" s="54">
        <f t="shared" ca="1" si="6"/>
        <v>-3.2899022801302946</v>
      </c>
      <c r="L68" s="20">
        <f t="array" aca="1" ref="L68" ca="1">_FV(A68,"Market cap",TRUE)/10000000</f>
        <v>79255.039999999994</v>
      </c>
      <c r="M68" s="21" t="str">
        <f t="shared" ca="1" si="7"/>
        <v>HMC</v>
      </c>
      <c r="N68" s="37" t="str">
        <f t="array" aca="1" ref="N68" ca="1">_FV(A68,"Industry")</f>
        <v>Banking Services</v>
      </c>
    </row>
    <row r="69" spans="1:14">
      <c r="A69" s="107" t="e" vm="239">
        <v>#VALUE!</v>
      </c>
      <c r="B69" s="33">
        <f t="array" aca="1" ref="B69" ca="1">_FV(A69,"Change (%)",TRUE)</f>
        <v>-2.5230000000000001E-3</v>
      </c>
      <c r="C69" s="35">
        <f t="array" aca="1" ref="C69" ca="1">_FV(A69,"Previous close",TRUE)</f>
        <v>2299.1999999999998</v>
      </c>
      <c r="D69" s="35">
        <f t="array" aca="1" ref="D69" ca="1">_FV(A69,"Price")</f>
        <v>2293.4</v>
      </c>
      <c r="E69" s="35">
        <f t="array" aca="1" ref="E69" ca="1">_FV(A69,"Low")</f>
        <v>2290</v>
      </c>
      <c r="F69" s="35">
        <f t="array" aca="1" ref="F69" ca="1">_FV(A69,"High")</f>
        <v>2308</v>
      </c>
      <c r="G69" s="35">
        <f t="array" aca="1" ref="G69" ca="1">_FV(A69,"52 week low",TRUE)</f>
        <v>2152.0500000000002</v>
      </c>
      <c r="H69" s="36">
        <f t="array" aca="1" ref="H69" ca="1">_FV(A69,"52 week high",TRUE)</f>
        <v>2928</v>
      </c>
      <c r="I69" s="40">
        <f t="shared" ca="1" si="4"/>
        <v>21.673497267759561</v>
      </c>
      <c r="J69" s="39" t="str">
        <f t="shared" ca="1" si="5"/>
        <v>HMC BUY</v>
      </c>
      <c r="K69" s="54">
        <f t="shared" ca="1" si="6"/>
        <v>-6.568155944332144</v>
      </c>
      <c r="L69" s="20">
        <f t="array" aca="1" ref="L69" ca="1">_FV(A69,"Market cap",TRUE)/10000000</f>
        <v>44447.49</v>
      </c>
      <c r="M69" s="21" t="str">
        <f t="shared" ca="1" si="7"/>
        <v>HMC</v>
      </c>
      <c r="N69" s="37" t="str">
        <f t="array" aca="1" ref="N69" ca="1">_FV(A69,"Industry")</f>
        <v>Automobiles &amp; Auto Parts</v>
      </c>
    </row>
    <row r="70" spans="1:14">
      <c r="A70" s="107" t="e" vm="240">
        <v>#VALUE!</v>
      </c>
      <c r="B70" s="33">
        <f t="array" aca="1" ref="B70" ca="1">_FV(A70,"Change (%)",TRUE)</f>
        <v>-3.8609999999999998E-3</v>
      </c>
      <c r="C70" s="35">
        <f t="array" aca="1" ref="C70" ca="1">_FV(A70,"Previous close",TRUE)</f>
        <v>440.3</v>
      </c>
      <c r="D70" s="35">
        <f t="array" aca="1" ref="D70" ca="1">_FV(A70,"Price")</f>
        <v>438.6</v>
      </c>
      <c r="E70" s="35">
        <f t="array" aca="1" ref="E70" ca="1">_FV(A70,"Low")</f>
        <v>437.2</v>
      </c>
      <c r="F70" s="35">
        <f t="array" aca="1" ref="F70" ca="1">_FV(A70,"High")</f>
        <v>441.7</v>
      </c>
      <c r="G70" s="35">
        <f t="array" aca="1" ref="G70" ca="1">_FV(A70,"52 week low",TRUE)</f>
        <v>407.8</v>
      </c>
      <c r="H70" s="36">
        <f t="array" aca="1" ref="H70" ca="1">_FV(A70,"52 week high",TRUE)</f>
        <v>627.79999999999995</v>
      </c>
      <c r="I70" s="40">
        <f t="shared" ca="1" si="4"/>
        <v>30.136986301369852</v>
      </c>
      <c r="J70" s="39" t="str">
        <f t="shared" ca="1" si="5"/>
        <v>WATCH</v>
      </c>
      <c r="K70" s="54">
        <f t="shared" ca="1" si="6"/>
        <v>-7.5527219225110365</v>
      </c>
      <c r="L70" s="20">
        <f t="array" aca="1" ref="L70" ca="1">_FV(A70,"Market cap",TRUE)/10000000</f>
        <v>8891.8770000000004</v>
      </c>
      <c r="M70" s="21" t="str">
        <f t="shared" ca="1" si="7"/>
        <v>HSC</v>
      </c>
      <c r="N70" s="37" t="str">
        <f t="array" aca="1" ref="N70" ca="1">_FV(A70,"Industry")</f>
        <v>Food &amp; Tobacco</v>
      </c>
    </row>
    <row r="71" spans="1:14">
      <c r="A71" s="107" t="e" vm="241">
        <v>#VALUE!</v>
      </c>
      <c r="B71" s="33">
        <f t="array" aca="1" ref="B71" ca="1">_FV(A71,"Change (%)",TRUE)</f>
        <v>-9.9089999999999994E-3</v>
      </c>
      <c r="C71" s="35">
        <f t="array" aca="1" ref="C71" ca="1">_FV(A71,"Previous close",TRUE)</f>
        <v>146.33000000000001</v>
      </c>
      <c r="D71" s="35">
        <f t="array" aca="1" ref="D71" ca="1">_FV(A71,"Price")</f>
        <v>144.88</v>
      </c>
      <c r="E71" s="35">
        <f t="array" aca="1" ref="E71" ca="1">_FV(A71,"Low")</f>
        <v>144.49</v>
      </c>
      <c r="F71" s="35">
        <f t="array" aca="1" ref="F71" ca="1">_FV(A71,"High")</f>
        <v>146.62</v>
      </c>
      <c r="G71" s="35">
        <f t="array" aca="1" ref="G71" ca="1">_FV(A71,"52 week low",TRUE)</f>
        <v>128.16</v>
      </c>
      <c r="H71" s="36">
        <f t="array" aca="1" ref="H71" ca="1">_FV(A71,"52 week high",TRUE)</f>
        <v>192.48</v>
      </c>
      <c r="I71" s="40">
        <f t="shared" ca="1" si="4"/>
        <v>24.72984206151288</v>
      </c>
      <c r="J71" s="39" t="str">
        <f t="shared" ca="1" si="5"/>
        <v>FIRST MC BUY</v>
      </c>
      <c r="K71" s="54">
        <f t="shared" ca="1" si="6"/>
        <v>-13.046192259675406</v>
      </c>
      <c r="L71" s="20">
        <f t="array" aca="1" ref="L71" ca="1">_FV(A71,"Market cap",TRUE)/10000000</f>
        <v>23573.35</v>
      </c>
      <c r="M71" s="21" t="str">
        <f t="shared" ca="1" si="7"/>
        <v>MC</v>
      </c>
      <c r="N71" s="37" t="str">
        <f t="array" aca="1" ref="N71" ca="1">_FV(A71,"Industry")</f>
        <v>Banking Services</v>
      </c>
    </row>
    <row r="72" spans="1:14">
      <c r="A72" s="107" t="e" vm="176">
        <v>#VALUE!</v>
      </c>
      <c r="B72" s="33">
        <f t="array" aca="1" ref="B72" ca="1">_FV(A72,"Change (%)",TRUE)</f>
        <v>-8.0879999999999997E-3</v>
      </c>
      <c r="C72" s="35">
        <f t="array" aca="1" ref="C72" ca="1">_FV(A72,"Previous close",TRUE)</f>
        <v>290.55</v>
      </c>
      <c r="D72" s="35">
        <f t="array" aca="1" ref="D72" ca="1">_FV(A72,"Price")</f>
        <v>288.2</v>
      </c>
      <c r="E72" s="35">
        <f t="array" aca="1" ref="E72" ca="1">_FV(A72,"Low")</f>
        <v>287.5</v>
      </c>
      <c r="F72" s="35">
        <f t="array" aca="1" ref="F72" ca="1">_FV(A72,"High")</f>
        <v>291.75</v>
      </c>
      <c r="G72" s="35">
        <f t="array" aca="1" ref="G72" ca="1">_FV(A72,"52 week low",TRUE)</f>
        <v>190.7</v>
      </c>
      <c r="H72" s="36">
        <f t="array" aca="1" ref="H72" ca="1">_FV(A72,"52 week high",TRUE)</f>
        <v>303.95</v>
      </c>
      <c r="I72" s="40">
        <f t="shared" ca="1" si="4"/>
        <v>5.181773317979931</v>
      </c>
      <c r="J72" s="39" t="str">
        <f t="shared" ca="1" si="5"/>
        <v>WATCH</v>
      </c>
      <c r="K72" s="54">
        <f t="shared" ca="1" si="6"/>
        <v>-51.127425275301526</v>
      </c>
      <c r="L72" s="20">
        <f t="array" aca="1" ref="L72" ca="1">_FV(A72,"Market cap",TRUE)/10000000</f>
        <v>150253.9</v>
      </c>
      <c r="M72" s="21" t="str">
        <f t="shared" ca="1" si="7"/>
        <v>LC</v>
      </c>
      <c r="N72" s="37" t="str">
        <f t="array" aca="1" ref="N72" ca="1">_FV(A72,"Industry")</f>
        <v>Banking Services</v>
      </c>
    </row>
    <row r="73" spans="1:14">
      <c r="A73" s="107" t="e" vm="242">
        <v>#VALUE!</v>
      </c>
      <c r="B73" s="33">
        <f t="array" aca="1" ref="B73" ca="1">_FV(A73,"Change (%)",TRUE)</f>
        <v>-7.1539999999999996E-5</v>
      </c>
      <c r="C73" s="35">
        <f t="array" aca="1" ref="C73" ca="1">_FV(A73,"Previous close",TRUE)</f>
        <v>139.78</v>
      </c>
      <c r="D73" s="35">
        <f t="array" aca="1" ref="D73" ca="1">_FV(A73,"Price")</f>
        <v>139.77000000000001</v>
      </c>
      <c r="E73" s="35">
        <f t="array" aca="1" ref="E73" ca="1">_FV(A73,"Low")</f>
        <v>139.15</v>
      </c>
      <c r="F73" s="35">
        <f t="array" aca="1" ref="F73" ca="1">_FV(A73,"High")</f>
        <v>140.68</v>
      </c>
      <c r="G73" s="35">
        <f t="array" aca="1" ref="G73" ca="1">_FV(A73,"52 week low",TRUE)</f>
        <v>90.05</v>
      </c>
      <c r="H73" s="36">
        <f t="array" aca="1" ref="H73" ca="1">_FV(A73,"52 week high",TRUE)</f>
        <v>151.43</v>
      </c>
      <c r="I73" s="40">
        <f t="shared" ca="1" si="4"/>
        <v>7.6999273591758532</v>
      </c>
      <c r="J73" s="39" t="str">
        <f t="shared" ca="1" si="5"/>
        <v>WATCH</v>
      </c>
      <c r="K73" s="54">
        <f t="shared" ca="1" si="6"/>
        <v>-55.213770127706844</v>
      </c>
      <c r="L73" s="20">
        <f t="array" aca="1" ref="L73" ca="1">_FV(A73,"Market cap",TRUE)/10000000</f>
        <v>63632.639999999999</v>
      </c>
      <c r="M73" s="21" t="str">
        <f t="shared" ca="1" si="7"/>
        <v>HMC</v>
      </c>
      <c r="N73" s="37" t="str">
        <f t="array" aca="1" ref="N73" ca="1">_FV(A73,"Industry")</f>
        <v>Banking Services</v>
      </c>
    </row>
    <row r="74" spans="1:14">
      <c r="A74" s="107" t="e" vm="243">
        <v>#VALUE!</v>
      </c>
      <c r="B74" s="33">
        <f t="array" aca="1" ref="B74" ca="1">_FV(A74,"Change (%)",TRUE)</f>
        <v>-4.7149999999999996E-3</v>
      </c>
      <c r="C74" s="35">
        <f t="array" aca="1" ref="C74" ca="1">_FV(A74,"Previous close",TRUE)</f>
        <v>57.26</v>
      </c>
      <c r="D74" s="35">
        <f t="array" aca="1" ref="D74" ca="1">_FV(A74,"Price")</f>
        <v>56.99</v>
      </c>
      <c r="E74" s="35">
        <f t="array" aca="1" ref="E74" ca="1">_FV(A74,"Low")</f>
        <v>56.89</v>
      </c>
      <c r="F74" s="35">
        <f t="array" aca="1" ref="F74" ca="1">_FV(A74,"High")</f>
        <v>57.65</v>
      </c>
      <c r="G74" s="35">
        <f t="array" aca="1" ref="G74" ca="1">_FV(A74,"52 week low",TRUE)</f>
        <v>42</v>
      </c>
      <c r="H74" s="36">
        <f t="array" aca="1" ref="H74" ca="1">_FV(A74,"52 week high",TRUE)</f>
        <v>61.56</v>
      </c>
      <c r="I74" s="40">
        <f t="shared" ca="1" si="4"/>
        <v>7.4236517218973352</v>
      </c>
      <c r="J74" s="39" t="str">
        <f t="shared" ca="1" si="5"/>
        <v>WATCH</v>
      </c>
      <c r="K74" s="54">
        <f t="shared" ca="1" si="6"/>
        <v>-35.690476190476197</v>
      </c>
      <c r="L74" s="20">
        <f t="array" aca="1" ref="L74" ca="1">_FV(A74,"Market cap",TRUE)/10000000</f>
        <v>44041.84</v>
      </c>
      <c r="M74" s="21" t="str">
        <f t="shared" ca="1" si="7"/>
        <v>HMC</v>
      </c>
      <c r="N74" s="37" t="str">
        <f t="array" aca="1" ref="N74" ca="1">_FV(A74,"Industry")</f>
        <v>Banking Services</v>
      </c>
    </row>
    <row r="75" spans="1:14">
      <c r="A75" s="107" t="e" vm="244">
        <v>#VALUE!</v>
      </c>
      <c r="B75" s="33">
        <f t="array" aca="1" ref="B75" ca="1">_FV(A75,"Change (%)",TRUE)</f>
        <v>1.106E-3</v>
      </c>
      <c r="C75" s="35">
        <f t="array" aca="1" ref="C75" ca="1">_FV(A75,"Previous close",TRUE)</f>
        <v>949.6</v>
      </c>
      <c r="D75" s="35">
        <f t="array" aca="1" ref="D75" ca="1">_FV(A75,"Price")</f>
        <v>950.65</v>
      </c>
      <c r="E75" s="35">
        <f t="array" aca="1" ref="E75" ca="1">_FV(A75,"Low")</f>
        <v>944.1</v>
      </c>
      <c r="F75" s="35">
        <f t="array" aca="1" ref="F75" ca="1">_FV(A75,"High")</f>
        <v>952.2</v>
      </c>
      <c r="G75" s="35">
        <f t="array" aca="1" ref="G75" ca="1">_FV(A75,"52 week low",TRUE)</f>
        <v>931.1</v>
      </c>
      <c r="H75" s="36">
        <f t="array" aca="1" ref="H75" ca="1">_FV(A75,"52 week high",TRUE)</f>
        <v>1479</v>
      </c>
      <c r="I75" s="40">
        <f t="shared" ca="1" si="4"/>
        <v>35.72346179851251</v>
      </c>
      <c r="J75" s="39" t="str">
        <f t="shared" ca="1" si="5"/>
        <v>MC BUY</v>
      </c>
      <c r="K75" s="54">
        <f t="shared" ca="1" si="6"/>
        <v>-2.0996670604661105</v>
      </c>
      <c r="L75" s="20">
        <f t="array" aca="1" ref="L75" ca="1">_FV(A75,"Market cap",TRUE)/10000000</f>
        <v>12218.47</v>
      </c>
      <c r="M75" s="21" t="str">
        <f t="shared" ca="1" si="7"/>
        <v>MC</v>
      </c>
      <c r="N75" s="37" t="str">
        <f t="array" aca="1" ref="N75" ca="1">_FV(A75,"Industry")</f>
        <v>Textiles &amp; Apparel</v>
      </c>
    </row>
    <row r="76" spans="1:14">
      <c r="A76" s="107" t="e" vm="245">
        <v>#VALUE!</v>
      </c>
      <c r="B76" s="33">
        <f t="array" aca="1" ref="B76" ca="1">_FV(A76,"Change (%)",TRUE)</f>
        <v>5.2569999999999995E-3</v>
      </c>
      <c r="C76" s="35">
        <f t="array" aca="1" ref="C76" ca="1">_FV(A76,"Previous close",TRUE)</f>
        <v>4526.8999999999996</v>
      </c>
      <c r="D76" s="35">
        <f t="array" aca="1" ref="D76" ca="1">_FV(A76,"Price")</f>
        <v>4550.7</v>
      </c>
      <c r="E76" s="35">
        <f t="array" aca="1" ref="E76" ca="1">_FV(A76,"Low")</f>
        <v>4390</v>
      </c>
      <c r="F76" s="35">
        <f t="array" aca="1" ref="F76" ca="1">_FV(A76,"High")</f>
        <v>4562</v>
      </c>
      <c r="G76" s="35">
        <f t="array" aca="1" ref="G76" ca="1">_FV(A76,"52 week low",TRUE)</f>
        <v>4217.45</v>
      </c>
      <c r="H76" s="36">
        <f t="array" aca="1" ref="H76" ca="1">_FV(A76,"52 week high",TRUE)</f>
        <v>6511</v>
      </c>
      <c r="I76" s="40">
        <f t="shared" ca="1" si="4"/>
        <v>30.107510367071114</v>
      </c>
      <c r="J76" s="39" t="str">
        <f t="shared" ca="1" si="5"/>
        <v>MC BUY</v>
      </c>
      <c r="K76" s="54">
        <f t="shared" ca="1" si="6"/>
        <v>-7.9016941516793322</v>
      </c>
      <c r="L76" s="20">
        <f t="array" aca="1" ref="L76" ca="1">_FV(A76,"Market cap",TRUE)/10000000</f>
        <v>20451.8</v>
      </c>
      <c r="M76" s="21" t="str">
        <f t="shared" ca="1" si="7"/>
        <v>MC</v>
      </c>
      <c r="N76" s="37" t="str">
        <f t="array" aca="1" ref="N76" ca="1">_FV(A76,"Industry")</f>
        <v>Chemicals</v>
      </c>
    </row>
    <row r="77" spans="1:14">
      <c r="A77" s="107" t="e" vm="21">
        <v>#VALUE!</v>
      </c>
      <c r="B77" s="33">
        <f t="array" aca="1" ref="B77" ca="1">_FV(A77,"Change (%)",TRUE)</f>
        <v>-2.3597E-2</v>
      </c>
      <c r="C77" s="35">
        <f t="array" aca="1" ref="C77" ca="1">_FV(A77,"Previous close",TRUE)</f>
        <v>555.15</v>
      </c>
      <c r="D77" s="35">
        <f t="array" aca="1" ref="D77" ca="1">_FV(A77,"Price")</f>
        <v>542.04999999999995</v>
      </c>
      <c r="E77" s="35">
        <f t="array" aca="1" ref="E77" ca="1">_FV(A77,"Low")</f>
        <v>540</v>
      </c>
      <c r="F77" s="35">
        <f t="array" aca="1" ref="F77" ca="1">_FV(A77,"High")</f>
        <v>558.54999999999995</v>
      </c>
      <c r="G77" s="35">
        <f t="array" aca="1" ref="G77" ca="1">_FV(A77,"52 week low",TRUE)</f>
        <v>437.75</v>
      </c>
      <c r="H77" s="36">
        <f t="array" aca="1" ref="H77" ca="1">_FV(A77,"52 week high",TRUE)</f>
        <v>605</v>
      </c>
      <c r="I77" s="40">
        <f t="shared" ca="1" si="4"/>
        <v>10.404958677685958</v>
      </c>
      <c r="J77" s="39" t="str">
        <f t="shared" ca="1" si="5"/>
        <v>WATCH</v>
      </c>
      <c r="K77" s="54">
        <f t="shared" ca="1" si="6"/>
        <v>-23.826384922901191</v>
      </c>
      <c r="L77" s="20">
        <f t="array" aca="1" ref="L77" ca="1">_FV(A77,"Market cap",TRUE)/10000000</f>
        <v>64724.65</v>
      </c>
      <c r="M77" s="21" t="str">
        <f t="shared" ca="1" si="7"/>
        <v>HMC</v>
      </c>
      <c r="N77" s="37" t="str">
        <f t="array" aca="1" ref="N77" ca="1">_FV(A77,"Industry")</f>
        <v>Chemicals</v>
      </c>
    </row>
    <row r="78" spans="1:14">
      <c r="A78" s="107" t="e" vm="19">
        <v>#VALUE!</v>
      </c>
      <c r="B78" s="33">
        <f t="array" aca="1" ref="B78" ca="1">_FV(A78,"Change (%)",TRUE)</f>
        <v>-2.2279999999999999E-3</v>
      </c>
      <c r="C78" s="35">
        <f t="array" aca="1" ref="C78" ca="1">_FV(A78,"Previous close",TRUE)</f>
        <v>1481.2</v>
      </c>
      <c r="D78" s="35">
        <f t="array" aca="1" ref="D78" ca="1">_FV(A78,"Price")</f>
        <v>1477.9</v>
      </c>
      <c r="E78" s="35">
        <f t="array" aca="1" ref="E78" ca="1">_FV(A78,"Low")</f>
        <v>1474</v>
      </c>
      <c r="F78" s="35">
        <f t="array" aca="1" ref="F78" ca="1">_FV(A78,"High")</f>
        <v>1517.7</v>
      </c>
      <c r="G78" s="35">
        <f t="array" aca="1" ref="G78" ca="1">_FV(A78,"52 week low",TRUE)</f>
        <v>907</v>
      </c>
      <c r="H78" s="36">
        <f t="array" aca="1" ref="H78" ca="1">_FV(A78,"52 week high",TRUE)</f>
        <v>2096.6</v>
      </c>
      <c r="I78" s="40">
        <f t="shared" ca="1" si="4"/>
        <v>29.509682342840783</v>
      </c>
      <c r="J78" s="39" t="str">
        <f t="shared" ca="1" si="5"/>
        <v>HMC BUY</v>
      </c>
      <c r="K78" s="54">
        <f t="shared" ca="1" si="6"/>
        <v>-62.943770672546869</v>
      </c>
      <c r="L78" s="20">
        <f t="array" aca="1" ref="L78" ca="1">_FV(A78,"Market cap",TRUE)/10000000</f>
        <v>54295.24</v>
      </c>
      <c r="M78" s="21" t="str">
        <f t="shared" ca="1" si="7"/>
        <v>HMC</v>
      </c>
      <c r="N78" s="37" t="str">
        <f t="array" aca="1" ref="N78" ca="1">_FV(A78,"Industry")</f>
        <v>Aerospace &amp; Defense</v>
      </c>
    </row>
    <row r="79" spans="1:14">
      <c r="A79" s="107" t="e" vm="152">
        <v>#VALUE!</v>
      </c>
      <c r="B79" s="33">
        <f t="array" aca="1" ref="B79" ca="1">_FV(A79,"Change (%)",TRUE)</f>
        <v>-3.875E-3</v>
      </c>
      <c r="C79" s="35">
        <f t="array" aca="1" ref="C79" ca="1">_FV(A79,"Previous close",TRUE)</f>
        <v>400</v>
      </c>
      <c r="D79" s="35">
        <f t="array" aca="1" ref="D79" ca="1">_FV(A79,"Price")</f>
        <v>398.45</v>
      </c>
      <c r="E79" s="35">
        <f t="array" aca="1" ref="E79" ca="1">_FV(A79,"Low")</f>
        <v>397.15</v>
      </c>
      <c r="F79" s="35">
        <f t="array" aca="1" ref="F79" ca="1">_FV(A79,"High")</f>
        <v>407.55</v>
      </c>
      <c r="G79" s="35">
        <f t="array" aca="1" ref="G79" ca="1">_FV(A79,"52 week low",TRUE)</f>
        <v>240.25</v>
      </c>
      <c r="H79" s="36">
        <f t="array" aca="1" ref="H79" ca="1">_FV(A79,"52 week high",TRUE)</f>
        <v>436</v>
      </c>
      <c r="I79" s="40">
        <f t="shared" ca="1" si="4"/>
        <v>8.6123853211009198</v>
      </c>
      <c r="J79" s="39" t="str">
        <f t="shared" ca="1" si="5"/>
        <v>WATCH</v>
      </c>
      <c r="K79" s="54">
        <f t="shared" ca="1" si="6"/>
        <v>-65.848074921956282</v>
      </c>
      <c r="L79" s="20">
        <f t="array" aca="1" ref="L79" ca="1">_FV(A79,"Market cap",TRUE)/10000000</f>
        <v>292391.2</v>
      </c>
      <c r="M79" s="21" t="str">
        <f t="shared" ca="1" si="7"/>
        <v>LC</v>
      </c>
      <c r="N79" s="37" t="str">
        <f t="array" aca="1" ref="N79" ca="1">_FV(A79,"Industry")</f>
        <v>Aerospace &amp; Defense</v>
      </c>
    </row>
    <row r="80" spans="1:14">
      <c r="A80" s="107" t="e" vm="22">
        <v>#VALUE!</v>
      </c>
      <c r="B80" s="33">
        <f t="array" aca="1" ref="B80" ca="1">_FV(A80,"Change (%)",TRUE)</f>
        <v>-4.6189999999999998E-3</v>
      </c>
      <c r="C80" s="35">
        <f t="array" aca="1" ref="C80" ca="1">_FV(A80,"Previous close",TRUE)</f>
        <v>1450.5</v>
      </c>
      <c r="D80" s="35">
        <f t="array" aca="1" ref="D80" ca="1">_FV(A80,"Price")</f>
        <v>1443.8</v>
      </c>
      <c r="E80" s="35">
        <f t="array" aca="1" ref="E80" ca="1">_FV(A80,"Low")</f>
        <v>1438</v>
      </c>
      <c r="F80" s="35">
        <f t="array" aca="1" ref="F80" ca="1">_FV(A80,"High")</f>
        <v>1460</v>
      </c>
      <c r="G80" s="35">
        <f t="array" aca="1" ref="G80" ca="1">_FV(A80,"52 week low",TRUE)</f>
        <v>919.1</v>
      </c>
      <c r="H80" s="36">
        <f t="array" aca="1" ref="H80" ca="1">_FV(A80,"52 week high",TRUE)</f>
        <v>1470.6</v>
      </c>
      <c r="I80" s="40">
        <f t="shared" ca="1" si="4"/>
        <v>1.8223854209166297</v>
      </c>
      <c r="J80" s="39" t="str">
        <f t="shared" ca="1" si="5"/>
        <v>WATCH</v>
      </c>
      <c r="K80" s="54">
        <f t="shared" ca="1" si="6"/>
        <v>-57.088456098357078</v>
      </c>
      <c r="L80" s="20">
        <f t="array" aca="1" ref="L80" ca="1">_FV(A80,"Market cap",TRUE)/10000000</f>
        <v>69346.759999999995</v>
      </c>
      <c r="M80" s="21" t="str">
        <f t="shared" ca="1" si="7"/>
        <v>HMC</v>
      </c>
      <c r="N80" s="37" t="str">
        <f t="array" aca="1" ref="N80" ca="1">_FV(A80,"Industry")</f>
        <v>Metals &amp; Mining</v>
      </c>
    </row>
    <row r="81" spans="1:14">
      <c r="A81" s="107" t="e" vm="24">
        <v>#VALUE!</v>
      </c>
      <c r="B81" s="33">
        <f t="array" aca="1" ref="B81" ca="1">_FV(A81,"Change (%)",TRUE)</f>
        <v>1.1861999999999999E-2</v>
      </c>
      <c r="C81" s="35">
        <f t="array" aca="1" ref="C81" ca="1">_FV(A81,"Previous close",TRUE)</f>
        <v>278.2</v>
      </c>
      <c r="D81" s="35">
        <f t="array" aca="1" ref="D81" ca="1">_FV(A81,"Price")</f>
        <v>281.5</v>
      </c>
      <c r="E81" s="35">
        <f t="array" aca="1" ref="E81" ca="1">_FV(A81,"Low")</f>
        <v>277.05</v>
      </c>
      <c r="F81" s="35">
        <f t="array" aca="1" ref="F81" ca="1">_FV(A81,"High")</f>
        <v>285.60000000000002</v>
      </c>
      <c r="G81" s="35">
        <f t="array" aca="1" ref="G81" ca="1">_FV(A81,"52 week low",TRUE)</f>
        <v>176</v>
      </c>
      <c r="H81" s="36">
        <f t="array" aca="1" ref="H81" ca="1">_FV(A81,"52 week high",TRUE)</f>
        <v>295.25</v>
      </c>
      <c r="I81" s="40">
        <f t="shared" ca="1" si="4"/>
        <v>4.6570702794242171</v>
      </c>
      <c r="J81" s="39" t="str">
        <f t="shared" ca="1" si="5"/>
        <v>WATCH</v>
      </c>
      <c r="K81" s="54">
        <f t="shared" ca="1" si="6"/>
        <v>-59.94318181818182</v>
      </c>
      <c r="L81" s="20">
        <f t="array" aca="1" ref="L81" ca="1">_FV(A81,"Market cap",TRUE)/10000000</f>
        <v>98020.08</v>
      </c>
      <c r="M81" s="21" t="str">
        <f t="shared" ca="1" si="7"/>
        <v>HMC</v>
      </c>
      <c r="N81" s="37" t="str">
        <f t="array" aca="1" ref="N81" ca="1">_FV(A81,"Industry")</f>
        <v>Machinery, Equipment &amp; Components</v>
      </c>
    </row>
    <row r="82" spans="1:14">
      <c r="A82" s="107" t="e" vm="169">
        <v>#VALUE!</v>
      </c>
      <c r="B82" s="33">
        <f t="array" aca="1" ref="B82" ca="1">_FV(A82,"Change (%)",TRUE)</f>
        <v>2.7329999999999998E-4</v>
      </c>
      <c r="C82" s="35">
        <f t="array" aca="1" ref="C82" ca="1">_FV(A82,"Previous close",TRUE)</f>
        <v>365.9</v>
      </c>
      <c r="D82" s="35">
        <f t="array" aca="1" ref="D82" ca="1">_FV(A82,"Price")</f>
        <v>366</v>
      </c>
      <c r="E82" s="35">
        <f t="array" aca="1" ref="E82" ca="1">_FV(A82,"Low")</f>
        <v>361.7</v>
      </c>
      <c r="F82" s="35">
        <f t="array" aca="1" ref="F82" ca="1">_FV(A82,"High")</f>
        <v>368.2</v>
      </c>
      <c r="G82" s="35">
        <f t="array" aca="1" ref="G82" ca="1">_FV(A82,"52 week low",TRUE)</f>
        <v>234.01</v>
      </c>
      <c r="H82" s="36">
        <f t="array" aca="1" ref="H82" ca="1">_FV(A82,"52 week high",TRUE)</f>
        <v>381.55</v>
      </c>
      <c r="I82" s="40">
        <f t="shared" ca="1" si="4"/>
        <v>4.0754815882584223</v>
      </c>
      <c r="J82" s="39" t="str">
        <f t="shared" ca="1" si="5"/>
        <v>WATCH</v>
      </c>
      <c r="K82" s="54">
        <f t="shared" ca="1" si="6"/>
        <v>-56.403572496901845</v>
      </c>
      <c r="L82" s="20">
        <f t="array" aca="1" ref="L82" ca="1">_FV(A82,"Market cap",TRUE)/10000000</f>
        <v>158789.29999999999</v>
      </c>
      <c r="M82" s="21" t="str">
        <f t="shared" ca="1" si="7"/>
        <v>LC</v>
      </c>
      <c r="N82" s="37" t="str">
        <f t="array" aca="1" ref="N82" ca="1">_FV(A82,"Industry")</f>
        <v>Oil &amp; Gas</v>
      </c>
    </row>
    <row r="83" spans="1:14">
      <c r="A83" s="107" t="e" vm="23">
        <v>#VALUE!</v>
      </c>
      <c r="B83" s="33">
        <f t="array" aca="1" ref="B83" ca="1">_FV(A83,"Change (%)",TRUE)</f>
        <v>-8.6169999999999997E-3</v>
      </c>
      <c r="C83" s="35">
        <f t="array" aca="1" ref="C83" ca="1">_FV(A83,"Previous close",TRUE)</f>
        <v>2123.6999999999998</v>
      </c>
      <c r="D83" s="35">
        <f t="array" aca="1" ref="D83" ca="1">_FV(A83,"Price")</f>
        <v>2105.4</v>
      </c>
      <c r="E83" s="35">
        <f t="array" aca="1" ref="E83" ca="1">_FV(A83,"Low")</f>
        <v>2101.8000000000002</v>
      </c>
      <c r="F83" s="35">
        <f t="array" aca="1" ref="F83" ca="1">_FV(A83,"High")</f>
        <v>2123</v>
      </c>
      <c r="G83" s="35">
        <f t="array" aca="1" ref="G83" ca="1">_FV(A83,"52 week low",TRUE)</f>
        <v>1559.5</v>
      </c>
      <c r="H83" s="36">
        <f t="array" aca="1" ref="H83" ca="1">_FV(A83,"52 week high",TRUE)</f>
        <v>2174.5</v>
      </c>
      <c r="I83" s="40">
        <f t="shared" ca="1" si="4"/>
        <v>3.1777420096573885</v>
      </c>
      <c r="J83" s="39" t="str">
        <f t="shared" ca="1" si="5"/>
        <v>WATCH</v>
      </c>
      <c r="K83" s="54">
        <f t="shared" ca="1" si="6"/>
        <v>-35.004809233728764</v>
      </c>
      <c r="L83" s="20">
        <f t="array" aca="1" ref="L83" ca="1">_FV(A83,"Market cap",TRUE)/10000000</f>
        <v>1277086</v>
      </c>
      <c r="M83" s="21" t="str">
        <f t="shared" ca="1" si="7"/>
        <v>HLC</v>
      </c>
      <c r="N83" s="37" t="str">
        <f t="array" aca="1" ref="N83" ca="1">_FV(A83,"Industry")</f>
        <v>Telecommunications Services</v>
      </c>
    </row>
    <row r="84" spans="1:14">
      <c r="A84" s="107" t="e" vm="246">
        <v>#VALUE!</v>
      </c>
      <c r="B84" s="33">
        <f t="array" aca="1" ref="B84" ca="1">_FV(A84,"Change (%)",TRUE)</f>
        <v>6.3309999999999998E-3</v>
      </c>
      <c r="C84" s="35">
        <f t="array" aca="1" ref="C84" ca="1">_FV(A84,"Previous close",TRUE)</f>
        <v>1816.5</v>
      </c>
      <c r="D84" s="35">
        <f t="array" aca="1" ref="D84" ca="1">_FV(A84,"Price")</f>
        <v>1828</v>
      </c>
      <c r="E84" s="35">
        <f t="array" aca="1" ref="E84" ca="1">_FV(A84,"Low")</f>
        <v>1791.2</v>
      </c>
      <c r="F84" s="35">
        <f t="array" aca="1" ref="F84" ca="1">_FV(A84,"High")</f>
        <v>1832</v>
      </c>
      <c r="G84" s="35">
        <f t="array" aca="1" ref="G84" ca="1">_FV(A84,"52 week low",TRUE)</f>
        <v>1234</v>
      </c>
      <c r="H84" s="36">
        <f t="array" aca="1" ref="H84" ca="1">_FV(A84,"52 week high",TRUE)</f>
        <v>2052.9</v>
      </c>
      <c r="I84" s="40">
        <f t="shared" ca="1" si="4"/>
        <v>10.95523405913586</v>
      </c>
      <c r="J84" s="39" t="str">
        <f t="shared" ca="1" si="5"/>
        <v>WATCH</v>
      </c>
      <c r="K84" s="54">
        <f t="shared" ca="1" si="6"/>
        <v>-48.136142625607782</v>
      </c>
      <c r="L84" s="20">
        <f t="array" aca="1" ref="L84" ca="1">_FV(A84,"Market cap",TRUE)/10000000</f>
        <v>90825</v>
      </c>
      <c r="M84" s="21" t="str">
        <f t="shared" ca="1" si="7"/>
        <v>HMC</v>
      </c>
      <c r="N84" s="37" t="str">
        <f t="array" aca="1" ref="N84" ca="1">_FV(A84,"Industry")</f>
        <v>Telecommunications Services</v>
      </c>
    </row>
    <row r="85" spans="1:14">
      <c r="A85" s="107" t="e" vm="247">
        <v>#VALUE!</v>
      </c>
      <c r="B85" s="33">
        <f t="array" aca="1" ref="B85" ca="1">_FV(A85,"Change (%)",TRUE)</f>
        <v>1.0518000000000001E-2</v>
      </c>
      <c r="C85" s="35">
        <f t="array" aca="1" ref="C85" ca="1">_FV(A85,"Previous close",TRUE)</f>
        <v>741.6</v>
      </c>
      <c r="D85" s="35">
        <f t="array" aca="1" ref="D85" ca="1">_FV(A85,"Price")</f>
        <v>749.4</v>
      </c>
      <c r="E85" s="35">
        <f t="array" aca="1" ref="E85" ca="1">_FV(A85,"Low")</f>
        <v>735</v>
      </c>
      <c r="F85" s="35">
        <f t="array" aca="1" ref="F85" ca="1">_FV(A85,"High")</f>
        <v>750.9</v>
      </c>
      <c r="G85" s="35">
        <f t="array" aca="1" ref="G85" ca="1">_FV(A85,"52 week low",TRUE)</f>
        <v>558.79999999999995</v>
      </c>
      <c r="H85" s="36">
        <f t="array" aca="1" ref="H85" ca="1">_FV(A85,"52 week high",TRUE)</f>
        <v>818.7</v>
      </c>
      <c r="I85" s="40">
        <f t="shared" ca="1" si="4"/>
        <v>8.4646390619274552</v>
      </c>
      <c r="J85" s="39" t="str">
        <f t="shared" ca="1" si="5"/>
        <v>WATCH</v>
      </c>
      <c r="K85" s="54">
        <f t="shared" ca="1" si="6"/>
        <v>-34.108804581245536</v>
      </c>
      <c r="L85" s="20">
        <f t="array" aca="1" ref="L85" ca="1">_FV(A85,"Market cap",TRUE)/10000000</f>
        <v>18779.419999999998</v>
      </c>
      <c r="M85" s="21" t="str">
        <f t="shared" ca="1" si="7"/>
        <v>MC</v>
      </c>
      <c r="N85" s="37" t="str">
        <f t="array" aca="1" ref="N85" ca="1">_FV(A85,"Industry")</f>
        <v>Food &amp; Tobacco</v>
      </c>
    </row>
    <row r="86" spans="1:14">
      <c r="A86" s="107" t="e" vm="248">
        <v>#VALUE!</v>
      </c>
      <c r="B86" s="33">
        <f t="array" aca="1" ref="B86" ca="1">_FV(A86,"Change (%)",TRUE)</f>
        <v>-7.28E-3</v>
      </c>
      <c r="C86" s="35">
        <f t="array" aca="1" ref="C86" ca="1">_FV(A86,"Previous close",TRUE)</f>
        <v>398.35</v>
      </c>
      <c r="D86" s="35">
        <f t="array" aca="1" ref="D86" ca="1">_FV(A86,"Price")</f>
        <v>395.45</v>
      </c>
      <c r="E86" s="35">
        <f t="array" aca="1" ref="E86" ca="1">_FV(A86,"Low")</f>
        <v>394.05</v>
      </c>
      <c r="F86" s="35">
        <f t="array" aca="1" ref="F86" ca="1">_FV(A86,"High")</f>
        <v>401.2</v>
      </c>
      <c r="G86" s="35">
        <f t="array" aca="1" ref="G86" ca="1">_FV(A86,"52 week low",TRUE)</f>
        <v>291</v>
      </c>
      <c r="H86" s="36">
        <f t="array" aca="1" ref="H86" ca="1">_FV(A86,"52 week high",TRUE)</f>
        <v>424.95</v>
      </c>
      <c r="I86" s="40">
        <f t="shared" ca="1" si="4"/>
        <v>6.9419931756677258</v>
      </c>
      <c r="J86" s="39" t="str">
        <f t="shared" ca="1" si="5"/>
        <v>WATCH</v>
      </c>
      <c r="K86" s="54">
        <f t="shared" ca="1" si="6"/>
        <v>-35.893470790378004</v>
      </c>
      <c r="L86" s="20">
        <f t="array" aca="1" ref="L86" ca="1">_FV(A86,"Market cap",TRUE)/10000000</f>
        <v>53182.75</v>
      </c>
      <c r="M86" s="21" t="str">
        <f t="shared" ca="1" si="7"/>
        <v>HMC</v>
      </c>
      <c r="N86" s="37" t="str">
        <f t="array" aca="1" ref="N86" ca="1">_FV(A86,"Industry")</f>
        <v>Biotechnology &amp; Medical Research</v>
      </c>
    </row>
    <row r="87" spans="1:14">
      <c r="A87" s="107" t="e" vm="249">
        <v>#VALUE!</v>
      </c>
      <c r="B87" s="33">
        <f t="array" aca="1" ref="B87" ca="1">_FV(A87,"Change (%)",TRUE)</f>
        <v>-1.446E-3</v>
      </c>
      <c r="C87" s="35">
        <f t="array" aca="1" ref="C87" ca="1">_FV(A87,"Previous close",TRUE)</f>
        <v>449.4</v>
      </c>
      <c r="D87" s="35">
        <f t="array" aca="1" ref="D87" ca="1">_FV(A87,"Price")</f>
        <v>448.75</v>
      </c>
      <c r="E87" s="35">
        <f t="array" aca="1" ref="E87" ca="1">_FV(A87,"Low")</f>
        <v>447.15</v>
      </c>
      <c r="F87" s="35">
        <f t="array" aca="1" ref="F87" ca="1">_FV(A87,"High")</f>
        <v>457.5</v>
      </c>
      <c r="G87" s="35">
        <f t="array" aca="1" ref="G87" ca="1">_FV(A87,"52 week low",TRUE)</f>
        <v>331</v>
      </c>
      <c r="H87" s="36">
        <f t="array" aca="1" ref="H87" ca="1">_FV(A87,"52 week high",TRUE)</f>
        <v>586.25</v>
      </c>
      <c r="I87" s="40">
        <f t="shared" ca="1" si="4"/>
        <v>23.454157782515992</v>
      </c>
      <c r="J87" s="39" t="str">
        <f t="shared" ca="1" si="5"/>
        <v>FIRST MC BUY</v>
      </c>
      <c r="K87" s="54">
        <f t="shared" ca="1" si="6"/>
        <v>-35.57401812688822</v>
      </c>
      <c r="L87" s="20">
        <f t="array" aca="1" ref="L87" ca="1">_FV(A87,"Market cap",TRUE)/10000000</f>
        <v>12523.44</v>
      </c>
      <c r="M87" s="21" t="str">
        <f t="shared" ca="1" si="7"/>
        <v>MC</v>
      </c>
      <c r="N87" s="37" t="str">
        <f t="array" aca="1" ref="N87" ca="1">_FV(A87,"Industry")</f>
        <v>Software &amp; IT Services</v>
      </c>
    </row>
    <row r="88" spans="1:14">
      <c r="A88" s="107" t="e" vm="250">
        <v>#VALUE!</v>
      </c>
      <c r="B88" s="33">
        <f t="array" aca="1" ref="B88" ca="1">_FV(A88,"Change (%)",TRUE)</f>
        <v>5.5150000000000002E-4</v>
      </c>
      <c r="C88" s="35">
        <f t="array" aca="1" ref="C88" ca="1">_FV(A88,"Previous close",TRUE)</f>
        <v>5440</v>
      </c>
      <c r="D88" s="35">
        <f t="array" aca="1" ref="D88" ca="1">_FV(A88,"Price")</f>
        <v>5443</v>
      </c>
      <c r="E88" s="35">
        <f t="array" aca="1" ref="E88" ca="1">_FV(A88,"Low")</f>
        <v>5410</v>
      </c>
      <c r="F88" s="35">
        <f t="array" aca="1" ref="F88" ca="1">_FV(A88,"High")</f>
        <v>5499</v>
      </c>
      <c r="G88" s="35">
        <f t="array" aca="1" ref="G88" ca="1">_FV(A88,"52 week low",TRUE)</f>
        <v>5242.5</v>
      </c>
      <c r="H88" s="36">
        <f t="array" aca="1" ref="H88" ca="1">_FV(A88,"52 week high",TRUE)</f>
        <v>7725</v>
      </c>
      <c r="I88" s="40">
        <f t="shared" ca="1" si="4"/>
        <v>29.540453074433657</v>
      </c>
      <c r="J88" s="39" t="str">
        <f t="shared" ca="1" si="5"/>
        <v>FIRST MC BUY</v>
      </c>
      <c r="K88" s="54">
        <f t="shared" ca="1" si="6"/>
        <v>-3.8245112064854556</v>
      </c>
      <c r="L88" s="20">
        <f t="array" aca="1" ref="L88" ca="1">_FV(A88,"Market cap",TRUE)/10000000</f>
        <v>12908</v>
      </c>
      <c r="M88" s="21" t="str">
        <f t="shared" ca="1" si="7"/>
        <v>MC</v>
      </c>
      <c r="N88" s="37" t="str">
        <f t="array" aca="1" ref="N88" ca="1">_FV(A88,"Industry")</f>
        <v>Freight &amp; Logistics Services</v>
      </c>
    </row>
    <row r="89" spans="1:14">
      <c r="A89" s="107" t="e" vm="251">
        <v>#VALUE!</v>
      </c>
      <c r="B89" s="33">
        <f t="array" aca="1" ref="B89" ca="1">_FV(A89,"Change (%)",TRUE)</f>
        <v>-1.7455999999999999E-2</v>
      </c>
      <c r="C89" s="35">
        <f t="array" aca="1" ref="C89" ca="1">_FV(A89,"Previous close",TRUE)</f>
        <v>538.5</v>
      </c>
      <c r="D89" s="35">
        <f t="array" aca="1" ref="D89" ca="1">_FV(A89,"Price")</f>
        <v>529.1</v>
      </c>
      <c r="E89" s="35">
        <f t="array" aca="1" ref="E89" ca="1">_FV(A89,"Low")</f>
        <v>528</v>
      </c>
      <c r="F89" s="35">
        <f t="array" aca="1" ref="F89" ca="1">_FV(A89,"High")</f>
        <v>539.65</v>
      </c>
      <c r="G89" s="35">
        <f t="array" aca="1" ref="G89" ca="1">_FV(A89,"52 week low",TRUE)</f>
        <v>512.4</v>
      </c>
      <c r="H89" s="36">
        <f t="array" aca="1" ref="H89" ca="1">_FV(A89,"52 week high",TRUE)</f>
        <v>1027.8</v>
      </c>
      <c r="I89" s="40">
        <f t="shared" ca="1" si="4"/>
        <v>48.521113057014979</v>
      </c>
      <c r="J89" s="39" t="str">
        <f t="shared" ca="1" si="5"/>
        <v>FIRST HSC BUY</v>
      </c>
      <c r="K89" s="54">
        <f t="shared" ca="1" si="6"/>
        <v>-3.2591725214676126</v>
      </c>
      <c r="L89" s="20">
        <f t="array" aca="1" ref="L89" ca="1">_FV(A89,"Market cap",TRUE)/10000000</f>
        <v>9178.0550000000003</v>
      </c>
      <c r="M89" s="21" t="str">
        <f t="shared" ca="1" si="7"/>
        <v>HSC</v>
      </c>
      <c r="N89" s="37" t="str">
        <f t="array" aca="1" ref="N89" ca="1">_FV(A89,"Industry")</f>
        <v>Pharmaceuticals</v>
      </c>
    </row>
    <row r="90" spans="1:14">
      <c r="A90" s="107" t="e" vm="252">
        <v>#VALUE!</v>
      </c>
      <c r="B90" s="33">
        <f t="array" aca="1" ref="B90" ca="1">_FV(A90,"Change (%)",TRUE)</f>
        <v>-7.5949999999999993E-3</v>
      </c>
      <c r="C90" s="35">
        <f t="array" aca="1" ref="C90" ca="1">_FV(A90,"Previous close",TRUE)</f>
        <v>1777.4</v>
      </c>
      <c r="D90" s="35">
        <f t="array" aca="1" ref="D90" ca="1">_FV(A90,"Price")</f>
        <v>1763.9</v>
      </c>
      <c r="E90" s="35">
        <f t="array" aca="1" ref="E90" ca="1">_FV(A90,"Low")</f>
        <v>1759.5</v>
      </c>
      <c r="F90" s="35">
        <f t="array" aca="1" ref="F90" ca="1">_FV(A90,"High")</f>
        <v>1797.2</v>
      </c>
      <c r="G90" s="35">
        <f t="array" aca="1" ref="G90" ca="1">_FV(A90,"52 week low",TRUE)</f>
        <v>1521</v>
      </c>
      <c r="H90" s="36">
        <f t="array" aca="1" ref="H90" ca="1">_FV(A90,"52 week high",TRUE)</f>
        <v>2417</v>
      </c>
      <c r="I90" s="40">
        <f t="shared" ca="1" si="4"/>
        <v>27.021100537856846</v>
      </c>
      <c r="J90" s="39" t="str">
        <f t="shared" ca="1" si="5"/>
        <v>FIRST MC BUY</v>
      </c>
      <c r="K90" s="54">
        <f t="shared" ca="1" si="6"/>
        <v>-15.969756738987513</v>
      </c>
      <c r="L90" s="20">
        <f t="array" aca="1" ref="L90" ca="1">_FV(A90,"Market cap",TRUE)/10000000</f>
        <v>36541.53</v>
      </c>
      <c r="M90" s="21" t="str">
        <f t="shared" ca="1" si="7"/>
        <v>MC</v>
      </c>
      <c r="N90" s="37" t="str">
        <f t="array" aca="1" ref="N90" ca="1">_FV(A90,"Industry")</f>
        <v>Machinery, Equipment &amp; Components</v>
      </c>
    </row>
    <row r="91" spans="1:14">
      <c r="A91" s="107" t="e" vm="253">
        <v>#VALUE!</v>
      </c>
      <c r="B91" s="33">
        <f t="array" aca="1" ref="B91" ca="1">_FV(A91,"Change (%)",TRUE)</f>
        <v>-1.3851E-2</v>
      </c>
      <c r="C91" s="35">
        <f t="array" aca="1" ref="C91" ca="1">_FV(A91,"Previous close",TRUE)</f>
        <v>1862.7</v>
      </c>
      <c r="D91" s="35">
        <f t="array" aca="1" ref="D91" ca="1">_FV(A91,"Price")</f>
        <v>1836.9</v>
      </c>
      <c r="E91" s="35">
        <f t="array" aca="1" ref="E91" ca="1">_FV(A91,"Low")</f>
        <v>1824.1</v>
      </c>
      <c r="F91" s="35">
        <f t="array" aca="1" ref="F91" ca="1">_FV(A91,"High")</f>
        <v>1884</v>
      </c>
      <c r="G91" s="35">
        <f t="array" aca="1" ref="G91" ca="1">_FV(A91,"52 week low",TRUE)</f>
        <v>1607.05</v>
      </c>
      <c r="H91" s="36">
        <f t="array" aca="1" ref="H91" ca="1">_FV(A91,"52 week high",TRUE)</f>
        <v>2345.25</v>
      </c>
      <c r="I91" s="40">
        <f t="shared" ca="1" si="4"/>
        <v>21.675727534377994</v>
      </c>
      <c r="J91" s="39" t="str">
        <f t="shared" ca="1" si="5"/>
        <v>FIRST MC BUY</v>
      </c>
      <c r="K91" s="54">
        <f t="shared" ca="1" si="6"/>
        <v>-14.302604150462036</v>
      </c>
      <c r="L91" s="20">
        <f t="array" aca="1" ref="L91" ca="1">_FV(A91,"Market cap",TRUE)/10000000</f>
        <v>12816.4</v>
      </c>
      <c r="M91" s="21" t="str">
        <f t="shared" ca="1" si="7"/>
        <v>MC</v>
      </c>
      <c r="N91" s="37" t="str">
        <f t="array" aca="1" ref="N91" ca="1">_FV(A91,"Industry")</f>
        <v>Food &amp; Tobacco</v>
      </c>
    </row>
    <row r="92" spans="1:14">
      <c r="A92" s="107" t="e" vm="191">
        <v>#VALUE!</v>
      </c>
      <c r="B92" s="33">
        <f t="array" aca="1" ref="B92" ca="1">_FV(A92,"Change (%)",TRUE)</f>
        <v>-9.3939999999999996E-3</v>
      </c>
      <c r="C92" s="35">
        <f t="array" aca="1" ref="C92" ca="1">_FV(A92,"Previous close",TRUE)</f>
        <v>36195</v>
      </c>
      <c r="D92" s="35">
        <f t="array" aca="1" ref="D92" ca="1">_FV(A92,"Price")</f>
        <v>35855</v>
      </c>
      <c r="E92" s="35">
        <f t="array" aca="1" ref="E92" ca="1">_FV(A92,"Low")</f>
        <v>35755</v>
      </c>
      <c r="F92" s="35">
        <f t="array" aca="1" ref="F92" ca="1">_FV(A92,"High")</f>
        <v>36340</v>
      </c>
      <c r="G92" s="35">
        <f t="array" aca="1" ref="G92" ca="1">_FV(A92,"52 week low",TRUE)</f>
        <v>25921.599999999999</v>
      </c>
      <c r="H92" s="36">
        <f t="array" aca="1" ref="H92" ca="1">_FV(A92,"52 week high",TRUE)</f>
        <v>41945</v>
      </c>
      <c r="I92" s="40">
        <f t="shared" ca="1" si="4"/>
        <v>14.519012993205388</v>
      </c>
      <c r="J92" s="39" t="str">
        <f t="shared" ca="1" si="5"/>
        <v>LC BUY</v>
      </c>
      <c r="K92" s="54">
        <f t="shared" ca="1" si="6"/>
        <v>-38.320936979198819</v>
      </c>
      <c r="L92" s="20">
        <f t="array" aca="1" ref="L92" ca="1">_FV(A92,"Market cap",TRUE)/10000000</f>
        <v>106752.2</v>
      </c>
      <c r="M92" s="21" t="str">
        <f t="shared" ca="1" si="7"/>
        <v>LC</v>
      </c>
      <c r="N92" s="37" t="str">
        <f t="array" aca="1" ref="N92" ca="1">_FV(A92,"Industry")</f>
        <v>Automobiles &amp; Auto Parts</v>
      </c>
    </row>
    <row r="93" spans="1:14">
      <c r="A93" s="107" t="e" vm="254">
        <v>#VALUE!</v>
      </c>
      <c r="B93" s="33">
        <f t="array" aca="1" ref="B93" ca="1">_FV(A93,"Change (%)",TRUE)</f>
        <v>-3.8759999999999996E-2</v>
      </c>
      <c r="C93" s="35">
        <f t="array" aca="1" ref="C93" ca="1">_FV(A93,"Previous close",TRUE)</f>
        <v>296.7</v>
      </c>
      <c r="D93" s="35">
        <f t="array" aca="1" ref="D93" ca="1">_FV(A93,"Price")</f>
        <v>285.2</v>
      </c>
      <c r="E93" s="35">
        <f t="array" aca="1" ref="E93" ca="1">_FV(A93,"Low")</f>
        <v>284</v>
      </c>
      <c r="F93" s="35">
        <f t="array" aca="1" ref="F93" ca="1">_FV(A93,"High")</f>
        <v>295</v>
      </c>
      <c r="G93" s="35">
        <f t="array" aca="1" ref="G93" ca="1">_FV(A93,"52 week low",TRUE)</f>
        <v>277.10000000000002</v>
      </c>
      <c r="H93" s="36">
        <f t="array" aca="1" ref="H93" ca="1">_FV(A93,"52 week high",TRUE)</f>
        <v>664.65</v>
      </c>
      <c r="I93" s="40">
        <f t="shared" ca="1" si="4"/>
        <v>57.090197848491691</v>
      </c>
      <c r="J93" s="39" t="str">
        <f t="shared" ca="1" si="5"/>
        <v>SURE MC BUY</v>
      </c>
      <c r="K93" s="54">
        <f t="shared" ca="1" si="6"/>
        <v>-2.9231324431613013</v>
      </c>
      <c r="L93" s="20">
        <f t="array" aca="1" ref="L93" ca="1">_FV(A93,"Market cap",TRUE)/10000000</f>
        <v>13799.13</v>
      </c>
      <c r="M93" s="21" t="str">
        <f t="shared" ca="1" si="7"/>
        <v>MC</v>
      </c>
      <c r="N93" s="37" t="str">
        <f t="array" aca="1" ref="N93" ca="1">_FV(A93,"Industry")</f>
        <v>Specialty Retailers</v>
      </c>
    </row>
    <row r="94" spans="1:14">
      <c r="A94" s="107" t="e" vm="255">
        <v>#VALUE!</v>
      </c>
      <c r="B94" s="33">
        <f t="array" aca="1" ref="B94" ca="1">_FV(A94,"Change (%)",TRUE)</f>
        <v>6.2540000000000002E-4</v>
      </c>
      <c r="C94" s="35">
        <f t="array" aca="1" ref="C94" ca="1">_FV(A94,"Previous close",TRUE)</f>
        <v>879.5</v>
      </c>
      <c r="D94" s="35">
        <f t="array" aca="1" ref="D94" ca="1">_FV(A94,"Price")</f>
        <v>880.05</v>
      </c>
      <c r="E94" s="35">
        <f t="array" aca="1" ref="E94" ca="1">_FV(A94,"Low")</f>
        <v>870.05</v>
      </c>
      <c r="F94" s="35">
        <f t="array" aca="1" ref="F94" ca="1">_FV(A94,"High")</f>
        <v>884</v>
      </c>
      <c r="G94" s="35">
        <f t="array" aca="1" ref="G94" ca="1">_FV(A94,"52 week low",TRUE)</f>
        <v>838.5</v>
      </c>
      <c r="H94" s="36">
        <f t="array" aca="1" ref="H94" ca="1">_FV(A94,"52 week high",TRUE)</f>
        <v>1338.7</v>
      </c>
      <c r="I94" s="40">
        <f t="shared" ca="1" si="4"/>
        <v>34.260850078434309</v>
      </c>
      <c r="J94" s="39" t="str">
        <f t="shared" ca="1" si="5"/>
        <v>MC BUY</v>
      </c>
      <c r="K94" s="54">
        <f t="shared" ca="1" si="6"/>
        <v>-4.9552772808586711</v>
      </c>
      <c r="L94" s="20">
        <f t="array" aca="1" ref="L94" ca="1">_FV(A94,"Market cap",TRUE)/10000000</f>
        <v>21503.62</v>
      </c>
      <c r="M94" s="21" t="str">
        <f t="shared" ca="1" si="7"/>
        <v>MC</v>
      </c>
      <c r="N94" s="37" t="str">
        <f t="array" aca="1" ref="N94" ca="1">_FV(A94,"Industry")</f>
        <v>Real Estate Operations</v>
      </c>
    </row>
    <row r="95" spans="1:14">
      <c r="A95" s="107" t="e" vm="166">
        <v>#VALUE!</v>
      </c>
      <c r="B95" s="33">
        <f t="array" aca="1" ref="B95" ca="1">_FV(A95,"Change (%)",TRUE)</f>
        <v>4.1459999999999999E-4</v>
      </c>
      <c r="C95" s="35">
        <f t="array" aca="1" ref="C95" ca="1">_FV(A95,"Previous close",TRUE)</f>
        <v>6030</v>
      </c>
      <c r="D95" s="35">
        <f t="array" aca="1" ref="D95" ca="1">_FV(A95,"Price")</f>
        <v>6032.5</v>
      </c>
      <c r="E95" s="35">
        <f t="array" aca="1" ref="E95" ca="1">_FV(A95,"Low")</f>
        <v>6002</v>
      </c>
      <c r="F95" s="35">
        <f t="array" aca="1" ref="F95" ca="1">_FV(A95,"High")</f>
        <v>6069.5</v>
      </c>
      <c r="G95" s="35">
        <f t="array" aca="1" ref="G95" ca="1">_FV(A95,"52 week low",TRUE)</f>
        <v>4506</v>
      </c>
      <c r="H95" s="36">
        <f t="array" aca="1" ref="H95" ca="1">_FV(A95,"52 week high",TRUE)</f>
        <v>6336</v>
      </c>
      <c r="I95" s="40">
        <f t="shared" ca="1" si="4"/>
        <v>4.7900883838383841</v>
      </c>
      <c r="J95" s="39" t="str">
        <f t="shared" ca="1" si="5"/>
        <v>WATCH</v>
      </c>
      <c r="K95" s="54">
        <f t="shared" ca="1" si="6"/>
        <v>-33.877052818464271</v>
      </c>
      <c r="L95" s="20">
        <f t="array" aca="1" ref="L95" ca="1">_FV(A95,"Market cap",TRUE)/10000000</f>
        <v>145243.6</v>
      </c>
      <c r="M95" s="21" t="str">
        <f t="shared" ca="1" si="7"/>
        <v>LC</v>
      </c>
      <c r="N95" s="37" t="str">
        <f t="array" aca="1" ref="N95" ca="1">_FV(A95,"Industry")</f>
        <v>Food &amp; Tobacco</v>
      </c>
    </row>
    <row r="96" spans="1:14">
      <c r="A96" s="107" t="e" vm="256">
        <v>#VALUE!</v>
      </c>
      <c r="B96" s="33">
        <f t="array" aca="1" ref="B96" ca="1">_FV(A96,"Change (%)",TRUE)</f>
        <v>-1.3346E-2</v>
      </c>
      <c r="C96" s="35">
        <f t="array" aca="1" ref="C96" ca="1">_FV(A96,"Previous close",TRUE)</f>
        <v>1700.9</v>
      </c>
      <c r="D96" s="35">
        <f t="array" aca="1" ref="D96" ca="1">_FV(A96,"Price")</f>
        <v>1678.2</v>
      </c>
      <c r="E96" s="35">
        <f t="array" aca="1" ref="E96" ca="1">_FV(A96,"Low")</f>
        <v>1673</v>
      </c>
      <c r="F96" s="35">
        <f t="array" aca="1" ref="F96" ca="1">_FV(A96,"High")</f>
        <v>1711.7</v>
      </c>
      <c r="G96" s="35">
        <f t="array" aca="1" ref="G96" ca="1">_FV(A96,"52 week low",TRUE)</f>
        <v>1540</v>
      </c>
      <c r="H96" s="36">
        <f t="array" aca="1" ref="H96" ca="1">_FV(A96,"52 week high",TRUE)</f>
        <v>2166.6999999999998</v>
      </c>
      <c r="I96" s="40">
        <f t="shared" ca="1" si="4"/>
        <v>22.545806987584797</v>
      </c>
      <c r="J96" s="39" t="str">
        <f t="shared" ca="1" si="5"/>
        <v>WATCH</v>
      </c>
      <c r="K96" s="54">
        <f t="shared" ca="1" si="6"/>
        <v>-8.9740259740259756</v>
      </c>
      <c r="L96" s="20">
        <f t="array" aca="1" ref="L96" ca="1">_FV(A96,"Market cap",TRUE)/10000000</f>
        <v>9183.39</v>
      </c>
      <c r="M96" s="21" t="str">
        <f t="shared" ca="1" si="7"/>
        <v>HSC</v>
      </c>
      <c r="N96" s="37" t="str">
        <f t="array" aca="1" ref="N96" ca="1">_FV(A96,"Industry")</f>
        <v>Software &amp; IT Services</v>
      </c>
    </row>
    <row r="97" spans="1:14">
      <c r="A97" s="107" t="e" vm="257">
        <v>#VALUE!</v>
      </c>
      <c r="B97" s="33">
        <f t="array" aca="1" ref="B97" ca="1">_FV(A97,"Change (%)",TRUE)</f>
        <v>-1.2149E-2</v>
      </c>
      <c r="C97" s="35">
        <f t="array" aca="1" ref="C97" ca="1">_FV(A97,"Previous close",TRUE)</f>
        <v>954.8</v>
      </c>
      <c r="D97" s="35">
        <f t="array" aca="1" ref="D97" ca="1">_FV(A97,"Price")</f>
        <v>943.2</v>
      </c>
      <c r="E97" s="35">
        <f t="array" aca="1" ref="E97" ca="1">_FV(A97,"Low")</f>
        <v>935.2</v>
      </c>
      <c r="F97" s="35">
        <f t="array" aca="1" ref="F97" ca="1">_FV(A97,"High")</f>
        <v>956.4</v>
      </c>
      <c r="G97" s="35">
        <f t="array" aca="1" ref="G97" ca="1">_FV(A97,"52 week low",TRUE)</f>
        <v>525</v>
      </c>
      <c r="H97" s="36">
        <f t="array" aca="1" ref="H97" ca="1">_FV(A97,"52 week high",TRUE)</f>
        <v>1074.4000000000001</v>
      </c>
      <c r="I97" s="40">
        <f t="shared" ca="1" si="4"/>
        <v>12.211466865227106</v>
      </c>
      <c r="J97" s="39" t="str">
        <f t="shared" ca="1" si="5"/>
        <v>WATCH</v>
      </c>
      <c r="K97" s="54">
        <f t="shared" ca="1" si="6"/>
        <v>-79.657142857142873</v>
      </c>
      <c r="L97" s="20">
        <f t="array" aca="1" ref="L97" ca="1">_FV(A97,"Market cap",TRUE)/10000000</f>
        <v>12717.51</v>
      </c>
      <c r="M97" s="21" t="str">
        <f t="shared" ca="1" si="7"/>
        <v>MC</v>
      </c>
      <c r="N97" s="37" t="str">
        <f t="array" aca="1" ref="N97" ca="1">_FV(A97,"Industry")</f>
        <v>Food &amp; Tobacco</v>
      </c>
    </row>
    <row r="98" spans="1:14">
      <c r="A98" s="107" t="e" vm="258">
        <v>#VALUE!</v>
      </c>
      <c r="B98" s="33">
        <f t="array" aca="1" ref="B98" ca="1">_FV(A98,"Change (%)",TRUE)</f>
        <v>-1.0337000000000001E-2</v>
      </c>
      <c r="C98" s="35">
        <f t="array" aca="1" ref="C98" ca="1">_FV(A98,"Previous close",TRUE)</f>
        <v>168.33</v>
      </c>
      <c r="D98" s="35">
        <f t="array" aca="1" ref="D98" ca="1">_FV(A98,"Price")</f>
        <v>166.59</v>
      </c>
      <c r="E98" s="35">
        <f t="array" aca="1" ref="E98" ca="1">_FV(A98,"Low")</f>
        <v>166.25</v>
      </c>
      <c r="F98" s="35">
        <f t="array" aca="1" ref="F98" ca="1">_FV(A98,"High")</f>
        <v>168.61</v>
      </c>
      <c r="G98" s="35">
        <f t="array" aca="1" ref="G98" ca="1">_FV(A98,"52 week low",TRUE)</f>
        <v>119</v>
      </c>
      <c r="H98" s="36">
        <f t="array" aca="1" ref="H98" ca="1">_FV(A98,"52 week high",TRUE)</f>
        <v>192.27</v>
      </c>
      <c r="I98" s="40">
        <f t="shared" ca="1" si="4"/>
        <v>13.356217818692468</v>
      </c>
      <c r="J98" s="39" t="str">
        <f t="shared" ca="1" si="5"/>
        <v>WATCH</v>
      </c>
      <c r="K98" s="54">
        <f t="shared" ca="1" si="6"/>
        <v>-39.991596638655459</v>
      </c>
      <c r="L98" s="20">
        <f t="array" aca="1" ref="L98" ca="1">_FV(A98,"Market cap",TRUE)/10000000</f>
        <v>22313.33</v>
      </c>
      <c r="M98" s="21" t="str">
        <f t="shared" ca="1" si="7"/>
        <v>MC</v>
      </c>
      <c r="N98" s="37" t="str">
        <f t="array" aca="1" ref="N98" ca="1">_FV(A98,"Industry")</f>
        <v>Electrical Utilities &amp; IPPs</v>
      </c>
    </row>
    <row r="99" spans="1:14">
      <c r="A99" s="107" t="e" vm="184">
        <v>#VALUE!</v>
      </c>
      <c r="B99" s="33">
        <f t="array" aca="1" ref="B99" ca="1">_FV(A99,"Change (%)",TRUE)</f>
        <v>-7.4139999999999996E-3</v>
      </c>
      <c r="C99" s="35">
        <f t="array" aca="1" ref="C99" ca="1">_FV(A99,"Previous close",TRUE)</f>
        <v>660.9</v>
      </c>
      <c r="D99" s="35">
        <f t="array" aca="1" ref="D99" ca="1">_FV(A99,"Price")</f>
        <v>656</v>
      </c>
      <c r="E99" s="35">
        <f t="array" aca="1" ref="E99" ca="1">_FV(A99,"Low")</f>
        <v>653.20000000000005</v>
      </c>
      <c r="F99" s="35">
        <f t="array" aca="1" ref="F99" ca="1">_FV(A99,"High")</f>
        <v>666.9</v>
      </c>
      <c r="G99" s="35">
        <f t="array" aca="1" ref="G99" ca="1">_FV(A99,"52 week low",TRUE)</f>
        <v>517.70000000000005</v>
      </c>
      <c r="H99" s="36">
        <f t="array" aca="1" ref="H99" ca="1">_FV(A99,"52 week high",TRUE)</f>
        <v>797.55</v>
      </c>
      <c r="I99" s="40">
        <f t="shared" ca="1" si="4"/>
        <v>17.748103567174468</v>
      </c>
      <c r="J99" s="39" t="str">
        <f t="shared" ca="1" si="5"/>
        <v>LC BUY</v>
      </c>
      <c r="K99" s="54">
        <f t="shared" ca="1" si="6"/>
        <v>-26.714313308866128</v>
      </c>
      <c r="L99" s="20">
        <f t="array" aca="1" ref="L99" ca="1">_FV(A99,"Market cap",TRUE)/10000000</f>
        <v>104082.7</v>
      </c>
      <c r="M99" s="21" t="str">
        <f t="shared" ca="1" si="7"/>
        <v>LC</v>
      </c>
      <c r="N99" s="37" t="str">
        <f t="array" aca="1" ref="N99" ca="1">_FV(A99,"Industry")</f>
        <v>Machinery, Equipment &amp; Components</v>
      </c>
    </row>
    <row r="100" spans="1:14">
      <c r="A100" s="107" t="e" vm="259">
        <v>#VALUE!</v>
      </c>
      <c r="B100" s="33">
        <f t="array" aca="1" ref="B100" ca="1">_FV(A100,"Change (%)",TRUE)</f>
        <v>-7.4350000000000006E-3</v>
      </c>
      <c r="C100" s="35">
        <f t="array" aca="1" ref="C100" ca="1">_FV(A100,"Previous close",TRUE)</f>
        <v>4290.8</v>
      </c>
      <c r="D100" s="35">
        <f t="array" aca="1" ref="D100" ca="1">_FV(A100,"Price")</f>
        <v>4258.8999999999996</v>
      </c>
      <c r="E100" s="35">
        <f t="array" aca="1" ref="E100" ca="1">_FV(A100,"Low")</f>
        <v>4254</v>
      </c>
      <c r="F100" s="35">
        <f t="array" aca="1" ref="F100" ca="1">_FV(A100,"High")</f>
        <v>4316.8</v>
      </c>
      <c r="G100" s="35">
        <f t="array" aca="1" ref="G100" ca="1">_FV(A100,"52 week low",TRUE)</f>
        <v>3973.6</v>
      </c>
      <c r="H100" s="36">
        <f t="array" aca="1" ref="H100" ca="1">_FV(A100,"52 week high",TRUE)</f>
        <v>6950</v>
      </c>
      <c r="I100" s="40">
        <f t="shared" ca="1" si="4"/>
        <v>38.720863309352524</v>
      </c>
      <c r="J100" s="39" t="str">
        <f t="shared" ca="1" si="5"/>
        <v>MC BUY</v>
      </c>
      <c r="K100" s="54">
        <f t="shared" ca="1" si="6"/>
        <v>-7.1798872558888593</v>
      </c>
      <c r="L100" s="20">
        <f t="array" aca="1" ref="L100" ca="1">_FV(A100,"Market cap",TRUE)/10000000</f>
        <v>31145.34</v>
      </c>
      <c r="M100" s="21" t="str">
        <f t="shared" ca="1" si="7"/>
        <v>MC</v>
      </c>
      <c r="N100" s="37" t="str">
        <f t="array" aca="1" ref="N100" ca="1">_FV(A100,"Industry")</f>
        <v>Professional &amp; Commercial Services</v>
      </c>
    </row>
    <row r="101" spans="1:14">
      <c r="A101" s="107" t="e" vm="260">
        <v>#VALUE!</v>
      </c>
      <c r="B101" s="33">
        <f t="array" aca="1" ref="B101" ca="1">_FV(A101,"Change (%)",TRUE)</f>
        <v>0</v>
      </c>
      <c r="C101" s="35">
        <f t="array" aca="1" ref="C101" ca="1">_FV(A101,"Previous close",TRUE)</f>
        <v>261.5</v>
      </c>
      <c r="D101" s="35">
        <f t="array" aca="1" ref="D101" ca="1">_FV(A101,"Price")</f>
        <v>261.5</v>
      </c>
      <c r="E101" s="35">
        <f t="array" aca="1" ref="E101" ca="1">_FV(A101,"Low")</f>
        <v>259.2</v>
      </c>
      <c r="F101" s="35">
        <f t="array" aca="1" ref="F101" ca="1">_FV(A101,"High")</f>
        <v>262.95</v>
      </c>
      <c r="G101" s="35">
        <f t="array" aca="1" ref="G101" ca="1">_FV(A101,"52 week low",TRUE)</f>
        <v>210</v>
      </c>
      <c r="H101" s="36">
        <f t="array" aca="1" ref="H101" ca="1">_FV(A101,"52 week high",TRUE)</f>
        <v>337.6</v>
      </c>
      <c r="I101" s="40">
        <f t="shared" ca="1" si="4"/>
        <v>22.5414691943128</v>
      </c>
      <c r="J101" s="39" t="str">
        <f t="shared" ca="1" si="5"/>
        <v>WATCH</v>
      </c>
      <c r="K101" s="54">
        <f t="shared" ca="1" si="6"/>
        <v>-24.523809523809526</v>
      </c>
      <c r="L101" s="20">
        <f t="array" aca="1" ref="L101" ca="1">_FV(A101,"Market cap",TRUE)/10000000</f>
        <v>7989.6180000000004</v>
      </c>
      <c r="M101" s="21" t="str">
        <f t="shared" ca="1" si="7"/>
        <v>HSC</v>
      </c>
      <c r="N101" s="37" t="str">
        <f t="array" aca="1" ref="N101" ca="1">_FV(A101,"Industry")</f>
        <v>Textiles &amp; Apparel</v>
      </c>
    </row>
    <row r="102" spans="1:14">
      <c r="A102" s="107" t="e" vm="261">
        <v>#VALUE!</v>
      </c>
      <c r="B102" s="33">
        <f t="array" aca="1" ref="B102" ca="1">_FV(A102,"Change (%)",TRUE)</f>
        <v>-2.2913000000000003E-2</v>
      </c>
      <c r="C102" s="35">
        <f t="array" aca="1" ref="C102" ca="1">_FV(A102,"Previous close",TRUE)</f>
        <v>947.05</v>
      </c>
      <c r="D102" s="35">
        <f t="array" aca="1" ref="D102" ca="1">_FV(A102,"Price")</f>
        <v>925.35</v>
      </c>
      <c r="E102" s="35">
        <f t="array" aca="1" ref="E102" ca="1">_FV(A102,"Low")</f>
        <v>916.9</v>
      </c>
      <c r="F102" s="35">
        <f t="array" aca="1" ref="F102" ca="1">_FV(A102,"High")</f>
        <v>971.5</v>
      </c>
      <c r="G102" s="35">
        <f t="array" aca="1" ref="G102" ca="1">_FV(A102,"52 week low",TRUE)</f>
        <v>558.5</v>
      </c>
      <c r="H102" s="36">
        <f t="array" aca="1" ref="H102" ca="1">_FV(A102,"52 week high",TRUE)</f>
        <v>971.5</v>
      </c>
      <c r="I102" s="40">
        <f t="shared" ca="1" si="4"/>
        <v>4.7503860010293346</v>
      </c>
      <c r="J102" s="39" t="str">
        <f t="shared" ca="1" si="5"/>
        <v>WATCH</v>
      </c>
      <c r="K102" s="54">
        <f t="shared" ca="1" si="6"/>
        <v>-65.684870188003586</v>
      </c>
      <c r="L102" s="20">
        <f t="array" aca="1" ref="L102" ca="1">_FV(A102,"Market cap",TRUE)/10000000</f>
        <v>12610.36</v>
      </c>
      <c r="M102" s="21" t="str">
        <f t="shared" ca="1" si="7"/>
        <v>MC</v>
      </c>
      <c r="N102" s="37" t="str">
        <f t="array" aca="1" ref="N102" ca="1">_FV(A102,"Industry")</f>
        <v>Banking Services</v>
      </c>
    </row>
    <row r="103" spans="1:14">
      <c r="A103" s="107" t="e" vm="174">
        <v>#VALUE!</v>
      </c>
      <c r="B103" s="33">
        <f t="array" aca="1" ref="B103" ca="1">_FV(A103,"Change (%)",TRUE)</f>
        <v>2.673E-3</v>
      </c>
      <c r="C103" s="35">
        <f t="array" aca="1" ref="C103" ca="1">_FV(A103,"Previous close",TRUE)</f>
        <v>149.66999999999999</v>
      </c>
      <c r="D103" s="35">
        <f t="array" aca="1" ref="D103" ca="1">_FV(A103,"Price")</f>
        <v>150.07</v>
      </c>
      <c r="E103" s="35">
        <f t="array" aca="1" ref="E103" ca="1">_FV(A103,"Low")</f>
        <v>148.96</v>
      </c>
      <c r="F103" s="35">
        <f t="array" aca="1" ref="F103" ca="1">_FV(A103,"High")</f>
        <v>150.85</v>
      </c>
      <c r="G103" s="35">
        <f t="array" aca="1" ref="G103" ca="1">_FV(A103,"52 week low",TRUE)</f>
        <v>78.599999999999994</v>
      </c>
      <c r="H103" s="36">
        <f t="array" aca="1" ref="H103" ca="1">_FV(A103,"52 week high",TRUE)</f>
        <v>154.21</v>
      </c>
      <c r="I103" s="40">
        <f t="shared" ca="1" si="4"/>
        <v>2.6846508008559851</v>
      </c>
      <c r="J103" s="39" t="str">
        <f t="shared" ca="1" si="5"/>
        <v>WATCH</v>
      </c>
      <c r="K103" s="54">
        <f t="shared" ca="1" si="6"/>
        <v>-90.928753180661587</v>
      </c>
      <c r="L103" s="20">
        <f t="array" aca="1" ref="L103" ca="1">_FV(A103,"Market cap",TRUE)/10000000</f>
        <v>136123.29999999999</v>
      </c>
      <c r="M103" s="21" t="str">
        <f t="shared" ca="1" si="7"/>
        <v>LC</v>
      </c>
      <c r="N103" s="37" t="str">
        <f t="array" aca="1" ref="N103" ca="1">_FV(A103,"Industry")</f>
        <v>Banking Services</v>
      </c>
    </row>
    <row r="104" spans="1:14">
      <c r="A104" s="107" t="e" vm="262">
        <v>#VALUE!</v>
      </c>
      <c r="B104" s="33">
        <f t="array" aca="1" ref="B104" ca="1">_FV(A104,"Change (%)",TRUE)</f>
        <v>-2.7562000000000003E-2</v>
      </c>
      <c r="C104" s="35">
        <f t="array" aca="1" ref="C104" ca="1">_FV(A104,"Previous close",TRUE)</f>
        <v>1970.1</v>
      </c>
      <c r="D104" s="35">
        <f t="array" aca="1" ref="D104" ca="1">_FV(A104,"Price")</f>
        <v>1915.8</v>
      </c>
      <c r="E104" s="35">
        <f t="array" aca="1" ref="E104" ca="1">_FV(A104,"Low")</f>
        <v>1901</v>
      </c>
      <c r="F104" s="35">
        <f t="array" aca="1" ref="F104" ca="1">_FV(A104,"High")</f>
        <v>1992.1</v>
      </c>
      <c r="G104" s="35">
        <f t="array" aca="1" ref="G104" ca="1">_FV(A104,"52 week low",TRUE)</f>
        <v>1599</v>
      </c>
      <c r="H104" s="36">
        <f t="array" aca="1" ref="H104" ca="1">_FV(A104,"52 week high",TRUE)</f>
        <v>2641</v>
      </c>
      <c r="I104" s="40">
        <f t="shared" ca="1" si="4"/>
        <v>27.459295721317684</v>
      </c>
      <c r="J104" s="39" t="str">
        <f t="shared" ca="1" si="5"/>
        <v>FIRST MC BUY</v>
      </c>
      <c r="K104" s="54">
        <f t="shared" ca="1" si="6"/>
        <v>-19.812382739212005</v>
      </c>
      <c r="L104" s="20">
        <f t="array" aca="1" ref="L104" ca="1">_FV(A104,"Market cap",TRUE)/10000000</f>
        <v>14562.32</v>
      </c>
      <c r="M104" s="21" t="str">
        <f t="shared" ca="1" si="7"/>
        <v>MC</v>
      </c>
      <c r="N104" s="37" t="str">
        <f t="array" aca="1" ref="N104" ca="1">_FV(A104,"Industry")</f>
        <v>Pharmaceuticals</v>
      </c>
    </row>
    <row r="105" spans="1:14">
      <c r="A105" s="107" t="e" vm="263">
        <v>#VALUE!</v>
      </c>
      <c r="B105" s="33">
        <f t="array" aca="1" ref="B105" ca="1">_FV(A105,"Change (%)",TRUE)</f>
        <v>3.4250000000000001E-3</v>
      </c>
      <c r="C105" s="35">
        <f t="array" aca="1" ref="C105" ca="1">_FV(A105,"Previous close",TRUE)</f>
        <v>178.08</v>
      </c>
      <c r="D105" s="35">
        <f t="array" aca="1" ref="D105" ca="1">_FV(A105,"Price")</f>
        <v>178.69</v>
      </c>
      <c r="E105" s="35">
        <f t="array" aca="1" ref="E105" ca="1">_FV(A105,"Low")</f>
        <v>178.15</v>
      </c>
      <c r="F105" s="35">
        <f t="array" aca="1" ref="F105" ca="1">_FV(A105,"High")</f>
        <v>180.32</v>
      </c>
      <c r="G105" s="35">
        <f t="array" aca="1" ref="G105" ca="1">_FV(A105,"52 week low",TRUE)</f>
        <v>150.51</v>
      </c>
      <c r="H105" s="36">
        <f t="array" aca="1" ref="H105" ca="1">_FV(A105,"52 week high",TRUE)</f>
        <v>231.35</v>
      </c>
      <c r="I105" s="40">
        <f t="shared" ca="1" si="4"/>
        <v>22.762048843743248</v>
      </c>
      <c r="J105" s="39" t="str">
        <f t="shared" ca="1" si="5"/>
        <v>FIRST MC BUY</v>
      </c>
      <c r="K105" s="54">
        <f t="shared" ca="1" si="6"/>
        <v>-18.723008437977551</v>
      </c>
      <c r="L105" s="20">
        <f t="array" aca="1" ref="L105" ca="1">_FV(A105,"Market cap",TRUE)/10000000</f>
        <v>17134.04</v>
      </c>
      <c r="M105" s="21" t="str">
        <f t="shared" ca="1" si="7"/>
        <v>MC</v>
      </c>
      <c r="N105" s="37" t="str">
        <f t="array" aca="1" ref="N105" ca="1">_FV(A105,"Industry")</f>
        <v>Banking Services</v>
      </c>
    </row>
    <row r="106" spans="1:14">
      <c r="A106" s="107" t="e" vm="264">
        <v>#VALUE!</v>
      </c>
      <c r="B106" s="33">
        <f t="array" aca="1" ref="B106" ca="1">_FV(A106,"Change (%)",TRUE)</f>
        <v>-1.06E-3</v>
      </c>
      <c r="C106" s="35">
        <f t="array" aca="1" ref="C106" ca="1">_FV(A106,"Previous close",TRUE)</f>
        <v>848.9</v>
      </c>
      <c r="D106" s="35">
        <f t="array" aca="1" ref="D106" ca="1">_FV(A106,"Price")</f>
        <v>848</v>
      </c>
      <c r="E106" s="35">
        <f t="array" aca="1" ref="E106" ca="1">_FV(A106,"Low")</f>
        <v>842</v>
      </c>
      <c r="F106" s="35">
        <f t="array" aca="1" ref="F106" ca="1">_FV(A106,"High")</f>
        <v>857.95</v>
      </c>
      <c r="G106" s="35">
        <f t="array" aca="1" ref="G106" ca="1">_FV(A106,"52 week low",TRUE)</f>
        <v>809.1</v>
      </c>
      <c r="H106" s="36">
        <f t="array" aca="1" ref="H106" ca="1">_FV(A106,"52 week high",TRUE)</f>
        <v>1322.7</v>
      </c>
      <c r="I106" s="40">
        <f t="shared" ca="1" si="4"/>
        <v>35.888712482044305</v>
      </c>
      <c r="J106" s="39" t="str">
        <f t="shared" ca="1" si="5"/>
        <v>MC BUY</v>
      </c>
      <c r="K106" s="54">
        <f t="shared" ca="1" si="6"/>
        <v>-4.8078111481893435</v>
      </c>
      <c r="L106" s="20">
        <f t="array" aca="1" ref="L106" ca="1">_FV(A106,"Market cap",TRUE)/10000000</f>
        <v>16149.98</v>
      </c>
      <c r="M106" s="21" t="str">
        <f t="shared" ca="1" si="7"/>
        <v>MC</v>
      </c>
      <c r="N106" s="37" t="str">
        <f t="array" aca="1" ref="N106" ca="1">_FV(A106,"Industry")</f>
        <v>Chemicals</v>
      </c>
    </row>
    <row r="107" spans="1:14">
      <c r="A107" s="107" t="e" vm="265">
        <v>#VALUE!</v>
      </c>
      <c r="B107" s="33">
        <f t="array" aca="1" ref="B107" ca="1">_FV(A107,"Change (%)",TRUE)</f>
        <v>2.1596000000000001E-2</v>
      </c>
      <c r="C107" s="35">
        <f t="array" aca="1" ref="C107" ca="1">_FV(A107,"Previous close",TRUE)</f>
        <v>189.39</v>
      </c>
      <c r="D107" s="35">
        <f t="array" aca="1" ref="D107" ca="1">_FV(A107,"Price")</f>
        <v>193.48</v>
      </c>
      <c r="E107" s="35">
        <f t="array" aca="1" ref="E107" ca="1">_FV(A107,"Low")</f>
        <v>191.35</v>
      </c>
      <c r="F107" s="35">
        <f t="array" aca="1" ref="F107" ca="1">_FV(A107,"High")</f>
        <v>198.13</v>
      </c>
      <c r="G107" s="35">
        <f t="array" aca="1" ref="G107" ca="1">_FV(A107,"52 week low",TRUE)</f>
        <v>159.5</v>
      </c>
      <c r="H107" s="36">
        <f t="array" aca="1" ref="H107" ca="1">_FV(A107,"52 week high",TRUE)</f>
        <v>247.15</v>
      </c>
      <c r="I107" s="40">
        <f t="shared" ca="1" si="4"/>
        <v>21.715557353833709</v>
      </c>
      <c r="J107" s="39" t="str">
        <f t="shared" ca="1" si="5"/>
        <v>FIRST MC BUY</v>
      </c>
      <c r="K107" s="54">
        <f t="shared" ca="1" si="6"/>
        <v>-21.30407523510971</v>
      </c>
      <c r="L107" s="20">
        <f t="array" aca="1" ref="L107" ca="1">_FV(A107,"Market cap",TRUE)/10000000</f>
        <v>18732.990000000002</v>
      </c>
      <c r="M107" s="21" t="str">
        <f t="shared" ca="1" si="7"/>
        <v>MC</v>
      </c>
      <c r="N107" s="37" t="str">
        <f t="array" aca="1" ref="N107" ca="1">_FV(A107,"Industry")</f>
        <v>Oil &amp; Gas</v>
      </c>
    </row>
    <row r="108" spans="1:14">
      <c r="A108" s="107" t="e" vm="266">
        <v>#VALUE!</v>
      </c>
      <c r="B108" s="33">
        <f t="array" aca="1" ref="B108" ca="1">_FV(A108,"Change (%)",TRUE)</f>
        <v>-5.2090000000000001E-3</v>
      </c>
      <c r="C108" s="35">
        <f t="array" aca="1" ref="C108" ca="1">_FV(A108,"Previous close",TRUE)</f>
        <v>3878</v>
      </c>
      <c r="D108" s="35">
        <f t="array" aca="1" ref="D108" ca="1">_FV(A108,"Price")</f>
        <v>3857.8</v>
      </c>
      <c r="E108" s="35">
        <f t="array" aca="1" ref="E108" ca="1">_FV(A108,"Low")</f>
        <v>3825.5</v>
      </c>
      <c r="F108" s="35">
        <f t="array" aca="1" ref="F108" ca="1">_FV(A108,"High")</f>
        <v>3894.7</v>
      </c>
      <c r="G108" s="35">
        <f t="array" aca="1" ref="G108" ca="1">_FV(A108,"52 week low",TRUE)</f>
        <v>2343.0500000000002</v>
      </c>
      <c r="H108" s="36">
        <f t="array" aca="1" ref="H108" ca="1">_FV(A108,"52 week high",TRUE)</f>
        <v>4438</v>
      </c>
      <c r="I108" s="40">
        <f t="shared" ca="1" si="4"/>
        <v>13.073456511942313</v>
      </c>
      <c r="J108" s="39" t="str">
        <f t="shared" ca="1" si="5"/>
        <v>WATCH</v>
      </c>
      <c r="K108" s="54">
        <f t="shared" ca="1" si="6"/>
        <v>-64.648641727662664</v>
      </c>
      <c r="L108" s="20">
        <f t="array" aca="1" ref="L108" ca="1">_FV(A108,"Market cap",TRUE)/10000000</f>
        <v>15663.28</v>
      </c>
      <c r="M108" s="21" t="str">
        <f t="shared" ca="1" si="7"/>
        <v>MC</v>
      </c>
      <c r="N108" s="37" t="str">
        <f t="array" aca="1" ref="N108" ca="1">_FV(A108,"Industry")</f>
        <v>Automobiles &amp; Auto Parts</v>
      </c>
    </row>
    <row r="109" spans="1:14">
      <c r="A109" s="107" t="e" vm="267">
        <v>#VALUE!</v>
      </c>
      <c r="B109" s="33">
        <f t="array" aca="1" ref="B109" ca="1">_FV(A109,"Change (%)",TRUE)</f>
        <v>-4.0530000000000002E-3</v>
      </c>
      <c r="C109" s="35">
        <f t="array" aca="1" ref="C109" ca="1">_FV(A109,"Previous close",TRUE)</f>
        <v>37.01</v>
      </c>
      <c r="D109" s="35">
        <f t="array" aca="1" ref="D109" ca="1">_FV(A109,"Price")</f>
        <v>36.86</v>
      </c>
      <c r="E109" s="35">
        <f t="array" aca="1" ref="E109" ca="1">_FV(A109,"Low")</f>
        <v>36.76</v>
      </c>
      <c r="F109" s="35">
        <f t="array" aca="1" ref="F109" ca="1">_FV(A109,"High")</f>
        <v>37.200000000000003</v>
      </c>
      <c r="G109" s="35">
        <f t="array" aca="1" ref="G109" ca="1">_FV(A109,"52 week low",TRUE)</f>
        <v>32.75</v>
      </c>
      <c r="H109" s="36">
        <f t="array" aca="1" ref="H109" ca="1">_FV(A109,"52 week high",TRUE)</f>
        <v>56.47</v>
      </c>
      <c r="I109" s="40">
        <f t="shared" ca="1" si="4"/>
        <v>34.726403400035416</v>
      </c>
      <c r="J109" s="39" t="str">
        <f t="shared" ca="1" si="5"/>
        <v>MC BUY</v>
      </c>
      <c r="K109" s="54">
        <f t="shared" ca="1" si="6"/>
        <v>-12.549618320610685</v>
      </c>
      <c r="L109" s="20">
        <f t="array" aca="1" ref="L109" ca="1">_FV(A109,"Market cap",TRUE)/10000000</f>
        <v>33363.47</v>
      </c>
      <c r="M109" s="21" t="str">
        <f t="shared" ca="1" si="7"/>
        <v>MC</v>
      </c>
      <c r="N109" s="37" t="str">
        <f t="array" aca="1" ref="N109" ca="1">_FV(A109,"Industry")</f>
        <v>Banking Services</v>
      </c>
    </row>
    <row r="110" spans="1:14">
      <c r="A110" s="107" t="e" vm="26">
        <v>#VALUE!</v>
      </c>
      <c r="B110" s="33">
        <f t="array" aca="1" ref="B110" ca="1">_FV(A110,"Change (%)",TRUE)</f>
        <v>-1.0808E-2</v>
      </c>
      <c r="C110" s="35">
        <f t="array" aca="1" ref="C110" ca="1">_FV(A110,"Previous close",TRUE)</f>
        <v>1498.9</v>
      </c>
      <c r="D110" s="35">
        <f t="array" aca="1" ref="D110" ca="1">_FV(A110,"Price")</f>
        <v>1482.7</v>
      </c>
      <c r="E110" s="35">
        <f t="array" aca="1" ref="E110" ca="1">_FV(A110,"Low")</f>
        <v>1476.9</v>
      </c>
      <c r="F110" s="35">
        <f t="array" aca="1" ref="F110" ca="1">_FV(A110,"High")</f>
        <v>1506.4</v>
      </c>
      <c r="G110" s="35">
        <f t="array" aca="1" ref="G110" ca="1">_FV(A110,"52 week low",TRUE)</f>
        <v>1047.45</v>
      </c>
      <c r="H110" s="36">
        <f t="array" aca="1" ref="H110" ca="1">_FV(A110,"52 week high",TRUE)</f>
        <v>1888</v>
      </c>
      <c r="I110" s="40">
        <f t="shared" ca="1" si="4"/>
        <v>21.467161016949149</v>
      </c>
      <c r="J110" s="39" t="str">
        <f t="shared" ca="1" si="5"/>
        <v>FIRST MC BUY</v>
      </c>
      <c r="K110" s="54">
        <f t="shared" ca="1" si="6"/>
        <v>-41.553296100052506</v>
      </c>
      <c r="L110" s="20">
        <f t="array" aca="1" ref="L110" ca="1">_FV(A110,"Market cap",TRUE)/10000000</f>
        <v>31327.01</v>
      </c>
      <c r="M110" s="21" t="str">
        <f t="shared" ca="1" si="7"/>
        <v>MC</v>
      </c>
      <c r="N110" s="37" t="str">
        <f t="array" aca="1" ref="N110" ca="1">_FV(A110,"Industry")</f>
        <v>Investment Banking &amp; Investment Services</v>
      </c>
    </row>
    <row r="111" spans="1:14">
      <c r="A111" s="107" t="e" vm="268">
        <v>#VALUE!</v>
      </c>
      <c r="B111" s="33">
        <f t="array" aca="1" ref="B111" ca="1">_FV(A111,"Change (%)",TRUE)</f>
        <v>-2.5330000000000001E-3</v>
      </c>
      <c r="C111" s="35">
        <f t="array" aca="1" ref="C111" ca="1">_FV(A111,"Previous close",TRUE)</f>
        <v>829</v>
      </c>
      <c r="D111" s="35">
        <f t="array" aca="1" ref="D111" ca="1">_FV(A111,"Price")</f>
        <v>826.9</v>
      </c>
      <c r="E111" s="35">
        <f t="array" aca="1" ref="E111" ca="1">_FV(A111,"Low")</f>
        <v>820.1</v>
      </c>
      <c r="F111" s="35">
        <f t="array" aca="1" ref="F111" ca="1">_FV(A111,"High")</f>
        <v>834.9</v>
      </c>
      <c r="G111" s="35">
        <f t="array" aca="1" ref="G111" ca="1">_FV(A111,"52 week low",TRUE)</f>
        <v>650</v>
      </c>
      <c r="H111" s="36">
        <f t="array" aca="1" ref="H111" ca="1">_FV(A111,"52 week high",TRUE)</f>
        <v>897.1</v>
      </c>
      <c r="I111" s="40">
        <f t="shared" ca="1" si="4"/>
        <v>7.8252145803143511</v>
      </c>
      <c r="J111" s="39" t="str">
        <f t="shared" ca="1" si="5"/>
        <v>WATCH</v>
      </c>
      <c r="K111" s="54">
        <f t="shared" ca="1" si="6"/>
        <v>-27.215384615384611</v>
      </c>
      <c r="L111" s="20">
        <f t="array" aca="1" ref="L111" ca="1">_FV(A111,"Market cap",TRUE)/10000000</f>
        <v>18418.14</v>
      </c>
      <c r="M111" s="21" t="str">
        <f t="shared" ca="1" si="7"/>
        <v>MC</v>
      </c>
      <c r="N111" s="37" t="str">
        <f t="array" aca="1" ref="N111" ca="1">_FV(A111,"Industry")</f>
        <v>Paper &amp; Forest Products</v>
      </c>
    </row>
    <row r="112" spans="1:14">
      <c r="A112" s="107" t="e" vm="269">
        <v>#VALUE!</v>
      </c>
      <c r="B112" s="33">
        <f t="array" aca="1" ref="B112" ca="1">_FV(A112,"Change (%)",TRUE)</f>
        <v>-1.3143E-2</v>
      </c>
      <c r="C112" s="35">
        <f t="array" aca="1" ref="C112" ca="1">_FV(A112,"Previous close",TRUE)</f>
        <v>5250</v>
      </c>
      <c r="D112" s="35">
        <f t="array" aca="1" ref="D112" ca="1">_FV(A112,"Price")</f>
        <v>5181</v>
      </c>
      <c r="E112" s="35">
        <f t="array" aca="1" ref="E112" ca="1">_FV(A112,"Low")</f>
        <v>5151</v>
      </c>
      <c r="F112" s="35">
        <f t="array" aca="1" ref="F112" ca="1">_FV(A112,"High")</f>
        <v>5270</v>
      </c>
      <c r="G112" s="35">
        <f t="array" aca="1" ref="G112" ca="1">_FV(A112,"52 week low",TRUE)</f>
        <v>5060.05</v>
      </c>
      <c r="H112" s="36">
        <f t="array" aca="1" ref="H112" ca="1">_FV(A112,"52 week high",TRUE)</f>
        <v>7739.5</v>
      </c>
      <c r="I112" s="40">
        <f t="shared" ca="1" si="4"/>
        <v>33.057691065314295</v>
      </c>
      <c r="J112" s="39" t="str">
        <f t="shared" ca="1" si="5"/>
        <v>WATCH</v>
      </c>
      <c r="K112" s="54">
        <f t="shared" ca="1" si="6"/>
        <v>-2.3902925860416362</v>
      </c>
      <c r="L112" s="20">
        <f t="array" aca="1" ref="L112" ca="1">_FV(A112,"Market cap",TRUE)/10000000</f>
        <v>6680.92</v>
      </c>
      <c r="M112" s="21" t="str">
        <f t="shared" ca="1" si="7"/>
        <v>HSC</v>
      </c>
      <c r="N112" s="37" t="str">
        <f t="array" aca="1" ref="N112" ca="1">_FV(A112,"Industry")</f>
        <v>Homebuilding &amp; Construction Supplies</v>
      </c>
    </row>
    <row r="113" spans="1:14">
      <c r="A113" s="107" t="e" vm="270">
        <v>#VALUE!</v>
      </c>
      <c r="B113" s="33">
        <f t="array" aca="1" ref="B113" ca="1">_FV(A113,"Change (%)",TRUE)</f>
        <v>-7.4450000000000002E-3</v>
      </c>
      <c r="C113" s="35">
        <f t="array" aca="1" ref="C113" ca="1">_FV(A113,"Previous close",TRUE)</f>
        <v>873.05</v>
      </c>
      <c r="D113" s="35">
        <f t="array" aca="1" ref="D113" ca="1">_FV(A113,"Price")</f>
        <v>866.55</v>
      </c>
      <c r="E113" s="35">
        <f t="array" aca="1" ref="E113" ca="1">_FV(A113,"Low")</f>
        <v>865</v>
      </c>
      <c r="F113" s="35">
        <f t="array" aca="1" ref="F113" ca="1">_FV(A113,"High")</f>
        <v>875.7</v>
      </c>
      <c r="G113" s="35">
        <f t="array" aca="1" ref="G113" ca="1">_FV(A113,"52 week low",TRUE)</f>
        <v>634.04999999999995</v>
      </c>
      <c r="H113" s="36">
        <f t="array" aca="1" ref="H113" ca="1">_FV(A113,"52 week high",TRUE)</f>
        <v>1082</v>
      </c>
      <c r="I113" s="40">
        <f t="shared" ca="1" si="4"/>
        <v>19.912199630314237</v>
      </c>
      <c r="J113" s="39" t="str">
        <f t="shared" ca="1" si="5"/>
        <v>WATCH</v>
      </c>
      <c r="K113" s="54">
        <f t="shared" ca="1" si="6"/>
        <v>-36.669032410693163</v>
      </c>
      <c r="L113" s="20">
        <f t="array" aca="1" ref="L113" ca="1">_FV(A113,"Market cap",TRUE)/10000000</f>
        <v>19098.27</v>
      </c>
      <c r="M113" s="21" t="str">
        <f t="shared" ca="1" si="7"/>
        <v>MC</v>
      </c>
      <c r="N113" s="37" t="str">
        <f t="array" aca="1" ref="N113" ca="1">_FV(A113,"Industry")</f>
        <v>Hotels &amp; Entertainment Services</v>
      </c>
    </row>
    <row r="114" spans="1:14">
      <c r="A114" s="107" t="e" vm="271">
        <v>#VALUE!</v>
      </c>
      <c r="B114" s="33">
        <f t="array" aca="1" ref="B114" ca="1">_FV(A114,"Change (%)",TRUE)</f>
        <v>0</v>
      </c>
      <c r="C114" s="35">
        <f t="array" aca="1" ref="C114" ca="1">_FV(A114,"Previous close",TRUE)</f>
        <v>473.5</v>
      </c>
      <c r="D114" s="35">
        <f t="array" aca="1" ref="D114" ca="1">_FV(A114,"Price")</f>
        <v>473.5</v>
      </c>
      <c r="E114" s="35">
        <f t="array" aca="1" ref="E114" ca="1">_FV(A114,"Low")</f>
        <v>466.85</v>
      </c>
      <c r="F114" s="35">
        <f t="array" aca="1" ref="F114" ca="1">_FV(A114,"High")</f>
        <v>475.9</v>
      </c>
      <c r="G114" s="35">
        <f t="array" aca="1" ref="G114" ca="1">_FV(A114,"52 week low",TRUE)</f>
        <v>410.2</v>
      </c>
      <c r="H114" s="36">
        <f t="array" aca="1" ref="H114" ca="1">_FV(A114,"52 week high",TRUE)</f>
        <v>742.2</v>
      </c>
      <c r="I114" s="40">
        <f t="shared" ca="1" si="4"/>
        <v>36.203179735920237</v>
      </c>
      <c r="J114" s="39" t="str">
        <f t="shared" ca="1" si="5"/>
        <v>MC BUY</v>
      </c>
      <c r="K114" s="54">
        <f t="shared" ca="1" si="6"/>
        <v>-15.43149683081424</v>
      </c>
      <c r="L114" s="20">
        <f t="array" aca="1" ref="L114" ca="1">_FV(A114,"Market cap",TRUE)/10000000</f>
        <v>18970.89</v>
      </c>
      <c r="M114" s="21" t="str">
        <f t="shared" ca="1" si="7"/>
        <v>MC</v>
      </c>
      <c r="N114" s="37" t="str">
        <f t="array" aca="1" ref="N114" ca="1">_FV(A114,"Industry")</f>
        <v>Chemicals</v>
      </c>
    </row>
    <row r="115" spans="1:14">
      <c r="A115" s="107" t="e" vm="272">
        <v>#VALUE!</v>
      </c>
      <c r="B115" s="33">
        <f t="array" aca="1" ref="B115" ca="1">_FV(A115,"Change (%)",TRUE)</f>
        <v>-2.3460000000000002E-2</v>
      </c>
      <c r="C115" s="35">
        <f t="array" aca="1" ref="C115" ca="1">_FV(A115,"Previous close",TRUE)</f>
        <v>848.25</v>
      </c>
      <c r="D115" s="35">
        <f t="array" aca="1" ref="D115" ca="1">_FV(A115,"Price")</f>
        <v>828.35</v>
      </c>
      <c r="E115" s="35">
        <f t="array" aca="1" ref="E115" ca="1">_FV(A115,"Low")</f>
        <v>825</v>
      </c>
      <c r="F115" s="35">
        <f t="array" aca="1" ref="F115" ca="1">_FV(A115,"High")</f>
        <v>851.2</v>
      </c>
      <c r="G115" s="35">
        <f t="array" aca="1" ref="G115" ca="1">_FV(A115,"52 week low",TRUE)</f>
        <v>433.1</v>
      </c>
      <c r="H115" s="36">
        <f t="array" aca="1" ref="H115" ca="1">_FV(A115,"52 week high",TRUE)</f>
        <v>1103</v>
      </c>
      <c r="I115" s="40">
        <f t="shared" ca="1" si="4"/>
        <v>24.900271985494104</v>
      </c>
      <c r="J115" s="39" t="str">
        <f t="shared" ca="1" si="5"/>
        <v>FIRST MC BUY</v>
      </c>
      <c r="K115" s="54">
        <f t="shared" ca="1" si="6"/>
        <v>-91.260678827060715</v>
      </c>
      <c r="L115" s="20">
        <f t="array" aca="1" ref="L115" ca="1">_FV(A115,"Market cap",TRUE)/10000000</f>
        <v>12631.41</v>
      </c>
      <c r="M115" s="21" t="str">
        <f t="shared" ca="1" si="7"/>
        <v>MC</v>
      </c>
      <c r="N115" s="37" t="str">
        <f t="array" aca="1" ref="N115" ca="1">_FV(A115,"Industry")</f>
        <v>Oil &amp; Gas</v>
      </c>
    </row>
    <row r="116" spans="1:14">
      <c r="A116" s="107" t="e" vm="273">
        <v>#VALUE!</v>
      </c>
      <c r="B116" s="33">
        <f t="array" aca="1" ref="B116" ca="1">_FV(A116,"Change (%)",TRUE)</f>
        <v>9.8839999999999987E-3</v>
      </c>
      <c r="C116" s="35">
        <f t="array" aca="1" ref="C116" ca="1">_FV(A116,"Previous close",TRUE)</f>
        <v>814.45</v>
      </c>
      <c r="D116" s="35">
        <f t="array" aca="1" ref="D116" ca="1">_FV(A116,"Price")</f>
        <v>822.5</v>
      </c>
      <c r="E116" s="35">
        <f t="array" aca="1" ref="E116" ca="1">_FV(A116,"Low")</f>
        <v>811.35</v>
      </c>
      <c r="F116" s="35">
        <f t="array" aca="1" ref="F116" ca="1">_FV(A116,"High")</f>
        <v>826.5</v>
      </c>
      <c r="G116" s="35">
        <f t="array" aca="1" ref="G116" ca="1">_FV(A116,"52 week low",TRUE)</f>
        <v>438.45</v>
      </c>
      <c r="H116" s="36">
        <f t="array" aca="1" ref="H116" ca="1">_FV(A116,"52 week high",TRUE)</f>
        <v>841</v>
      </c>
      <c r="I116" s="40">
        <f t="shared" ca="1" si="4"/>
        <v>2.1997621878715816</v>
      </c>
      <c r="J116" s="39" t="str">
        <f t="shared" ca="1" si="5"/>
        <v>WATCH</v>
      </c>
      <c r="K116" s="54">
        <f t="shared" ca="1" si="6"/>
        <v>-87.592655947086328</v>
      </c>
      <c r="L116" s="20">
        <f t="array" aca="1" ref="L116" ca="1">_FV(A116,"Market cap",TRUE)/10000000</f>
        <v>18144.03</v>
      </c>
      <c r="M116" s="21" t="str">
        <f t="shared" ca="1" si="7"/>
        <v>MC</v>
      </c>
      <c r="N116" s="37" t="str">
        <f t="array" aca="1" ref="N116" ca="1">_FV(A116,"Industry")</f>
        <v>Investment Banking &amp; Investment Services</v>
      </c>
    </row>
    <row r="117" spans="1:14">
      <c r="A117" s="107" t="e" vm="274">
        <v>#VALUE!</v>
      </c>
      <c r="B117" s="33">
        <f t="array" aca="1" ref="B117" ca="1">_FV(A117,"Change (%)",TRUE)</f>
        <v>-2.3334000000000001E-2</v>
      </c>
      <c r="C117" s="35">
        <f t="array" aca="1" ref="C117" ca="1">_FV(A117,"Previous close",TRUE)</f>
        <v>1902.8</v>
      </c>
      <c r="D117" s="35">
        <f t="array" aca="1" ref="D117" ca="1">_FV(A117,"Price")</f>
        <v>1858.4</v>
      </c>
      <c r="E117" s="35">
        <f t="array" aca="1" ref="E117" ca="1">_FV(A117,"Low")</f>
        <v>1853.1</v>
      </c>
      <c r="F117" s="35">
        <f t="array" aca="1" ref="F117" ca="1">_FV(A117,"High")</f>
        <v>1917</v>
      </c>
      <c r="G117" s="35">
        <f t="array" aca="1" ref="G117" ca="1">_FV(A117,"52 week low",TRUE)</f>
        <v>1357.35</v>
      </c>
      <c r="H117" s="36">
        <f t="array" aca="1" ref="H117" ca="1">_FV(A117,"52 week high",TRUE)</f>
        <v>2231.6</v>
      </c>
      <c r="I117" s="40">
        <f t="shared" ca="1" si="4"/>
        <v>16.723427137479828</v>
      </c>
      <c r="J117" s="39" t="str">
        <f t="shared" ca="1" si="5"/>
        <v>WATCH</v>
      </c>
      <c r="K117" s="54">
        <f t="shared" ca="1" si="6"/>
        <v>-36.91383946660774</v>
      </c>
      <c r="L117" s="20">
        <f t="array" aca="1" ref="L117" ca="1">_FV(A117,"Market cap",TRUE)/10000000</f>
        <v>34896.559999999998</v>
      </c>
      <c r="M117" s="21" t="str">
        <f t="shared" ca="1" si="7"/>
        <v>MC</v>
      </c>
      <c r="N117" s="37" t="str">
        <f t="array" aca="1" ref="N117" ca="1">_FV(A117,"Industry")</f>
        <v>Banking Services</v>
      </c>
    </row>
    <row r="118" spans="1:14">
      <c r="A118" s="107" t="e" vm="177">
        <v>#VALUE!</v>
      </c>
      <c r="B118" s="33">
        <f t="array" aca="1" ref="B118" ca="1">_FV(A118,"Change (%)",TRUE)</f>
        <v>1.178E-4</v>
      </c>
      <c r="C118" s="35">
        <f t="array" aca="1" ref="C118" ca="1">_FV(A118,"Previous close",TRUE)</f>
        <v>1697.8</v>
      </c>
      <c r="D118" s="35">
        <f t="array" aca="1" ref="D118" ca="1">_FV(A118,"Price")</f>
        <v>1698</v>
      </c>
      <c r="E118" s="35">
        <f t="array" aca="1" ref="E118" ca="1">_FV(A118,"Low")</f>
        <v>1694.8</v>
      </c>
      <c r="F118" s="35">
        <f t="array" aca="1" ref="F118" ca="1">_FV(A118,"High")</f>
        <v>1712.4</v>
      </c>
      <c r="G118" s="35">
        <f t="array" aca="1" ref="G118" ca="1">_FV(A118,"52 week low",TRUE)</f>
        <v>1168</v>
      </c>
      <c r="H118" s="36">
        <f t="array" aca="1" ref="H118" ca="1">_FV(A118,"52 week high",TRUE)</f>
        <v>1782</v>
      </c>
      <c r="I118" s="40">
        <f t="shared" ca="1" si="4"/>
        <v>4.7138047138047137</v>
      </c>
      <c r="J118" s="39" t="str">
        <f t="shared" ca="1" si="5"/>
        <v>WATCH</v>
      </c>
      <c r="K118" s="54">
        <f t="shared" ca="1" si="6"/>
        <v>-45.376712328767127</v>
      </c>
      <c r="L118" s="20">
        <f t="array" aca="1" ref="L118" ca="1">_FV(A118,"Market cap",TRUE)/10000000</f>
        <v>143286.29999999999</v>
      </c>
      <c r="M118" s="21" t="str">
        <f t="shared" ca="1" si="7"/>
        <v>LC</v>
      </c>
      <c r="N118" s="37" t="str">
        <f t="array" aca="1" ref="N118" ca="1">_FV(A118,"Industry")</f>
        <v>Banking Services</v>
      </c>
    </row>
    <row r="119" spans="1:14">
      <c r="A119" s="107" t="e" vm="159">
        <v>#VALUE!</v>
      </c>
      <c r="B119" s="33">
        <f t="array" aca="1" ref="B119" ca="1">_FV(A119,"Change (%)",TRUE)</f>
        <v>6.483E-3</v>
      </c>
      <c r="C119" s="35">
        <f t="array" aca="1" ref="C119" ca="1">_FV(A119,"Previous close",TRUE)</f>
        <v>1496.3</v>
      </c>
      <c r="D119" s="35">
        <f t="array" aca="1" ref="D119" ca="1">_FV(A119,"Price")</f>
        <v>1506</v>
      </c>
      <c r="E119" s="35">
        <f t="array" aca="1" ref="E119" ca="1">_FV(A119,"Low")</f>
        <v>1494</v>
      </c>
      <c r="F119" s="35">
        <f t="array" aca="1" ref="F119" ca="1">_FV(A119,"High")</f>
        <v>1510.9</v>
      </c>
      <c r="G119" s="35">
        <f t="array" aca="1" ref="G119" ca="1">_FV(A119,"52 week low",TRUE)</f>
        <v>1332.35</v>
      </c>
      <c r="H119" s="36">
        <f t="array" aca="1" ref="H119" ca="1">_FV(A119,"52 week high",TRUE)</f>
        <v>1673</v>
      </c>
      <c r="I119" s="40">
        <f t="shared" ca="1" si="4"/>
        <v>9.9820681410639569</v>
      </c>
      <c r="J119" s="39" t="str">
        <f t="shared" ca="1" si="5"/>
        <v>WATCH</v>
      </c>
      <c r="K119" s="54">
        <f t="shared" ca="1" si="6"/>
        <v>-13.033362104552113</v>
      </c>
      <c r="L119" s="20">
        <f t="array" aca="1" ref="L119" ca="1">_FV(A119,"Market cap",TRUE)/10000000</f>
        <v>120866.9</v>
      </c>
      <c r="M119" s="21" t="str">
        <f t="shared" ca="1" si="7"/>
        <v>LC</v>
      </c>
      <c r="N119" s="37" t="str">
        <f t="array" aca="1" ref="N119" ca="1">_FV(A119,"Industry")</f>
        <v>Pharmaceuticals</v>
      </c>
    </row>
    <row r="120" spans="1:14">
      <c r="A120" s="107" t="e" vm="275">
        <v>#VALUE!</v>
      </c>
      <c r="B120" s="33">
        <f t="array" aca="1" ref="B120" ca="1">_FV(A120,"Change (%)",TRUE)</f>
        <v>-1.2498E-2</v>
      </c>
      <c r="C120" s="35">
        <f t="array" aca="1" ref="C120" ca="1">_FV(A120,"Previous close",TRUE)</f>
        <v>296.05</v>
      </c>
      <c r="D120" s="35">
        <f t="array" aca="1" ref="D120" ca="1">_FV(A120,"Price")</f>
        <v>292.35000000000002</v>
      </c>
      <c r="E120" s="35">
        <f t="array" aca="1" ref="E120" ca="1">_FV(A120,"Low")</f>
        <v>290</v>
      </c>
      <c r="F120" s="35">
        <f t="array" aca="1" ref="F120" ca="1">_FV(A120,"High")</f>
        <v>297.89999999999998</v>
      </c>
      <c r="G120" s="35">
        <f t="array" aca="1" ref="G120" ca="1">_FV(A120,"52 week low",TRUE)</f>
        <v>142.91</v>
      </c>
      <c r="H120" s="36">
        <f t="array" aca="1" ref="H120" ca="1">_FV(A120,"52 week high",TRUE)</f>
        <v>297.89999999999998</v>
      </c>
      <c r="I120" s="40">
        <f t="shared" ca="1" si="4"/>
        <v>1.8630412890231469</v>
      </c>
      <c r="J120" s="39" t="str">
        <f t="shared" ca="1" si="5"/>
        <v>WATCH</v>
      </c>
      <c r="K120" s="54">
        <f t="shared" ca="1" si="6"/>
        <v>-104.56930935553846</v>
      </c>
      <c r="L120" s="20">
        <f t="array" aca="1" ref="L120" ca="1">_FV(A120,"Market cap",TRUE)/10000000</f>
        <v>21969.82</v>
      </c>
      <c r="M120" s="21" t="str">
        <f t="shared" ca="1" si="7"/>
        <v>MC</v>
      </c>
      <c r="N120" s="37" t="str">
        <f t="array" aca="1" ref="N120" ca="1">_FV(A120,"Industry")</f>
        <v>Banking Services</v>
      </c>
    </row>
    <row r="121" spans="1:14">
      <c r="A121" s="107" t="e" vm="276">
        <v>#VALUE!</v>
      </c>
      <c r="B121" s="33">
        <f t="array" aca="1" ref="B121" ca="1">_FV(A121,"Change (%)",TRUE)</f>
        <v>-1.9066E-2</v>
      </c>
      <c r="C121" s="35">
        <f t="array" aca="1" ref="C121" ca="1">_FV(A121,"Previous close",TRUE)</f>
        <v>896.9</v>
      </c>
      <c r="D121" s="35">
        <f t="array" aca="1" ref="D121" ca="1">_FV(A121,"Price")</f>
        <v>879.8</v>
      </c>
      <c r="E121" s="35">
        <f t="array" aca="1" ref="E121" ca="1">_FV(A121,"Low")</f>
        <v>878.3</v>
      </c>
      <c r="F121" s="35">
        <f t="array" aca="1" ref="F121" ca="1">_FV(A121,"High")</f>
        <v>899.6</v>
      </c>
      <c r="G121" s="35">
        <f t="array" aca="1" ref="G121" ca="1">_FV(A121,"52 week low",TRUE)</f>
        <v>873.75</v>
      </c>
      <c r="H121" s="36">
        <f t="array" aca="1" ref="H121" ca="1">_FV(A121,"52 week high",TRUE)</f>
        <v>1600</v>
      </c>
      <c r="I121" s="40">
        <f t="shared" ca="1" si="4"/>
        <v>45.012500000000003</v>
      </c>
      <c r="J121" s="39" t="str">
        <f t="shared" ca="1" si="5"/>
        <v>FIRST HSC BUY</v>
      </c>
      <c r="K121" s="54">
        <f t="shared" ca="1" si="6"/>
        <v>-0.69241773962803488</v>
      </c>
      <c r="L121" s="20">
        <f t="array" aca="1" ref="L121" ca="1">_FV(A121,"Market cap",TRUE)/10000000</f>
        <v>9531.9390000000003</v>
      </c>
      <c r="M121" s="21" t="str">
        <f t="shared" ca="1" si="7"/>
        <v>HSC</v>
      </c>
      <c r="N121" s="37" t="str">
        <f t="array" aca="1" ref="N121" ca="1">_FV(A121,"Industry")</f>
        <v>Chemicals</v>
      </c>
    </row>
    <row r="122" spans="1:14">
      <c r="A122" s="107" t="e" vm="27">
        <v>#VALUE!</v>
      </c>
      <c r="B122" s="33">
        <f t="array" aca="1" ref="B122" ca="1">_FV(A122,"Change (%)",TRUE)</f>
        <v>-4.9709999999999999E-4</v>
      </c>
      <c r="C122" s="35">
        <f t="array" aca="1" ref="C122" ca="1">_FV(A122,"Previous close",TRUE)</f>
        <v>402.35</v>
      </c>
      <c r="D122" s="35">
        <f t="array" aca="1" ref="D122" ca="1">_FV(A122,"Price")</f>
        <v>402.15</v>
      </c>
      <c r="E122" s="35">
        <f t="array" aca="1" ref="E122" ca="1">_FV(A122,"Low")</f>
        <v>400.6</v>
      </c>
      <c r="F122" s="35">
        <f t="array" aca="1" ref="F122" ca="1">_FV(A122,"High")</f>
        <v>408.4</v>
      </c>
      <c r="G122" s="35">
        <f t="array" aca="1" ref="G122" ca="1">_FV(A122,"52 week low",TRUE)</f>
        <v>349.25</v>
      </c>
      <c r="H122" s="36">
        <f t="array" aca="1" ref="H122" ca="1">_FV(A122,"52 week high",TRUE)</f>
        <v>417.25</v>
      </c>
      <c r="I122" s="40">
        <f t="shared" ca="1" si="4"/>
        <v>3.618933493109652</v>
      </c>
      <c r="J122" s="39" t="str">
        <f t="shared" ca="1" si="5"/>
        <v>WATCH</v>
      </c>
      <c r="K122" s="54">
        <f t="shared" ca="1" si="6"/>
        <v>-15.146743020758764</v>
      </c>
      <c r="L122" s="20">
        <f t="array" aca="1" ref="L122" ca="1">_FV(A122,"Market cap",TRUE)/10000000</f>
        <v>247834.1</v>
      </c>
      <c r="M122" s="21" t="str">
        <f t="shared" ca="1" si="7"/>
        <v>LC</v>
      </c>
      <c r="N122" s="37" t="str">
        <f t="array" aca="1" ref="N122" ca="1">_FV(A122,"Industry")</f>
        <v>Coal</v>
      </c>
    </row>
    <row r="123" spans="1:14">
      <c r="A123" s="107" t="e" vm="28">
        <v>#VALUE!</v>
      </c>
      <c r="B123" s="33">
        <f t="array" aca="1" ref="B123" ca="1">_FV(A123,"Change (%)",TRUE)</f>
        <v>1.6980000000000001E-3</v>
      </c>
      <c r="C123" s="35">
        <f t="array" aca="1" ref="C123" ca="1">_FV(A123,"Previous close",TRUE)</f>
        <v>1649.3</v>
      </c>
      <c r="D123" s="35">
        <f t="array" aca="1" ref="D123" ca="1">_FV(A123,"Price")</f>
        <v>1652.1</v>
      </c>
      <c r="E123" s="35">
        <f t="array" aca="1" ref="E123" ca="1">_FV(A123,"Low")</f>
        <v>1646</v>
      </c>
      <c r="F123" s="35">
        <f t="array" aca="1" ref="F123" ca="1">_FV(A123,"High")</f>
        <v>1697</v>
      </c>
      <c r="G123" s="35">
        <f t="array" aca="1" ref="G123" ca="1">_FV(A123,"52 week low",TRUE)</f>
        <v>1180.2</v>
      </c>
      <c r="H123" s="36">
        <f t="array" aca="1" ref="H123" ca="1">_FV(A123,"52 week high",TRUE)</f>
        <v>2545</v>
      </c>
      <c r="I123" s="40">
        <f t="shared" ca="1" si="4"/>
        <v>35.084479371316313</v>
      </c>
      <c r="J123" s="39" t="str">
        <f t="shared" ca="1" si="5"/>
        <v>SURE HMC BUY</v>
      </c>
      <c r="K123" s="54">
        <f t="shared" ca="1" si="6"/>
        <v>-39.984748347737657</v>
      </c>
      <c r="L123" s="20">
        <f t="array" aca="1" ref="L123" ca="1">_FV(A123,"Market cap",TRUE)/10000000</f>
        <v>43389.91</v>
      </c>
      <c r="M123" s="21" t="str">
        <f t="shared" ca="1" si="7"/>
        <v>HMC</v>
      </c>
      <c r="N123" s="37" t="str">
        <f t="array" aca="1" ref="N123" ca="1">_FV(A123,"Industry")</f>
        <v>Machinery, Equipment &amp; Components</v>
      </c>
    </row>
    <row r="124" spans="1:14">
      <c r="A124" s="107" t="e" vm="144">
        <v>#VALUE!</v>
      </c>
      <c r="B124" s="33">
        <f t="array" aca="1" ref="B124" ca="1">_FV(A124,"Change (%)",TRUE)</f>
        <v>-3.7060000000000003E-2</v>
      </c>
      <c r="C124" s="35">
        <f t="array" aca="1" ref="C124" ca="1">_FV(A124,"Previous close",TRUE)</f>
        <v>1737.7</v>
      </c>
      <c r="D124" s="35">
        <f t="array" aca="1" ref="D124" ca="1">_FV(A124,"Price")</f>
        <v>1673.3</v>
      </c>
      <c r="E124" s="35">
        <f t="array" aca="1" ref="E124" ca="1">_FV(A124,"Low")</f>
        <v>1658.9</v>
      </c>
      <c r="F124" s="35">
        <f t="array" aca="1" ref="F124" ca="1">_FV(A124,"High")</f>
        <v>1744.7</v>
      </c>
      <c r="G124" s="35">
        <f t="array" aca="1" ref="G124" ca="1">_FV(A124,"52 week low",TRUE)</f>
        <v>1194.01</v>
      </c>
      <c r="H124" s="36">
        <f t="array" aca="1" ref="H124" ca="1">_FV(A124,"52 week high",TRUE)</f>
        <v>2005.36</v>
      </c>
      <c r="I124" s="40">
        <f t="shared" ca="1" si="4"/>
        <v>16.558622890653048</v>
      </c>
      <c r="J124" s="39" t="str">
        <f t="shared" ca="1" si="5"/>
        <v>FIRST HMC BUY</v>
      </c>
      <c r="K124" s="54">
        <f t="shared" ca="1" si="6"/>
        <v>-40.141204847530588</v>
      </c>
      <c r="L124" s="20">
        <f t="array" aca="1" ref="L124" ca="1">_FV(A124,"Market cap",TRUE)/10000000</f>
        <v>58220.21</v>
      </c>
      <c r="M124" s="21" t="str">
        <f t="shared" ca="1" si="7"/>
        <v>HMC</v>
      </c>
      <c r="N124" s="37" t="str">
        <f t="array" aca="1" ref="N124" ca="1">_FV(A124,"Industry")</f>
        <v>Software &amp; IT Services</v>
      </c>
    </row>
    <row r="125" spans="1:14">
      <c r="A125" s="107" t="e" vm="277">
        <v>#VALUE!</v>
      </c>
      <c r="B125" s="33">
        <f t="array" aca="1" ref="B125" ca="1">_FV(A125,"Change (%)",TRUE)</f>
        <v>2.1449999999999998E-3</v>
      </c>
      <c r="C125" s="35">
        <f t="array" aca="1" ref="C125" ca="1">_FV(A125,"Previous close",TRUE)</f>
        <v>536.20000000000005</v>
      </c>
      <c r="D125" s="35">
        <f t="array" aca="1" ref="D125" ca="1">_FV(A125,"Price")</f>
        <v>537.35</v>
      </c>
      <c r="E125" s="35">
        <f t="array" aca="1" ref="E125" ca="1">_FV(A125,"Low")</f>
        <v>533.29999999999995</v>
      </c>
      <c r="F125" s="35">
        <f t="array" aca="1" ref="F125" ca="1">_FV(A125,"High")</f>
        <v>538.35</v>
      </c>
      <c r="G125" s="35">
        <f t="array" aca="1" ref="G125" ca="1">_FV(A125,"52 week low",TRUE)</f>
        <v>518.15</v>
      </c>
      <c r="H125" s="36">
        <f t="array" aca="1" ref="H125" ca="1">_FV(A125,"52 week high",TRUE)</f>
        <v>1328</v>
      </c>
      <c r="I125" s="40">
        <f t="shared" ca="1" si="4"/>
        <v>59.536897590361448</v>
      </c>
      <c r="J125" s="39" t="str">
        <f t="shared" ca="1" si="5"/>
        <v>SURE MC BUY</v>
      </c>
      <c r="K125" s="54">
        <f t="shared" ca="1" si="6"/>
        <v>-3.705490688024712</v>
      </c>
      <c r="L125" s="20">
        <f t="array" aca="1" ref="L125" ca="1">_FV(A125,"Market cap",TRUE)/10000000</f>
        <v>20557.25</v>
      </c>
      <c r="M125" s="21" t="str">
        <f t="shared" ca="1" si="7"/>
        <v>MC</v>
      </c>
      <c r="N125" s="37" t="str">
        <f t="array" aca="1" ref="N125" ca="1">_FV(A125,"Industry")</f>
        <v>Pharmaceuticals</v>
      </c>
    </row>
    <row r="126" spans="1:14">
      <c r="A126" s="107" t="e" vm="29">
        <v>#VALUE!</v>
      </c>
      <c r="B126" s="33">
        <f t="array" aca="1" ref="B126" ca="1">_FV(A126,"Change (%)",TRUE)</f>
        <v>-2.8189999999999999E-3</v>
      </c>
      <c r="C126" s="35">
        <f t="array" aca="1" ref="C126" ca="1">_FV(A126,"Previous close",TRUE)</f>
        <v>2093.3000000000002</v>
      </c>
      <c r="D126" s="35">
        <f t="array" aca="1" ref="D126" ca="1">_FV(A126,"Price")</f>
        <v>2087.4</v>
      </c>
      <c r="E126" s="35">
        <f t="array" aca="1" ref="E126" ca="1">_FV(A126,"Low")</f>
        <v>2082</v>
      </c>
      <c r="F126" s="35">
        <f t="array" aca="1" ref="F126" ca="1">_FV(A126,"High")</f>
        <v>2114.9</v>
      </c>
      <c r="G126" s="35">
        <f t="array" aca="1" ref="G126" ca="1">_FV(A126,"52 week low",TRUE)</f>
        <v>2064</v>
      </c>
      <c r="H126" s="36">
        <f t="array" aca="1" ref="H126" ca="1">_FV(A126,"52 week high",TRUE)</f>
        <v>2975</v>
      </c>
      <c r="I126" s="40">
        <f t="shared" ca="1" si="4"/>
        <v>29.835294117647052</v>
      </c>
      <c r="J126" s="39" t="str">
        <f t="shared" ca="1" si="5"/>
        <v>HMC BUY</v>
      </c>
      <c r="K126" s="54">
        <f t="shared" ca="1" si="6"/>
        <v>-1.1337209302325626</v>
      </c>
      <c r="L126" s="20">
        <f t="array" aca="1" ref="L126" ca="1">_FV(A126,"Market cap",TRUE)/10000000</f>
        <v>56934.75</v>
      </c>
      <c r="M126" s="21" t="str">
        <f t="shared" ca="1" si="7"/>
        <v>HMC</v>
      </c>
      <c r="N126" s="37" t="str">
        <f t="array" aca="1" ref="N126" ca="1">_FV(A126,"Industry")</f>
        <v>Personal &amp; Household Products &amp; Services</v>
      </c>
    </row>
    <row r="127" spans="1:14">
      <c r="A127" s="107" t="e" vm="278">
        <v>#VALUE!</v>
      </c>
      <c r="B127" s="33">
        <f t="array" aca="1" ref="B127" ca="1">_FV(A127,"Change (%)",TRUE)</f>
        <v>-1.4865999999999999E-2</v>
      </c>
      <c r="C127" s="35">
        <f t="array" aca="1" ref="C127" ca="1">_FV(A127,"Previous close",TRUE)</f>
        <v>760.1</v>
      </c>
      <c r="D127" s="35">
        <f t="array" aca="1" ref="D127" ca="1">_FV(A127,"Price")</f>
        <v>748.8</v>
      </c>
      <c r="E127" s="35">
        <f t="array" aca="1" ref="E127" ca="1">_FV(A127,"Low")</f>
        <v>746.7</v>
      </c>
      <c r="F127" s="35">
        <f t="array" aca="1" ref="F127" ca="1">_FV(A127,"High")</f>
        <v>762</v>
      </c>
      <c r="G127" s="35">
        <f t="array" aca="1" ref="G127" ca="1">_FV(A127,"52 week low",TRUE)</f>
        <v>606.21</v>
      </c>
      <c r="H127" s="36">
        <f t="array" aca="1" ref="H127" ca="1">_FV(A127,"52 week high",TRUE)</f>
        <v>1057.57</v>
      </c>
      <c r="I127" s="40">
        <f t="shared" ca="1" si="4"/>
        <v>29.196176139640876</v>
      </c>
      <c r="J127" s="39" t="str">
        <f t="shared" ca="1" si="5"/>
        <v>FIRST MC BUY</v>
      </c>
      <c r="K127" s="54">
        <f t="shared" ca="1" si="6"/>
        <v>-23.521551937447406</v>
      </c>
      <c r="L127" s="20">
        <f t="array" aca="1" ref="L127" ca="1">_FV(A127,"Market cap",TRUE)/10000000</f>
        <v>18823.93</v>
      </c>
      <c r="M127" s="21" t="str">
        <f t="shared" ca="1" si="7"/>
        <v>MC</v>
      </c>
      <c r="N127" s="37" t="str">
        <f t="array" aca="1" ref="N127" ca="1">_FV(A127,"Industry")</f>
        <v>Professional &amp; Commercial Services</v>
      </c>
    </row>
    <row r="128" spans="1:14">
      <c r="A128" s="107" t="e" vm="279">
        <v>#VALUE!</v>
      </c>
      <c r="B128" s="33">
        <f t="array" aca="1" ref="B128" ca="1">_FV(A128,"Change (%)",TRUE)</f>
        <v>-5.7130000000000002E-3</v>
      </c>
      <c r="C128" s="35">
        <f t="array" aca="1" ref="C128" ca="1">_FV(A128,"Previous close",TRUE)</f>
        <v>1347.7</v>
      </c>
      <c r="D128" s="35">
        <f t="array" aca="1" ref="D128" ca="1">_FV(A128,"Price")</f>
        <v>1340</v>
      </c>
      <c r="E128" s="35">
        <f t="array" aca="1" ref="E128" ca="1">_FV(A128,"Low")</f>
        <v>1336.6</v>
      </c>
      <c r="F128" s="35">
        <f t="array" aca="1" ref="F128" ca="1">_FV(A128,"High")</f>
        <v>1345</v>
      </c>
      <c r="G128" s="35">
        <f t="array" aca="1" ref="G128" ca="1">_FV(A128,"52 week low",TRUE)</f>
        <v>1314.9</v>
      </c>
      <c r="H128" s="36">
        <f t="array" aca="1" ref="H128" ca="1">_FV(A128,"52 week high",TRUE)</f>
        <v>2451.6999999999998</v>
      </c>
      <c r="I128" s="40">
        <f t="shared" ca="1" si="4"/>
        <v>45.344046987804376</v>
      </c>
      <c r="J128" s="39" t="str">
        <f t="shared" ca="1" si="5"/>
        <v>SURE MC BUY</v>
      </c>
      <c r="K128" s="54">
        <f t="shared" ca="1" si="6"/>
        <v>-1.9088904099170969</v>
      </c>
      <c r="L128" s="20">
        <f t="array" aca="1" ref="L128" ca="1">_FV(A128,"Market cap",TRUE)/10000000</f>
        <v>14099.13</v>
      </c>
      <c r="M128" s="21" t="str">
        <f t="shared" ca="1" si="7"/>
        <v>MC</v>
      </c>
      <c r="N128" s="37" t="str">
        <f t="array" aca="1" ref="N128" ca="1">_FV(A128,"Industry")</f>
        <v>Pharmaceuticals</v>
      </c>
    </row>
    <row r="129" spans="1:14">
      <c r="A129" s="107" t="e" vm="30">
        <v>#VALUE!</v>
      </c>
      <c r="B129" s="33">
        <f t="array" aca="1" ref="B129" ca="1">_FV(A129,"Change (%)",TRUE)</f>
        <v>2.3003999999999997E-2</v>
      </c>
      <c r="C129" s="35">
        <f t="array" aca="1" ref="C129" ca="1">_FV(A129,"Previous close",TRUE)</f>
        <v>508.6</v>
      </c>
      <c r="D129" s="35">
        <f t="array" aca="1" ref="D129" ca="1">_FV(A129,"Price")</f>
        <v>520.29999999999995</v>
      </c>
      <c r="E129" s="35">
        <f t="array" aca="1" ref="E129" ca="1">_FV(A129,"Low")</f>
        <v>507.85</v>
      </c>
      <c r="F129" s="35">
        <f t="array" aca="1" ref="F129" ca="1">_FV(A129,"High")</f>
        <v>523</v>
      </c>
      <c r="G129" s="35">
        <f t="array" aca="1" ref="G129" ca="1">_FV(A129,"52 week low",TRUE)</f>
        <v>481</v>
      </c>
      <c r="H129" s="36">
        <f t="array" aca="1" ref="H129" ca="1">_FV(A129,"52 week high",TRUE)</f>
        <v>652.04</v>
      </c>
      <c r="I129" s="40">
        <f t="shared" ref="I129:I191" ca="1" si="8">(H129-D129)*100/H129</f>
        <v>20.204281945892891</v>
      </c>
      <c r="J129" s="39" t="str">
        <f t="shared" ref="J129:J191" ca="1" si="9">IF(AND(M129="HLC", I129&gt;12), "SURE HLC BUY",IF(AND(M129="HLC", I129&gt;7), "FIRST HLC BUY",IF(AND(M129="LC", I129&gt;20), "SURE LC BUY",IF(AND(M129="LC", I129&gt;10), "LC BUY",IF(AND(M129="HMC", I129&gt;30), "SURE HMC BUY",IF(AND(M129="HMC", I129&gt;20), "HMC BUY",IF(AND(M129="HMC", I129&gt;15), "FIRST HMC BUY",IF(AND(M129="MC", I129&gt;40), "SURE MC BUY",IF(AND(M129="MC", I129&gt;30), "MC BUY",IF(AND(M129="MC", I129&gt;20), "FIRST MC BUY",IF(AND(M129="HSC", I129&gt;60), "SURE HSC BUY",IF(AND(M129="HSC", I129&gt;50), "HSC BUY",IF(AND(M129="HSC", I129&gt;40), "FIRST HSC BUY",IF(AND(M129="SC", I129&gt;70), "SURE SC BUY",IF(AND(M129="SC", I129&gt;60), "SC BUY",IF(AND(M129="SC", I129&gt;50), "FIRST SC BUY",IF(AND(M129="VSC", I129&gt;80), "SURE VSC BUY",IF(AND(M129="VSC", I129&gt;70), "VSC BUY",IF(AND(M129="VSC", I129&gt;60), "FIRST VSC BUY","WATCH")))))))))))))))))))</f>
        <v>FIRST MC BUY</v>
      </c>
      <c r="K129" s="54">
        <f t="shared" ref="K129:K191" ca="1" si="10">(G129-D129)*100/G129</f>
        <v>-8.1704781704781606</v>
      </c>
      <c r="L129" s="20">
        <f t="array" aca="1" ref="L129" ca="1">_FV(A129,"Market cap",TRUE)/10000000</f>
        <v>38735.89</v>
      </c>
      <c r="M129" s="21" t="str">
        <f t="shared" ref="M129:M191" ca="1" si="11">IF(L129&gt;500000,"HLC",IF(L129 &gt;100000,"LC",IF(L129 &gt;40000,"HMC",IF(L129 &gt;10000,"MC",IF(L129 &gt;=5000,"HSC",IF(L129 &gt;1000,"SC","VSC"))))))</f>
        <v>MC</v>
      </c>
      <c r="N129" s="37" t="str">
        <f t="array" aca="1" ref="N129" ca="1">_FV(A129,"Industry")</f>
        <v>Freight &amp; Logistics Services</v>
      </c>
    </row>
    <row r="130" spans="1:14">
      <c r="A130" s="107" t="e" vm="280">
        <v>#VALUE!</v>
      </c>
      <c r="B130" s="33">
        <f t="array" aca="1" ref="B130" ca="1">_FV(A130,"Change (%)",TRUE)</f>
        <v>-1.8832999999999999E-2</v>
      </c>
      <c r="C130" s="35">
        <f t="array" aca="1" ref="C130" ca="1">_FV(A130,"Previous close",TRUE)</f>
        <v>2400</v>
      </c>
      <c r="D130" s="35">
        <f t="array" aca="1" ref="D130" ca="1">_FV(A130,"Price")</f>
        <v>2354.8000000000002</v>
      </c>
      <c r="E130" s="35">
        <f t="array" aca="1" ref="E130" ca="1">_FV(A130,"Low")</f>
        <v>2348.9</v>
      </c>
      <c r="F130" s="35">
        <f t="array" aca="1" ref="F130" ca="1">_FV(A130,"High")</f>
        <v>2409.8000000000002</v>
      </c>
      <c r="G130" s="35">
        <f t="array" aca="1" ref="G130" ca="1">_FV(A130,"52 week low",TRUE)</f>
        <v>1593.99</v>
      </c>
      <c r="H130" s="36">
        <f t="array" aca="1" ref="H130" ca="1">_FV(A130,"52 week high",TRUE)</f>
        <v>2718.9</v>
      </c>
      <c r="I130" s="40">
        <f t="shared" ca="1" si="8"/>
        <v>13.391445069697301</v>
      </c>
      <c r="J130" s="39" t="str">
        <f t="shared" ca="1" si="9"/>
        <v>WATCH</v>
      </c>
      <c r="K130" s="54">
        <f t="shared" ca="1" si="10"/>
        <v>-47.729910476226337</v>
      </c>
      <c r="L130" s="20">
        <f t="array" aca="1" ref="L130" ca="1">_FV(A130,"Market cap",TRUE)/10000000</f>
        <v>70727.789999999994</v>
      </c>
      <c r="M130" s="21" t="str">
        <f t="shared" ca="1" si="11"/>
        <v>HMC</v>
      </c>
      <c r="N130" s="37" t="str">
        <f t="array" aca="1" ref="N130" ca="1">_FV(A130,"Industry")</f>
        <v>Chemicals</v>
      </c>
    </row>
    <row r="131" spans="1:14">
      <c r="A131" s="107" t="e" vm="281">
        <v>#VALUE!</v>
      </c>
      <c r="B131" s="33">
        <f t="array" aca="1" ref="B131" ca="1">_FV(A131,"Change (%)",TRUE)</f>
        <v>4.5848000000000007E-2</v>
      </c>
      <c r="C131" s="35">
        <f t="array" aca="1" ref="C131" ca="1">_FV(A131,"Previous close",TRUE)</f>
        <v>7056</v>
      </c>
      <c r="D131" s="35">
        <f t="array" aca="1" ref="D131" ca="1">_FV(A131,"Price")</f>
        <v>7379.5</v>
      </c>
      <c r="E131" s="35">
        <f t="array" aca="1" ref="E131" ca="1">_FV(A131,"Low")</f>
        <v>6941.5</v>
      </c>
      <c r="F131" s="35">
        <f t="array" aca="1" ref="F131" ca="1">_FV(A131,"High")</f>
        <v>7444</v>
      </c>
      <c r="G131" s="35">
        <f t="array" aca="1" ref="G131" ca="1">_FV(A131,"52 week low",TRUE)</f>
        <v>3700</v>
      </c>
      <c r="H131" s="36">
        <f t="array" aca="1" ref="H131" ca="1">_FV(A131,"52 week high",TRUE)</f>
        <v>7444</v>
      </c>
      <c r="I131" s="40">
        <f t="shared" ca="1" si="8"/>
        <v>0.86646963997850623</v>
      </c>
      <c r="J131" s="39" t="str">
        <f t="shared" ca="1" si="9"/>
        <v>WATCH</v>
      </c>
      <c r="K131" s="54">
        <f t="shared" ca="1" si="10"/>
        <v>-99.445945945945951</v>
      </c>
      <c r="L131" s="20">
        <f t="array" aca="1" ref="L131" ca="1">_FV(A131,"Market cap",TRUE)/10000000</f>
        <v>16832.5</v>
      </c>
      <c r="M131" s="21" t="str">
        <f t="shared" ca="1" si="11"/>
        <v>MC</v>
      </c>
      <c r="N131" s="37" t="str">
        <f t="array" aca="1" ref="N131" ca="1">_FV(A131,"Industry")</f>
        <v>Machinery, Equipment &amp; Components</v>
      </c>
    </row>
    <row r="132" spans="1:14">
      <c r="A132" s="107" t="e" vm="282">
        <v>#VALUE!</v>
      </c>
      <c r="B132" s="33">
        <f t="array" aca="1" ref="B132" ca="1">_FV(A132,"Change (%)",TRUE)</f>
        <v>-3.1847E-2</v>
      </c>
      <c r="C132" s="35">
        <f t="array" aca="1" ref="C132" ca="1">_FV(A132,"Previous close",TRUE)</f>
        <v>1303.0999999999999</v>
      </c>
      <c r="D132" s="35">
        <f t="array" aca="1" ref="D132" ca="1">_FV(A132,"Price")</f>
        <v>1261.5999999999999</v>
      </c>
      <c r="E132" s="35">
        <f t="array" aca="1" ref="E132" ca="1">_FV(A132,"Low")</f>
        <v>1248.7</v>
      </c>
      <c r="F132" s="35">
        <f t="array" aca="1" ref="F132" ca="1">_FV(A132,"High")</f>
        <v>1317.8</v>
      </c>
      <c r="G132" s="35">
        <f t="array" aca="1" ref="G132" ca="1">_FV(A132,"52 week low",TRUE)</f>
        <v>750.2</v>
      </c>
      <c r="H132" s="36">
        <f t="array" aca="1" ref="H132" ca="1">_FV(A132,"52 week high",TRUE)</f>
        <v>1490.1</v>
      </c>
      <c r="I132" s="40">
        <f t="shared" ca="1" si="8"/>
        <v>15.334541305952621</v>
      </c>
      <c r="J132" s="39" t="str">
        <f t="shared" ca="1" si="9"/>
        <v>WATCH</v>
      </c>
      <c r="K132" s="54">
        <f t="shared" ca="1" si="10"/>
        <v>-68.168488403092482</v>
      </c>
      <c r="L132" s="20">
        <f t="array" aca="1" ref="L132" ca="1">_FV(A132,"Market cap",TRUE)/10000000</f>
        <v>20860.03</v>
      </c>
      <c r="M132" s="21" t="str">
        <f t="shared" ca="1" si="11"/>
        <v>MC</v>
      </c>
      <c r="N132" s="37" t="str">
        <f t="array" aca="1" ref="N132" ca="1">_FV(A132,"Industry")</f>
        <v>Banking Services</v>
      </c>
    </row>
    <row r="133" spans="1:14">
      <c r="A133" s="107" t="e" vm="283">
        <v>#VALUE!</v>
      </c>
      <c r="B133" s="33">
        <f t="array" aca="1" ref="B133" ca="1">_FV(A133,"Change (%)",TRUE)</f>
        <v>-2.137E-3</v>
      </c>
      <c r="C133" s="35">
        <f t="array" aca="1" ref="C133" ca="1">_FV(A133,"Previous close",TRUE)</f>
        <v>257.39999999999998</v>
      </c>
      <c r="D133" s="35">
        <f t="array" aca="1" ref="D133" ca="1">_FV(A133,"Price")</f>
        <v>256.85000000000002</v>
      </c>
      <c r="E133" s="35">
        <f t="array" aca="1" ref="E133" ca="1">_FV(A133,"Low")</f>
        <v>255.75</v>
      </c>
      <c r="F133" s="35">
        <f t="array" aca="1" ref="F133" ca="1">_FV(A133,"High")</f>
        <v>259.2</v>
      </c>
      <c r="G133" s="35">
        <f t="array" aca="1" ref="G133" ca="1">_FV(A133,"52 week low",TRUE)</f>
        <v>248</v>
      </c>
      <c r="H133" s="36">
        <f t="array" aca="1" ref="H133" ca="1">_FV(A133,"52 week high",TRUE)</f>
        <v>401.95</v>
      </c>
      <c r="I133" s="40">
        <f t="shared" ca="1" si="8"/>
        <v>36.099017290707792</v>
      </c>
      <c r="J133" s="39" t="str">
        <f t="shared" ca="1" si="9"/>
        <v>MC BUY</v>
      </c>
      <c r="K133" s="54">
        <f t="shared" ca="1" si="10"/>
        <v>-3.5685483870967833</v>
      </c>
      <c r="L133" s="20">
        <f t="array" aca="1" ref="L133" ca="1">_FV(A133,"Market cap",TRUE)/10000000</f>
        <v>16574.37</v>
      </c>
      <c r="M133" s="21" t="str">
        <f t="shared" ca="1" si="11"/>
        <v>MC</v>
      </c>
      <c r="N133" s="37" t="str">
        <f t="array" aca="1" ref="N133" ca="1">_FV(A133,"Industry")</f>
        <v>Household Goods</v>
      </c>
    </row>
    <row r="134" spans="1:14">
      <c r="A134" s="107" t="e" vm="284">
        <v>#VALUE!</v>
      </c>
      <c r="B134" s="33">
        <f t="array" aca="1" ref="B134" ca="1">_FV(A134,"Change (%)",TRUE)</f>
        <v>-1.6073E-2</v>
      </c>
      <c r="C134" s="35">
        <f t="array" aca="1" ref="C134" ca="1">_FV(A134,"Previous close",TRUE)</f>
        <v>4417.3999999999996</v>
      </c>
      <c r="D134" s="35">
        <f t="array" aca="1" ref="D134" ca="1">_FV(A134,"Price")</f>
        <v>4346.3999999999996</v>
      </c>
      <c r="E134" s="35">
        <f t="array" aca="1" ref="E134" ca="1">_FV(A134,"Low")</f>
        <v>4339.1000000000004</v>
      </c>
      <c r="F134" s="35">
        <f t="array" aca="1" ref="F134" ca="1">_FV(A134,"High")</f>
        <v>4433.6000000000004</v>
      </c>
      <c r="G134" s="35">
        <f t="array" aca="1" ref="G134" ca="1">_FV(A134,"52 week low",TRUE)</f>
        <v>2580</v>
      </c>
      <c r="H134" s="36">
        <f t="array" aca="1" ref="H134" ca="1">_FV(A134,"52 week high",TRUE)</f>
        <v>4615</v>
      </c>
      <c r="I134" s="40">
        <f t="shared" ca="1" si="8"/>
        <v>5.8201516793066164</v>
      </c>
      <c r="J134" s="39" t="str">
        <f t="shared" ca="1" si="9"/>
        <v>WATCH</v>
      </c>
      <c r="K134" s="54">
        <f t="shared" ca="1" si="10"/>
        <v>-68.465116279069761</v>
      </c>
      <c r="L134" s="20">
        <f t="array" aca="1" ref="L134" ca="1">_FV(A134,"Market cap",TRUE)/10000000</f>
        <v>122450.3</v>
      </c>
      <c r="M134" s="21" t="str">
        <f t="shared" ca="1" si="11"/>
        <v>LC</v>
      </c>
      <c r="N134" s="37" t="str">
        <f t="array" aca="1" ref="N134" ca="1">_FV(A134,"Industry")</f>
        <v>Automobiles &amp; Auto Parts</v>
      </c>
    </row>
    <row r="135" spans="1:14">
      <c r="A135" s="107" t="e" vm="285">
        <v>#VALUE!</v>
      </c>
      <c r="B135" s="33">
        <f t="array" aca="1" ref="B135" ca="1">_FV(A135,"Change (%)",TRUE)</f>
        <v>-1.9610000000000001E-3</v>
      </c>
      <c r="C135" s="35">
        <f t="array" aca="1" ref="C135" ca="1">_FV(A135,"Previous close",TRUE)</f>
        <v>1121.5999999999999</v>
      </c>
      <c r="D135" s="35">
        <f t="array" aca="1" ref="D135" ca="1">_FV(A135,"Price")</f>
        <v>1119.4000000000001</v>
      </c>
      <c r="E135" s="35">
        <f t="array" aca="1" ref="E135" ca="1">_FV(A135,"Low")</f>
        <v>1115</v>
      </c>
      <c r="F135" s="35">
        <f t="array" aca="1" ref="F135" ca="1">_FV(A135,"High")</f>
        <v>1128.5</v>
      </c>
      <c r="G135" s="35">
        <f t="array" aca="1" ref="G135" ca="1">_FV(A135,"52 week low",TRUE)</f>
        <v>1084.05</v>
      </c>
      <c r="H135" s="36">
        <f t="array" aca="1" ref="H135" ca="1">_FV(A135,"52 week high",TRUE)</f>
        <v>1960</v>
      </c>
      <c r="I135" s="40">
        <f t="shared" ca="1" si="8"/>
        <v>42.887755102040806</v>
      </c>
      <c r="J135" s="39" t="str">
        <f t="shared" ca="1" si="9"/>
        <v>SURE MC BUY</v>
      </c>
      <c r="K135" s="54">
        <f t="shared" ca="1" si="10"/>
        <v>-3.2609196992758762</v>
      </c>
      <c r="L135" s="20">
        <f t="array" aca="1" ref="L135" ca="1">_FV(A135,"Market cap",TRUE)/10000000</f>
        <v>12357.58</v>
      </c>
      <c r="M135" s="21" t="str">
        <f t="shared" ca="1" si="11"/>
        <v>MC</v>
      </c>
      <c r="N135" s="37" t="str">
        <f t="array" aca="1" ref="N135" ca="1">_FV(A135,"Industry")</f>
        <v>Software &amp; IT Services</v>
      </c>
    </row>
    <row r="136" spans="1:14">
      <c r="A136" s="107" t="e" vm="286">
        <v>#VALUE!</v>
      </c>
      <c r="B136" s="33">
        <f t="array" aca="1" ref="B136" ca="1">_FV(A136,"Change (%)",TRUE)</f>
        <v>-1.1838999999999999E-2</v>
      </c>
      <c r="C136" s="35">
        <f t="array" aca="1" ref="C136" ca="1">_FV(A136,"Previous close",TRUE)</f>
        <v>1258.5999999999999</v>
      </c>
      <c r="D136" s="35">
        <f t="array" aca="1" ref="D136" ca="1">_FV(A136,"Price")</f>
        <v>1243.7</v>
      </c>
      <c r="E136" s="35">
        <f t="array" aca="1" ref="E136" ca="1">_FV(A136,"Low")</f>
        <v>1239</v>
      </c>
      <c r="F136" s="35">
        <f t="array" aca="1" ref="F136" ca="1">_FV(A136,"High")</f>
        <v>1277.9000000000001</v>
      </c>
      <c r="G136" s="35">
        <f t="array" aca="1" ref="G136" ca="1">_FV(A136,"52 week low",TRUE)</f>
        <v>902.6</v>
      </c>
      <c r="H136" s="36">
        <f t="array" aca="1" ref="H136" ca="1">_FV(A136,"52 week high",TRUE)</f>
        <v>1502.3</v>
      </c>
      <c r="I136" s="40">
        <f t="shared" ca="1" si="8"/>
        <v>17.213605804433197</v>
      </c>
      <c r="J136" s="39" t="str">
        <f t="shared" ca="1" si="9"/>
        <v>WATCH</v>
      </c>
      <c r="K136" s="54">
        <f t="shared" ca="1" si="10"/>
        <v>-37.790826501218703</v>
      </c>
      <c r="L136" s="20">
        <f t="array" aca="1" ref="L136" ca="1">_FV(A136,"Market cap",TRUE)/10000000</f>
        <v>19488.14</v>
      </c>
      <c r="M136" s="21" t="str">
        <f t="shared" ca="1" si="11"/>
        <v>MC</v>
      </c>
      <c r="N136" s="37" t="str">
        <f t="array" aca="1" ref="N136" ca="1">_FV(A136,"Industry")</f>
        <v>Chemicals</v>
      </c>
    </row>
    <row r="137" spans="1:14">
      <c r="A137" s="107" t="e" vm="188">
        <v>#VALUE!</v>
      </c>
      <c r="B137" s="33">
        <f t="array" aca="1" ref="B137" ca="1">_FV(A137,"Change (%)",TRUE)</f>
        <v>1.439E-4</v>
      </c>
      <c r="C137" s="35">
        <f t="array" aca="1" ref="C137" ca="1">_FV(A137,"Previous close",TRUE)</f>
        <v>694.9</v>
      </c>
      <c r="D137" s="35">
        <f t="array" aca="1" ref="D137" ca="1">_FV(A137,"Price")</f>
        <v>695</v>
      </c>
      <c r="E137" s="35">
        <f t="array" aca="1" ref="E137" ca="1">_FV(A137,"Low")</f>
        <v>689.05</v>
      </c>
      <c r="F137" s="35">
        <f t="array" aca="1" ref="F137" ca="1">_FV(A137,"High")</f>
        <v>696.55</v>
      </c>
      <c r="G137" s="35">
        <f t="array" aca="1" ref="G137" ca="1">_FV(A137,"52 week low",TRUE)</f>
        <v>601.20000000000005</v>
      </c>
      <c r="H137" s="36">
        <f t="array" aca="1" ref="H137" ca="1">_FV(A137,"52 week high",TRUE)</f>
        <v>886.8</v>
      </c>
      <c r="I137" s="40">
        <f t="shared" ca="1" si="8"/>
        <v>21.628326567433465</v>
      </c>
      <c r="J137" s="39" t="str">
        <f t="shared" ca="1" si="9"/>
        <v>SURE LC BUY</v>
      </c>
      <c r="K137" s="54">
        <f t="shared" ca="1" si="10"/>
        <v>-15.60212907518296</v>
      </c>
      <c r="L137" s="20">
        <f t="array" aca="1" ref="L137" ca="1">_FV(A137,"Market cap",TRUE)/10000000</f>
        <v>172009.4</v>
      </c>
      <c r="M137" s="21" t="str">
        <f t="shared" ca="1" si="11"/>
        <v>LC</v>
      </c>
      <c r="N137" s="37" t="str">
        <f t="array" aca="1" ref="N137" ca="1">_FV(A137,"Industry")</f>
        <v>Real Estate Operations</v>
      </c>
    </row>
    <row r="138" spans="1:14">
      <c r="A138" s="107" t="e" vm="287">
        <v>#VALUE!</v>
      </c>
      <c r="B138" s="33">
        <f t="array" aca="1" ref="B138" ca="1">_FV(A138,"Change (%)",TRUE)</f>
        <v>-1.01E-3</v>
      </c>
      <c r="C138" s="35">
        <f t="array" aca="1" ref="C138" ca="1">_FV(A138,"Previous close",TRUE)</f>
        <v>2574.6</v>
      </c>
      <c r="D138" s="35">
        <f t="array" aca="1" ref="D138" ca="1">_FV(A138,"Price")</f>
        <v>2572</v>
      </c>
      <c r="E138" s="35">
        <f t="array" aca="1" ref="E138" ca="1">_FV(A138,"Low")</f>
        <v>2545.8000000000002</v>
      </c>
      <c r="F138" s="35">
        <f t="array" aca="1" ref="F138" ca="1">_FV(A138,"High")</f>
        <v>2585</v>
      </c>
      <c r="G138" s="35">
        <f t="array" aca="1" ref="G138" ca="1">_FV(A138,"52 week low",TRUE)</f>
        <v>2092.3000000000002</v>
      </c>
      <c r="H138" s="36">
        <f t="array" aca="1" ref="H138" ca="1">_FV(A138,"52 week high",TRUE)</f>
        <v>3064.6</v>
      </c>
      <c r="I138" s="40">
        <f t="shared" ca="1" si="8"/>
        <v>16.073875872870847</v>
      </c>
      <c r="J138" s="39" t="str">
        <f t="shared" ca="1" si="9"/>
        <v>WATCH</v>
      </c>
      <c r="K138" s="54">
        <f t="shared" ca="1" si="10"/>
        <v>-22.926922525450451</v>
      </c>
      <c r="L138" s="20">
        <f t="array" aca="1" ref="L138" ca="1">_FV(A138,"Market cap",TRUE)/10000000</f>
        <v>15624.68</v>
      </c>
      <c r="M138" s="21" t="str">
        <f t="shared" ca="1" si="11"/>
        <v>MC</v>
      </c>
      <c r="N138" s="37" t="str">
        <f t="array" aca="1" ref="N138" ca="1">_FV(A138,"Industry")</f>
        <v>Professional &amp; Commercial Services</v>
      </c>
    </row>
    <row r="139" spans="1:14">
      <c r="A139" s="107" t="e" vm="288">
        <v>#VALUE!</v>
      </c>
      <c r="B139" s="33">
        <f t="array" aca="1" ref="B139" ca="1">_FV(A139,"Change (%)",TRUE)</f>
        <v>-4.7910000000000001E-3</v>
      </c>
      <c r="C139" s="35">
        <f t="array" aca="1" ref="C139" ca="1">_FV(A139,"Previous close",TRUE)</f>
        <v>490.55</v>
      </c>
      <c r="D139" s="35">
        <f t="array" aca="1" ref="D139" ca="1">_FV(A139,"Price")</f>
        <v>488.2</v>
      </c>
      <c r="E139" s="35">
        <f t="array" aca="1" ref="E139" ca="1">_FV(A139,"Low")</f>
        <v>487.8</v>
      </c>
      <c r="F139" s="35">
        <f t="array" aca="1" ref="F139" ca="1">_FV(A139,"High")</f>
        <v>492.95</v>
      </c>
      <c r="G139" s="35">
        <f t="array" aca="1" ref="G139" ca="1">_FV(A139,"52 week low",TRUE)</f>
        <v>433.3</v>
      </c>
      <c r="H139" s="36">
        <f t="array" aca="1" ref="H139" ca="1">_FV(A139,"52 week high",TRUE)</f>
        <v>577</v>
      </c>
      <c r="I139" s="40">
        <f t="shared" ca="1" si="8"/>
        <v>15.389948006932412</v>
      </c>
      <c r="J139" s="39" t="str">
        <f t="shared" ca="1" si="9"/>
        <v>FIRST HMC BUY</v>
      </c>
      <c r="K139" s="54">
        <f t="shared" ca="1" si="10"/>
        <v>-12.670205400415412</v>
      </c>
      <c r="L139" s="20">
        <f t="array" aca="1" ref="L139" ca="1">_FV(A139,"Market cap",TRUE)/10000000</f>
        <v>86591.56</v>
      </c>
      <c r="M139" s="21" t="str">
        <f t="shared" ca="1" si="11"/>
        <v>HMC</v>
      </c>
      <c r="N139" s="37" t="str">
        <f t="array" aca="1" ref="N139" ca="1">_FV(A139,"Industry")</f>
        <v>Personal &amp; Household Products &amp; Services</v>
      </c>
    </row>
    <row r="140" spans="1:14">
      <c r="A140" s="107" t="e" vm="289">
        <v>#VALUE!</v>
      </c>
      <c r="B140" s="33">
        <f t="array" aca="1" ref="B140" ca="1">_FV(A140,"Change (%)",TRUE)</f>
        <v>2.4272000000000002E-2</v>
      </c>
      <c r="C140" s="35">
        <f t="array" aca="1" ref="C140" ca="1">_FV(A140,"Previous close",TRUE)</f>
        <v>2109.4</v>
      </c>
      <c r="D140" s="35">
        <f t="array" aca="1" ref="D140" ca="1">_FV(A140,"Price")</f>
        <v>2160.6</v>
      </c>
      <c r="E140" s="35">
        <f t="array" aca="1" ref="E140" ca="1">_FV(A140,"Low")</f>
        <v>2110</v>
      </c>
      <c r="F140" s="35">
        <f t="array" aca="1" ref="F140" ca="1">_FV(A140,"High")</f>
        <v>2169</v>
      </c>
      <c r="G140" s="35">
        <f t="array" aca="1" ref="G140" ca="1">_FV(A140,"52 week low",TRUE)</f>
        <v>1601</v>
      </c>
      <c r="H140" s="36">
        <f t="array" aca="1" ref="H140" ca="1">_FV(A140,"52 week high",TRUE)</f>
        <v>2496.3000000000002</v>
      </c>
      <c r="I140" s="40">
        <f t="shared" ca="1" si="8"/>
        <v>13.447902896286514</v>
      </c>
      <c r="J140" s="39" t="str">
        <f t="shared" ca="1" si="9"/>
        <v>WATCH</v>
      </c>
      <c r="K140" s="54">
        <f t="shared" ca="1" si="10"/>
        <v>-34.953154278575887</v>
      </c>
      <c r="L140" s="20">
        <f t="array" aca="1" ref="L140" ca="1">_FV(A140,"Market cap",TRUE)/10000000</f>
        <v>39565.160000000003</v>
      </c>
      <c r="M140" s="21" t="str">
        <f t="shared" ca="1" si="11"/>
        <v>MC</v>
      </c>
      <c r="N140" s="37" t="str">
        <f t="array" aca="1" ref="N140" ca="1">_FV(A140,"Industry")</f>
        <v>Construction Materials</v>
      </c>
    </row>
    <row r="141" spans="1:14">
      <c r="A141" s="107" t="e" vm="31">
        <v>#VALUE!</v>
      </c>
      <c r="B141" s="33">
        <f t="array" aca="1" ref="B141" ca="1">_FV(A141,"Change (%)",TRUE)</f>
        <v>2.0579999999999999E-3</v>
      </c>
      <c r="C141" s="35">
        <f t="array" aca="1" ref="C141" ca="1">_FV(A141,"Previous close",TRUE)</f>
        <v>2672.3</v>
      </c>
      <c r="D141" s="35">
        <f t="array" aca="1" ref="D141" ca="1">_FV(A141,"Price")</f>
        <v>2677.8</v>
      </c>
      <c r="E141" s="35">
        <f t="array" aca="1" ref="E141" ca="1">_FV(A141,"Low")</f>
        <v>2651</v>
      </c>
      <c r="F141" s="35">
        <f t="array" aca="1" ref="F141" ca="1">_FV(A141,"High")</f>
        <v>2747.8</v>
      </c>
      <c r="G141" s="35">
        <f t="array" aca="1" ref="G141" ca="1">_FV(A141,"52 week low",TRUE)</f>
        <v>1351.15</v>
      </c>
      <c r="H141" s="36">
        <f t="array" aca="1" ref="H141" ca="1">_FV(A141,"52 week high",TRUE)</f>
        <v>3268.8</v>
      </c>
      <c r="I141" s="40">
        <f t="shared" ca="1" si="8"/>
        <v>18.080029368575623</v>
      </c>
      <c r="J141" s="39" t="str">
        <f t="shared" ca="1" si="9"/>
        <v>WATCH</v>
      </c>
      <c r="K141" s="54">
        <f t="shared" ca="1" si="10"/>
        <v>-98.186729822743587</v>
      </c>
      <c r="L141" s="20">
        <f t="array" aca="1" ref="L141" ca="1">_FV(A141,"Market cap",TRUE)/10000000</f>
        <v>14991.39</v>
      </c>
      <c r="M141" s="21" t="str">
        <f t="shared" ca="1" si="11"/>
        <v>MC</v>
      </c>
      <c r="N141" s="37" t="str">
        <f t="array" aca="1" ref="N141" ca="1">_FV(A141,"Industry")</f>
        <v>Aerospace &amp; Defense</v>
      </c>
    </row>
    <row r="142" spans="1:14">
      <c r="A142" s="107" t="e" vm="290">
        <v>#VALUE!</v>
      </c>
      <c r="B142" s="33">
        <f t="array" aca="1" ref="B142" ca="1">_FV(A142,"Change (%)",TRUE)</f>
        <v>1.8360000000000002E-3</v>
      </c>
      <c r="C142" s="35">
        <f t="array" aca="1" ref="C142" ca="1">_FV(A142,"Previous close",TRUE)</f>
        <v>1252.5999999999999</v>
      </c>
      <c r="D142" s="35">
        <f t="array" aca="1" ref="D142" ca="1">_FV(A142,"Price")</f>
        <v>1254.9000000000001</v>
      </c>
      <c r="E142" s="35">
        <f t="array" aca="1" ref="E142" ca="1">_FV(A142,"Low")</f>
        <v>1245</v>
      </c>
      <c r="F142" s="35">
        <f t="array" aca="1" ref="F142" ca="1">_FV(A142,"High")</f>
        <v>1274.8</v>
      </c>
      <c r="G142" s="35">
        <f t="array" aca="1" ref="G142" ca="1">_FV(A142,"52 week low",TRUE)</f>
        <v>888.9</v>
      </c>
      <c r="H142" s="36">
        <f t="array" aca="1" ref="H142" ca="1">_FV(A142,"52 week high",TRUE)</f>
        <v>1778.6</v>
      </c>
      <c r="I142" s="40">
        <f t="shared" ca="1" si="8"/>
        <v>29.44450691555155</v>
      </c>
      <c r="J142" s="39" t="str">
        <f t="shared" ca="1" si="9"/>
        <v>FIRST MC BUY</v>
      </c>
      <c r="K142" s="54">
        <f t="shared" ca="1" si="10"/>
        <v>-41.174485318933527</v>
      </c>
      <c r="L142" s="20">
        <f t="array" aca="1" ref="L142" ca="1">_FV(A142,"Market cap",TRUE)/10000000</f>
        <v>15841.58</v>
      </c>
      <c r="M142" s="21" t="str">
        <f t="shared" ca="1" si="11"/>
        <v>MC</v>
      </c>
      <c r="N142" s="37" t="str">
        <f t="array" aca="1" ref="N142" ca="1">_FV(A142,"Industry")</f>
        <v>Chemicals</v>
      </c>
    </row>
    <row r="143" spans="1:14">
      <c r="A143" s="107" t="e" vm="32">
        <v>#VALUE!</v>
      </c>
      <c r="B143" s="33">
        <f t="array" aca="1" ref="B143" ca="1">_FV(A143,"Change (%)",TRUE)</f>
        <v>1.4191E-2</v>
      </c>
      <c r="C143" s="35">
        <f t="array" aca="1" ref="C143" ca="1">_FV(A143,"Previous close",TRUE)</f>
        <v>1740.5</v>
      </c>
      <c r="D143" s="35">
        <f t="array" aca="1" ref="D143" ca="1">_FV(A143,"Price")</f>
        <v>1765.2</v>
      </c>
      <c r="E143" s="35">
        <f t="array" aca="1" ref="E143" ca="1">_FV(A143,"Low")</f>
        <v>1720.4</v>
      </c>
      <c r="F143" s="35">
        <f t="array" aca="1" ref="F143" ca="1">_FV(A143,"High")</f>
        <v>1769.9</v>
      </c>
      <c r="G143" s="35">
        <f t="array" aca="1" ref="G143" ca="1">_FV(A143,"52 week low",TRUE)</f>
        <v>1514</v>
      </c>
      <c r="H143" s="36">
        <f t="array" aca="1" ref="H143" ca="1">_FV(A143,"52 week high",TRUE)</f>
        <v>2632.6</v>
      </c>
      <c r="I143" s="40">
        <f t="shared" ca="1" si="8"/>
        <v>32.948416014586336</v>
      </c>
      <c r="J143" s="39" t="str">
        <f t="shared" ca="1" si="9"/>
        <v>MC BUY</v>
      </c>
      <c r="K143" s="54">
        <f t="shared" ca="1" si="10"/>
        <v>-16.591809775429329</v>
      </c>
      <c r="L143" s="20">
        <f t="array" aca="1" ref="L143" ca="1">_FV(A143,"Market cap",TRUE)/10000000</f>
        <v>23739.21</v>
      </c>
      <c r="M143" s="21" t="str">
        <f t="shared" ca="1" si="11"/>
        <v>MC</v>
      </c>
      <c r="N143" s="37" t="str">
        <f t="array" aca="1" ref="N143" ca="1">_FV(A143,"Industry")</f>
        <v>Chemicals</v>
      </c>
    </row>
    <row r="144" spans="1:14">
      <c r="A144" s="107" t="e" vm="291">
        <v>#VALUE!</v>
      </c>
      <c r="B144" s="33">
        <f t="array" aca="1" ref="B144" ca="1">_FV(A144,"Change (%)",TRUE)</f>
        <v>2.8319999999999999E-3</v>
      </c>
      <c r="C144" s="35">
        <f t="array" aca="1" ref="C144" ca="1">_FV(A144,"Previous close",TRUE)</f>
        <v>406.1</v>
      </c>
      <c r="D144" s="35">
        <f t="array" aca="1" ref="D144" ca="1">_FV(A144,"Price")</f>
        <v>407.25</v>
      </c>
      <c r="E144" s="35">
        <f t="array" aca="1" ref="E144" ca="1">_FV(A144,"Low")</f>
        <v>403.8</v>
      </c>
      <c r="F144" s="35">
        <f t="array" aca="1" ref="F144" ca="1">_FV(A144,"High")</f>
        <v>409.75</v>
      </c>
      <c r="G144" s="35">
        <f t="array" aca="1" ref="G144" ca="1">_FV(A144,"52 week low",TRUE)</f>
        <v>236.53</v>
      </c>
      <c r="H144" s="36">
        <f t="array" aca="1" ref="H144" ca="1">_FV(A144,"52 week high",TRUE)</f>
        <v>490</v>
      </c>
      <c r="I144" s="40">
        <f t="shared" ca="1" si="8"/>
        <v>16.887755102040817</v>
      </c>
      <c r="J144" s="39" t="str">
        <f t="shared" ca="1" si="9"/>
        <v>WATCH</v>
      </c>
      <c r="K144" s="54">
        <f t="shared" ca="1" si="10"/>
        <v>-72.176890880649395</v>
      </c>
      <c r="L144" s="20">
        <f t="array" aca="1" ref="L144" ca="1">_FV(A144,"Market cap",TRUE)/10000000</f>
        <v>30380.17</v>
      </c>
      <c r="M144" s="21" t="str">
        <f t="shared" ca="1" si="11"/>
        <v>MC</v>
      </c>
      <c r="N144" s="37" t="str">
        <f t="array" aca="1" ref="N144" ca="1">_FV(A144,"Industry")</f>
        <v>Freight &amp; Logistics Services</v>
      </c>
    </row>
    <row r="145" spans="1:14">
      <c r="A145" s="107" t="e" vm="292">
        <v>#VALUE!</v>
      </c>
      <c r="B145" s="33">
        <f t="array" aca="1" ref="B145" ca="1">_FV(A145,"Change (%)",TRUE)</f>
        <v>-2.2729999999999998E-3</v>
      </c>
      <c r="C145" s="35">
        <f t="array" aca="1" ref="C145" ca="1">_FV(A145,"Previous close",TRUE)</f>
        <v>145.16999999999999</v>
      </c>
      <c r="D145" s="35">
        <f t="array" aca="1" ref="D145" ca="1">_FV(A145,"Price")</f>
        <v>144.84</v>
      </c>
      <c r="E145" s="35">
        <f t="array" aca="1" ref="E145" ca="1">_FV(A145,"Low")</f>
        <v>143.58000000000001</v>
      </c>
      <c r="F145" s="35">
        <f t="array" aca="1" ref="F145" ca="1">_FV(A145,"High")</f>
        <v>145.72</v>
      </c>
      <c r="G145" s="35">
        <f t="array" aca="1" ref="G145" ca="1">_FV(A145,"52 week low",TRUE)</f>
        <v>122.25</v>
      </c>
      <c r="H145" s="36">
        <f t="array" aca="1" ref="H145" ca="1">_FV(A145,"52 week high",TRUE)</f>
        <v>209.75</v>
      </c>
      <c r="I145" s="40">
        <f t="shared" ca="1" si="8"/>
        <v>30.946364719904647</v>
      </c>
      <c r="J145" s="39" t="str">
        <f t="shared" ca="1" si="9"/>
        <v>MC BUY</v>
      </c>
      <c r="K145" s="54">
        <f t="shared" ca="1" si="10"/>
        <v>-18.478527607361968</v>
      </c>
      <c r="L145" s="20">
        <f t="array" aca="1" ref="L145" ca="1">_FV(A145,"Market cap",TRUE)/10000000</f>
        <v>17897.61</v>
      </c>
      <c r="M145" s="21" t="str">
        <f t="shared" ca="1" si="11"/>
        <v>MC</v>
      </c>
      <c r="N145" s="37" t="str">
        <f t="array" aca="1" ref="N145" ca="1">_FV(A145,"Industry")</f>
        <v>Hotels &amp; Entertainment Services</v>
      </c>
    </row>
    <row r="146" spans="1:14">
      <c r="A146" s="107" t="e" vm="33">
        <v>#VALUE!</v>
      </c>
      <c r="B146" s="33">
        <f t="array" aca="1" ref="B146" ca="1">_FV(A146,"Change (%)",TRUE)</f>
        <v>-1.0621E-2</v>
      </c>
      <c r="C146" s="35">
        <f t="array" aca="1" ref="C146" ca="1">_FV(A146,"Previous close",TRUE)</f>
        <v>6496.5</v>
      </c>
      <c r="D146" s="35">
        <f t="array" aca="1" ref="D146" ca="1">_FV(A146,"Price")</f>
        <v>6427.5</v>
      </c>
      <c r="E146" s="35">
        <f t="array" aca="1" ref="E146" ca="1">_FV(A146,"Low")</f>
        <v>6402</v>
      </c>
      <c r="F146" s="35">
        <f t="array" aca="1" ref="F146" ca="1">_FV(A146,"High")</f>
        <v>6547</v>
      </c>
      <c r="G146" s="35">
        <f t="array" aca="1" ref="G146" ca="1">_FV(A146,"52 week low",TRUE)</f>
        <v>4955</v>
      </c>
      <c r="H146" s="36">
        <f t="array" aca="1" ref="H146" ca="1">_FV(A146,"52 week high",TRUE)</f>
        <v>7071.5</v>
      </c>
      <c r="I146" s="40">
        <f t="shared" ca="1" si="8"/>
        <v>9.1069787173866938</v>
      </c>
      <c r="J146" s="39" t="str">
        <f t="shared" ca="1" si="9"/>
        <v>WATCH</v>
      </c>
      <c r="K146" s="54">
        <f t="shared" ca="1" si="10"/>
        <v>-29.717457114026235</v>
      </c>
      <c r="L146" s="20">
        <f t="array" aca="1" ref="L146" ca="1">_FV(A146,"Market cap",TRUE)/10000000</f>
        <v>172461.7</v>
      </c>
      <c r="M146" s="21" t="str">
        <f t="shared" ca="1" si="11"/>
        <v>LC</v>
      </c>
      <c r="N146" s="37" t="str">
        <f t="array" aca="1" ref="N146" ca="1">_FV(A146,"Industry")</f>
        <v>Pharmaceuticals</v>
      </c>
    </row>
    <row r="147" spans="1:14">
      <c r="A147" s="107" t="e" vm="34">
        <v>#VALUE!</v>
      </c>
      <c r="B147" s="33">
        <f t="array" aca="1" ref="B147" ca="1">_FV(A147,"Change (%)",TRUE)</f>
        <v>-2.3834000000000001E-2</v>
      </c>
      <c r="C147" s="35">
        <f t="array" aca="1" ref="C147" ca="1">_FV(A147,"Previous close",TRUE)</f>
        <v>12629</v>
      </c>
      <c r="D147" s="35">
        <f t="array" aca="1" ref="D147" ca="1">_FV(A147,"Price")</f>
        <v>12328</v>
      </c>
      <c r="E147" s="35">
        <f t="array" aca="1" ref="E147" ca="1">_FV(A147,"Low")</f>
        <v>12250</v>
      </c>
      <c r="F147" s="35">
        <f t="array" aca="1" ref="F147" ca="1">_FV(A147,"High")</f>
        <v>12711</v>
      </c>
      <c r="G147" s="35">
        <f t="array" aca="1" ref="G147" ca="1">_FV(A147,"52 week low",TRUE)</f>
        <v>12130</v>
      </c>
      <c r="H147" s="36">
        <f t="array" aca="1" ref="H147" ca="1">_FV(A147,"52 week high",TRUE)</f>
        <v>18700</v>
      </c>
      <c r="I147" s="40">
        <f t="shared" ca="1" si="8"/>
        <v>34.074866310160431</v>
      </c>
      <c r="J147" s="39" t="str">
        <f t="shared" ca="1" si="9"/>
        <v>SURE HMC BUY</v>
      </c>
      <c r="K147" s="54">
        <f t="shared" ca="1" si="10"/>
        <v>-1.6323165704863973</v>
      </c>
      <c r="L147" s="20">
        <f t="array" aca="1" ref="L147" ca="1">_FV(A147,"Market cap",TRUE)/10000000</f>
        <v>76640.03</v>
      </c>
      <c r="M147" s="21" t="str">
        <f t="shared" ca="1" si="11"/>
        <v>HMC</v>
      </c>
      <c r="N147" s="37" t="str">
        <f t="array" aca="1" ref="N147" ca="1">_FV(A147,"Industry")</f>
        <v>Computers, Phones &amp; Household Electronics</v>
      </c>
    </row>
    <row r="148" spans="1:14">
      <c r="A148" s="107" t="e" vm="293">
        <v>#VALUE!</v>
      </c>
      <c r="B148" s="33">
        <f t="array" aca="1" ref="B148" ca="1">_FV(A148,"Change (%)",TRUE)</f>
        <v>-4.7419999999999997E-3</v>
      </c>
      <c r="C148" s="35">
        <f t="array" aca="1" ref="C148" ca="1">_FV(A148,"Previous close",TRUE)</f>
        <v>506.1</v>
      </c>
      <c r="D148" s="35">
        <f t="array" aca="1" ref="D148" ca="1">_FV(A148,"Price")</f>
        <v>503.7</v>
      </c>
      <c r="E148" s="35">
        <f t="array" aca="1" ref="E148" ca="1">_FV(A148,"Low")</f>
        <v>502</v>
      </c>
      <c r="F148" s="35">
        <f t="array" aca="1" ref="F148" ca="1">_FV(A148,"High")</f>
        <v>509.7</v>
      </c>
      <c r="G148" s="35">
        <f t="array" aca="1" ref="G148" ca="1">_FV(A148,"52 week low",TRUE)</f>
        <v>327</v>
      </c>
      <c r="H148" s="36">
        <f t="array" aca="1" ref="H148" ca="1">_FV(A148,"52 week high",TRUE)</f>
        <v>568</v>
      </c>
      <c r="I148" s="40">
        <f t="shared" ca="1" si="8"/>
        <v>11.32042253521127</v>
      </c>
      <c r="J148" s="39" t="str">
        <f t="shared" ca="1" si="9"/>
        <v>WATCH</v>
      </c>
      <c r="K148" s="54">
        <f t="shared" ca="1" si="10"/>
        <v>-54.036697247706421</v>
      </c>
      <c r="L148" s="20">
        <f t="array" aca="1" ref="L148" ca="1">_FV(A148,"Market cap",TRUE)/10000000</f>
        <v>16016.55</v>
      </c>
      <c r="M148" s="21" t="str">
        <f t="shared" ca="1" si="11"/>
        <v>MC</v>
      </c>
      <c r="N148" s="37" t="str">
        <f t="array" aca="1" ref="N148" ca="1">_FV(A148,"Industry")</f>
        <v>Healthcare Providers &amp; Services</v>
      </c>
    </row>
    <row r="149" spans="1:14">
      <c r="A149" s="107" t="e" vm="72">
        <v>#VALUE!</v>
      </c>
      <c r="B149" s="33">
        <f t="array" aca="1" ref="B149" ca="1">_FV(A149,"Change (%)",TRUE)</f>
        <v>-2.3440000000000002E-3</v>
      </c>
      <c r="C149" s="35">
        <f t="array" aca="1" ref="C149" ca="1">_FV(A149,"Previous close",TRUE)</f>
        <v>1407.8</v>
      </c>
      <c r="D149" s="35">
        <f t="array" aca="1" ref="D149" ca="1">_FV(A149,"Price")</f>
        <v>1404.5</v>
      </c>
      <c r="E149" s="35">
        <f t="array" aca="1" ref="E149" ca="1">_FV(A149,"Low")</f>
        <v>1387.6</v>
      </c>
      <c r="F149" s="35">
        <f t="array" aca="1" ref="F149" ca="1">_FV(A149,"High")</f>
        <v>1433.9</v>
      </c>
      <c r="G149" s="35">
        <f t="array" aca="1" ref="G149" ca="1">_FV(A149,"52 week low",TRUE)</f>
        <v>1146.78</v>
      </c>
      <c r="H149" s="36">
        <f t="array" aca="1" ref="H149" ca="1">_FV(A149,"52 week high",TRUE)</f>
        <v>1770</v>
      </c>
      <c r="I149" s="40">
        <f t="shared" ca="1" si="8"/>
        <v>20.649717514124294</v>
      </c>
      <c r="J149" s="39" t="str">
        <f t="shared" ca="1" si="9"/>
        <v>FIRST MC BUY</v>
      </c>
      <c r="K149" s="54">
        <f t="shared" ca="1" si="10"/>
        <v>-22.473360191143904</v>
      </c>
      <c r="L149" s="20">
        <f t="array" aca="1" ref="L149" ca="1">_FV(A149,"Market cap",TRUE)/10000000</f>
        <v>23544.42</v>
      </c>
      <c r="M149" s="21" t="str">
        <f t="shared" ca="1" si="11"/>
        <v>MC</v>
      </c>
      <c r="N149" s="37" t="str">
        <f t="array" aca="1" ref="N149" ca="1">_FV(A149,"Industry")</f>
        <v>Healthcare Providers &amp; Services</v>
      </c>
    </row>
    <row r="150" spans="1:14">
      <c r="A150" s="107" t="e" vm="36">
        <v>#VALUE!</v>
      </c>
      <c r="B150" s="33">
        <f t="array" aca="1" ref="B150" ca="1">_FV(A150,"Change (%)",TRUE)</f>
        <v>2.7650000000000001E-3</v>
      </c>
      <c r="C150" s="35">
        <f t="array" aca="1" ref="C150" ca="1">_FV(A150,"Previous close",TRUE)</f>
        <v>1265.8</v>
      </c>
      <c r="D150" s="35">
        <f t="array" aca="1" ref="D150" ca="1">_FV(A150,"Price")</f>
        <v>1269.3</v>
      </c>
      <c r="E150" s="35">
        <f t="array" aca="1" ref="E150" ca="1">_FV(A150,"Low")</f>
        <v>1261.0999999999999</v>
      </c>
      <c r="F150" s="35">
        <f t="array" aca="1" ref="F150" ca="1">_FV(A150,"High")</f>
        <v>1275</v>
      </c>
      <c r="G150" s="35">
        <f t="array" aca="1" ref="G150" ca="1">_FV(A150,"52 week low",TRUE)</f>
        <v>1020</v>
      </c>
      <c r="H150" s="36">
        <f t="array" aca="1" ref="H150" ca="1">_FV(A150,"52 week high",TRUE)</f>
        <v>1405.9</v>
      </c>
      <c r="I150" s="40">
        <f t="shared" ca="1" si="8"/>
        <v>9.7161960310121724</v>
      </c>
      <c r="J150" s="39" t="str">
        <f t="shared" ca="1" si="9"/>
        <v>WATCH</v>
      </c>
      <c r="K150" s="54">
        <f t="shared" ca="1" si="10"/>
        <v>-24.441176470588232</v>
      </c>
      <c r="L150" s="20">
        <f t="array" aca="1" ref="L150" ca="1">_FV(A150,"Market cap",TRUE)/10000000</f>
        <v>105381.9</v>
      </c>
      <c r="M150" s="21" t="str">
        <f t="shared" ca="1" si="11"/>
        <v>LC</v>
      </c>
      <c r="N150" s="37" t="str">
        <f t="array" aca="1" ref="N150" ca="1">_FV(A150,"Industry")</f>
        <v>Pharmaceuticals</v>
      </c>
    </row>
    <row r="151" spans="1:14">
      <c r="A151" s="107" t="e" vm="294">
        <v>#VALUE!</v>
      </c>
      <c r="B151" s="33">
        <f t="array" aca="1" ref="B151" ca="1">_FV(A151,"Change (%)",TRUE)</f>
        <v>6.6879999999999995E-3</v>
      </c>
      <c r="C151" s="35">
        <f t="array" aca="1" ref="C151" ca="1">_FV(A151,"Previous close",TRUE)</f>
        <v>1061.5999999999999</v>
      </c>
      <c r="D151" s="35">
        <f t="array" aca="1" ref="D151" ca="1">_FV(A151,"Price")</f>
        <v>1068.7</v>
      </c>
      <c r="E151" s="35">
        <f t="array" aca="1" ref="E151" ca="1">_FV(A151,"Low")</f>
        <v>1055.8</v>
      </c>
      <c r="F151" s="35">
        <f t="array" aca="1" ref="F151" ca="1">_FV(A151,"High")</f>
        <v>1079.9000000000001</v>
      </c>
      <c r="G151" s="35">
        <f t="array" aca="1" ref="G151" ca="1">_FV(A151,"52 week low",TRUE)</f>
        <v>639</v>
      </c>
      <c r="H151" s="36">
        <f t="array" aca="1" ref="H151" ca="1">_FV(A151,"52 week high",TRUE)</f>
        <v>1246.8</v>
      </c>
      <c r="I151" s="40">
        <f t="shared" ca="1" si="8"/>
        <v>14.284568495348086</v>
      </c>
      <c r="J151" s="39" t="str">
        <f t="shared" ca="1" si="9"/>
        <v>WATCH</v>
      </c>
      <c r="K151" s="54">
        <f t="shared" ca="1" si="10"/>
        <v>-67.245696400625988</v>
      </c>
      <c r="L151" s="20">
        <f t="array" aca="1" ref="L151" ca="1">_FV(A151,"Market cap",TRUE)/10000000</f>
        <v>18882.97</v>
      </c>
      <c r="M151" s="21" t="str">
        <f t="shared" ca="1" si="11"/>
        <v>MC</v>
      </c>
      <c r="N151" s="37" t="str">
        <f t="array" aca="1" ref="N151" ca="1">_FV(A151,"Industry")</f>
        <v>Chemicals</v>
      </c>
    </row>
    <row r="152" spans="1:14">
      <c r="A152" s="107" t="e" vm="295">
        <v>#VALUE!</v>
      </c>
      <c r="B152" s="33">
        <f t="array" aca="1" ref="B152" ca="1">_FV(A152,"Change (%)",TRUE)</f>
        <v>9.2100000000000012E-3</v>
      </c>
      <c r="C152" s="35">
        <f t="array" aca="1" ref="C152" ca="1">_FV(A152,"Previous close",TRUE)</f>
        <v>363.75</v>
      </c>
      <c r="D152" s="35">
        <f t="array" aca="1" ref="D152" ca="1">_FV(A152,"Price")</f>
        <v>367.1</v>
      </c>
      <c r="E152" s="35">
        <f t="array" aca="1" ref="E152" ca="1">_FV(A152,"Low")</f>
        <v>362</v>
      </c>
      <c r="F152" s="35">
        <f t="array" aca="1" ref="F152" ca="1">_FV(A152,"High")</f>
        <v>368.4</v>
      </c>
      <c r="G152" s="35">
        <f t="array" aca="1" ref="G152" ca="1">_FV(A152,"52 week low",TRUE)</f>
        <v>305</v>
      </c>
      <c r="H152" s="36">
        <f t="array" aca="1" ref="H152" ca="1">_FV(A152,"52 week high",TRUE)</f>
        <v>435.1</v>
      </c>
      <c r="I152" s="40">
        <f t="shared" ca="1" si="8"/>
        <v>15.628591128476211</v>
      </c>
      <c r="J152" s="39" t="str">
        <f t="shared" ca="1" si="9"/>
        <v>WATCH</v>
      </c>
      <c r="K152" s="54">
        <f t="shared" ca="1" si="10"/>
        <v>-20.360655737704924</v>
      </c>
      <c r="L152" s="20">
        <f t="array" aca="1" ref="L152" ca="1">_FV(A152,"Market cap",TRUE)/10000000</f>
        <v>22957.119999999999</v>
      </c>
      <c r="M152" s="21" t="str">
        <f t="shared" ca="1" si="11"/>
        <v>MC</v>
      </c>
      <c r="N152" s="37" t="str">
        <f t="array" aca="1" ref="N152" ca="1">_FV(A152,"Industry")</f>
        <v>Hotels &amp; Entertainment Services</v>
      </c>
    </row>
    <row r="153" spans="1:14">
      <c r="A153" s="107" t="e" vm="153">
        <v>#VALUE!</v>
      </c>
      <c r="B153" s="33">
        <f t="array" aca="1" ref="B153" ca="1">_FV(A153,"Change (%)",TRUE)</f>
        <v>1.573E-3</v>
      </c>
      <c r="C153" s="35">
        <f t="array" aca="1" ref="C153" ca="1">_FV(A153,"Previous close",TRUE)</f>
        <v>7312.5</v>
      </c>
      <c r="D153" s="35">
        <f t="array" aca="1" ref="D153" ca="1">_FV(A153,"Price")</f>
        <v>7324</v>
      </c>
      <c r="E153" s="35">
        <f t="array" aca="1" ref="E153" ca="1">_FV(A153,"Low")</f>
        <v>7274</v>
      </c>
      <c r="F153" s="35">
        <f t="array" aca="1" ref="F153" ca="1">_FV(A153,"High")</f>
        <v>7360</v>
      </c>
      <c r="G153" s="35">
        <f t="array" aca="1" ref="G153" ca="1">_FV(A153,"52 week low",TRUE)</f>
        <v>4646</v>
      </c>
      <c r="H153" s="36">
        <f t="array" aca="1" ref="H153" ca="1">_FV(A153,"52 week high",TRUE)</f>
        <v>7360</v>
      </c>
      <c r="I153" s="40">
        <f t="shared" ca="1" si="8"/>
        <v>0.4891304347826087</v>
      </c>
      <c r="J153" s="39" t="str">
        <f t="shared" ca="1" si="9"/>
        <v>WATCH</v>
      </c>
      <c r="K153" s="54">
        <f t="shared" ca="1" si="10"/>
        <v>-57.640981489453296</v>
      </c>
      <c r="L153" s="20">
        <f t="array" aca="1" ref="L153" ca="1">_FV(A153,"Market cap",TRUE)/10000000</f>
        <v>200581.3</v>
      </c>
      <c r="M153" s="21" t="str">
        <f t="shared" ca="1" si="11"/>
        <v>LC</v>
      </c>
      <c r="N153" s="37" t="str">
        <f t="array" aca="1" ref="N153" ca="1">_FV(A153,"Industry")</f>
        <v>Automobiles &amp; Auto Parts</v>
      </c>
    </row>
    <row r="154" spans="1:14">
      <c r="A154" s="107" t="e" vm="296">
        <v>#VALUE!</v>
      </c>
      <c r="B154" s="33">
        <f t="array" aca="1" ref="B154" ca="1">_FV(A154,"Change (%)",TRUE)</f>
        <v>-4.8869999999999999E-3</v>
      </c>
      <c r="C154" s="35">
        <f t="array" aca="1" ref="C154" ca="1">_FV(A154,"Previous close",TRUE)</f>
        <v>480.85</v>
      </c>
      <c r="D154" s="35">
        <f t="array" aca="1" ref="D154" ca="1">_FV(A154,"Price")</f>
        <v>478.5</v>
      </c>
      <c r="E154" s="35">
        <f t="array" aca="1" ref="E154" ca="1">_FV(A154,"Low")</f>
        <v>476.25</v>
      </c>
      <c r="F154" s="35">
        <f t="array" aca="1" ref="F154" ca="1">_FV(A154,"High")</f>
        <v>488.85</v>
      </c>
      <c r="G154" s="35">
        <f t="array" aca="1" ref="G154" ca="1">_FV(A154,"52 week low",TRUE)</f>
        <v>376.95</v>
      </c>
      <c r="H154" s="36">
        <f t="array" aca="1" ref="H154" ca="1">_FV(A154,"52 week high",TRUE)</f>
        <v>716.25</v>
      </c>
      <c r="I154" s="40">
        <f t="shared" ca="1" si="8"/>
        <v>33.193717277486911</v>
      </c>
      <c r="J154" s="39" t="str">
        <f t="shared" ca="1" si="9"/>
        <v>MC BUY</v>
      </c>
      <c r="K154" s="54">
        <f t="shared" ca="1" si="10"/>
        <v>-26.939912455232797</v>
      </c>
      <c r="L154" s="20">
        <f t="array" aca="1" ref="L154" ca="1">_FV(A154,"Market cap",TRUE)/10000000</f>
        <v>10790.27</v>
      </c>
      <c r="M154" s="21" t="str">
        <f t="shared" ca="1" si="11"/>
        <v>MC</v>
      </c>
      <c r="N154" s="37" t="str">
        <f t="array" aca="1" ref="N154" ca="1">_FV(A154,"Industry")</f>
        <v>Machinery, Equipment &amp; Components</v>
      </c>
    </row>
    <row r="155" spans="1:14">
      <c r="A155" s="107" t="e" vm="297">
        <v>#VALUE!</v>
      </c>
      <c r="B155" s="33">
        <f t="array" aca="1" ref="B155" ca="1">_FV(A155,"Change (%)",TRUE)</f>
        <v>-6.6540000000000002E-3</v>
      </c>
      <c r="C155" s="35">
        <f t="array" aca="1" ref="C155" ca="1">_FV(A155,"Previous close",TRUE)</f>
        <v>465.9</v>
      </c>
      <c r="D155" s="35">
        <f t="array" aca="1" ref="D155" ca="1">_FV(A155,"Price")</f>
        <v>462.8</v>
      </c>
      <c r="E155" s="35">
        <f t="array" aca="1" ref="E155" ca="1">_FV(A155,"Low")</f>
        <v>462.1</v>
      </c>
      <c r="F155" s="35">
        <f t="array" aca="1" ref="F155" ca="1">_FV(A155,"High")</f>
        <v>467.3</v>
      </c>
      <c r="G155" s="35">
        <f t="array" aca="1" ref="G155" ca="1">_FV(A155,"52 week low",TRUE)</f>
        <v>401</v>
      </c>
      <c r="H155" s="36">
        <f t="array" aca="1" ref="H155" ca="1">_FV(A155,"52 week high",TRUE)</f>
        <v>608.4</v>
      </c>
      <c r="I155" s="40">
        <f t="shared" ca="1" si="8"/>
        <v>23.931623931623928</v>
      </c>
      <c r="J155" s="39" t="str">
        <f t="shared" ca="1" si="9"/>
        <v>FIRST MC BUY</v>
      </c>
      <c r="K155" s="54">
        <f t="shared" ca="1" si="10"/>
        <v>-15.411471321695762</v>
      </c>
      <c r="L155" s="20">
        <f t="array" aca="1" ref="L155" ca="1">_FV(A155,"Market cap",TRUE)/10000000</f>
        <v>14708.55</v>
      </c>
      <c r="M155" s="21" t="str">
        <f t="shared" ca="1" si="11"/>
        <v>MC</v>
      </c>
      <c r="N155" s="37" t="str">
        <f t="array" aca="1" ref="N155" ca="1">_FV(A155,"Industry")</f>
        <v>Machinery, Equipment &amp; Components</v>
      </c>
    </row>
    <row r="156" spans="1:14">
      <c r="A156" s="107" t="e" vm="298">
        <v>#VALUE!</v>
      </c>
      <c r="B156" s="33">
        <f t="array" aca="1" ref="B156" ca="1">_FV(A156,"Change (%)",TRUE)</f>
        <v>-3.8709999999999999E-3</v>
      </c>
      <c r="C156" s="35">
        <f t="array" aca="1" ref="C156" ca="1">_FV(A156,"Previous close",TRUE)</f>
        <v>516.70000000000005</v>
      </c>
      <c r="D156" s="35">
        <f t="array" aca="1" ref="D156" ca="1">_FV(A156,"Price")</f>
        <v>514.70000000000005</v>
      </c>
      <c r="E156" s="35">
        <f t="array" aca="1" ref="E156" ca="1">_FV(A156,"Low")</f>
        <v>513</v>
      </c>
      <c r="F156" s="35">
        <f t="array" aca="1" ref="F156" ca="1">_FV(A156,"High")</f>
        <v>519</v>
      </c>
      <c r="G156" s="35">
        <f t="array" aca="1" ref="G156" ca="1">_FV(A156,"52 week low",TRUE)</f>
        <v>498.45</v>
      </c>
      <c r="H156" s="36">
        <f t="array" aca="1" ref="H156" ca="1">_FV(A156,"52 week high",TRUE)</f>
        <v>651.20000000000005</v>
      </c>
      <c r="I156" s="40">
        <f t="shared" ca="1" si="8"/>
        <v>20.961302211302211</v>
      </c>
      <c r="J156" s="39" t="str">
        <f t="shared" ca="1" si="9"/>
        <v>FIRST MC BUY</v>
      </c>
      <c r="K156" s="54">
        <f t="shared" ca="1" si="10"/>
        <v>-3.2601063296218391</v>
      </c>
      <c r="L156" s="20">
        <f t="array" aca="1" ref="L156" ca="1">_FV(A156,"Market cap",TRUE)/10000000</f>
        <v>22553.95</v>
      </c>
      <c r="M156" s="21" t="str">
        <f t="shared" ca="1" si="11"/>
        <v>MC</v>
      </c>
      <c r="N156" s="37" t="str">
        <f t="array" aca="1" ref="N156" ca="1">_FV(A156,"Industry")</f>
        <v>Personal &amp; Household Products &amp; Services</v>
      </c>
    </row>
    <row r="157" spans="1:14">
      <c r="A157" s="107" t="e" vm="299">
        <v>#VALUE!</v>
      </c>
      <c r="B157" s="33">
        <f t="array" aca="1" ref="B157" ca="1">_FV(A157,"Change (%)",TRUE)</f>
        <v>1.1976000000000001E-2</v>
      </c>
      <c r="C157" s="35">
        <f t="array" aca="1" ref="C157" ca="1">_FV(A157,"Previous close",TRUE)</f>
        <v>1411.1</v>
      </c>
      <c r="D157" s="35">
        <f t="array" aca="1" ref="D157" ca="1">_FV(A157,"Price")</f>
        <v>1428</v>
      </c>
      <c r="E157" s="35">
        <f t="array" aca="1" ref="E157" ca="1">_FV(A157,"Low")</f>
        <v>1396.3</v>
      </c>
      <c r="F157" s="35">
        <f t="array" aca="1" ref="F157" ca="1">_FV(A157,"High")</f>
        <v>1442</v>
      </c>
      <c r="G157" s="35">
        <f t="array" aca="1" ref="G157" ca="1">_FV(A157,"52 week low",TRUE)</f>
        <v>889</v>
      </c>
      <c r="H157" s="36">
        <f t="array" aca="1" ref="H157" ca="1">_FV(A157,"52 week high",TRUE)</f>
        <v>1519.9</v>
      </c>
      <c r="I157" s="40">
        <f t="shared" ca="1" si="8"/>
        <v>6.0464504243700299</v>
      </c>
      <c r="J157" s="39" t="str">
        <f t="shared" ca="1" si="9"/>
        <v>WATCH</v>
      </c>
      <c r="K157" s="54">
        <f t="shared" ca="1" si="10"/>
        <v>-60.629921259842519</v>
      </c>
      <c r="L157" s="20">
        <f t="array" aca="1" ref="L157" ca="1">_FV(A157,"Market cap",TRUE)/10000000</f>
        <v>26750.58</v>
      </c>
      <c r="M157" s="21" t="str">
        <f t="shared" ca="1" si="11"/>
        <v>MC</v>
      </c>
      <c r="N157" s="37" t="str">
        <f t="array" aca="1" ref="N157" ca="1">_FV(A157,"Industry")</f>
        <v>Pharmaceuticals</v>
      </c>
    </row>
    <row r="158" spans="1:14">
      <c r="A158" s="107" t="e" vm="37">
        <v>#VALUE!</v>
      </c>
      <c r="B158" s="33">
        <f t="array" aca="1" ref="B158" ca="1">_FV(A158,"Change (%)",TRUE)</f>
        <v>-1.2508999999999999E-2</v>
      </c>
      <c r="C158" s="35">
        <f t="array" aca="1" ref="C158" ca="1">_FV(A158,"Previous close",TRUE)</f>
        <v>2582.1</v>
      </c>
      <c r="D158" s="35">
        <f t="array" aca="1" ref="D158" ca="1">_FV(A158,"Price")</f>
        <v>2549.8000000000002</v>
      </c>
      <c r="E158" s="35">
        <f t="array" aca="1" ref="E158" ca="1">_FV(A158,"Low")</f>
        <v>2541</v>
      </c>
      <c r="F158" s="35">
        <f t="array" aca="1" ref="F158" ca="1">_FV(A158,"High")</f>
        <v>2599.9</v>
      </c>
      <c r="G158" s="35">
        <f t="array" aca="1" ref="G158" ca="1">_FV(A158,"52 week low",TRUE)</f>
        <v>1675</v>
      </c>
      <c r="H158" s="36">
        <f t="array" aca="1" ref="H158" ca="1">_FV(A158,"52 week high",TRUE)</f>
        <v>3079.9</v>
      </c>
      <c r="I158" s="40">
        <f t="shared" ca="1" si="8"/>
        <v>17.211597779148672</v>
      </c>
      <c r="J158" s="39" t="str">
        <f t="shared" ca="1" si="9"/>
        <v>WATCH</v>
      </c>
      <c r="K158" s="54">
        <f t="shared" ca="1" si="10"/>
        <v>-52.226865671641796</v>
      </c>
      <c r="L158" s="20">
        <f t="array" aca="1" ref="L158" ca="1">_FV(A158,"Market cap",TRUE)/10000000</f>
        <v>36320.550000000003</v>
      </c>
      <c r="M158" s="21" t="str">
        <f t="shared" ca="1" si="11"/>
        <v>MC</v>
      </c>
      <c r="N158" s="37" t="str">
        <f t="array" aca="1" ref="N158" ca="1">_FV(A158,"Industry")</f>
        <v>Automobiles &amp; Auto Parts</v>
      </c>
    </row>
    <row r="159" spans="1:14">
      <c r="A159" s="107" t="e" vm="300">
        <v>#VALUE!</v>
      </c>
      <c r="B159" s="33">
        <f t="array" aca="1" ref="B159" ca="1">_FV(A159,"Change (%)",TRUE)</f>
        <v>2.0931000000000002E-2</v>
      </c>
      <c r="C159" s="35">
        <f t="array" aca="1" ref="C159" ca="1">_FV(A159,"Previous close",TRUE)</f>
        <v>201.14</v>
      </c>
      <c r="D159" s="35">
        <f t="array" aca="1" ref="D159" ca="1">_FV(A159,"Price")</f>
        <v>205.35</v>
      </c>
      <c r="E159" s="35">
        <f t="array" aca="1" ref="E159" ca="1">_FV(A159,"Low")</f>
        <v>200</v>
      </c>
      <c r="F159" s="35">
        <f t="array" aca="1" ref="F159" ca="1">_FV(A159,"High")</f>
        <v>208.5</v>
      </c>
      <c r="G159" s="35">
        <f t="array" aca="1" ref="G159" ca="1">_FV(A159,"52 week low",TRUE)</f>
        <v>142.19999999999999</v>
      </c>
      <c r="H159" s="36">
        <f t="array" aca="1" ref="H159" ca="1">_FV(A159,"52 week high",TRUE)</f>
        <v>255.45</v>
      </c>
      <c r="I159" s="40">
        <f t="shared" ca="1" si="8"/>
        <v>19.612448620082205</v>
      </c>
      <c r="J159" s="39" t="str">
        <f t="shared" ca="1" si="9"/>
        <v>WATCH</v>
      </c>
      <c r="K159" s="54">
        <f t="shared" ca="1" si="10"/>
        <v>-44.409282700421954</v>
      </c>
      <c r="L159" s="20">
        <f t="array" aca="1" ref="L159" ca="1">_FV(A159,"Market cap",TRUE)/10000000</f>
        <v>11304.92</v>
      </c>
      <c r="M159" s="21" t="str">
        <f t="shared" ca="1" si="11"/>
        <v>MC</v>
      </c>
      <c r="N159" s="37" t="str">
        <f t="array" aca="1" ref="N159" ca="1">_FV(A159,"Industry")</f>
        <v>Construction &amp; Engineering</v>
      </c>
    </row>
    <row r="160" spans="1:14">
      <c r="A160" s="107" t="e" vm="301">
        <v>#VALUE!</v>
      </c>
      <c r="B160" s="33">
        <f t="array" aca="1" ref="B160" ca="1">_FV(A160,"Change (%)",TRUE)</f>
        <v>-1.2362E-2</v>
      </c>
      <c r="C160" s="35">
        <f t="array" aca="1" ref="C160" ca="1">_FV(A160,"Previous close",TRUE)</f>
        <v>1545</v>
      </c>
      <c r="D160" s="35">
        <f t="array" aca="1" ref="D160" ca="1">_FV(A160,"Price")</f>
        <v>1525.9</v>
      </c>
      <c r="E160" s="35">
        <f t="array" aca="1" ref="E160" ca="1">_FV(A160,"Low")</f>
        <v>1512</v>
      </c>
      <c r="F160" s="35">
        <f t="array" aca="1" ref="F160" ca="1">_FV(A160,"High")</f>
        <v>1556.4</v>
      </c>
      <c r="G160" s="35">
        <f t="array" aca="1" ref="G160" ca="1">_FV(A160,"52 week low",TRUE)</f>
        <v>1097.2</v>
      </c>
      <c r="H160" s="36">
        <f t="array" aca="1" ref="H160" ca="1">_FV(A160,"52 week high",TRUE)</f>
        <v>1910</v>
      </c>
      <c r="I160" s="40">
        <f t="shared" ca="1" si="8"/>
        <v>20.109947643979055</v>
      </c>
      <c r="J160" s="39" t="str">
        <f t="shared" ca="1" si="9"/>
        <v>FIRST MC BUY</v>
      </c>
      <c r="K160" s="54">
        <f t="shared" ca="1" si="10"/>
        <v>-39.072183740430191</v>
      </c>
      <c r="L160" s="20">
        <f t="array" aca="1" ref="L160" ca="1">_FV(A160,"Market cap",TRUE)/10000000</f>
        <v>21045.51</v>
      </c>
      <c r="M160" s="21" t="str">
        <f t="shared" ca="1" si="11"/>
        <v>MC</v>
      </c>
      <c r="N160" s="37" t="str">
        <f t="array" aca="1" ref="N160" ca="1">_FV(A160,"Industry")</f>
        <v>Pharmaceuticals</v>
      </c>
    </row>
    <row r="161" spans="1:14">
      <c r="A161" s="107" t="e" vm="302">
        <v>#VALUE!</v>
      </c>
      <c r="B161" s="33">
        <f t="array" aca="1" ref="B161" ca="1">_FV(A161,"Change (%)",TRUE)</f>
        <v>-8.1530000000000005E-3</v>
      </c>
      <c r="C161" s="35">
        <f t="array" aca="1" ref="C161" ca="1">_FV(A161,"Previous close",TRUE)</f>
        <v>3728.5</v>
      </c>
      <c r="D161" s="35">
        <f t="array" aca="1" ref="D161" ca="1">_FV(A161,"Price")</f>
        <v>3698.1</v>
      </c>
      <c r="E161" s="35">
        <f t="array" aca="1" ref="E161" ca="1">_FV(A161,"Low")</f>
        <v>3686.6</v>
      </c>
      <c r="F161" s="35">
        <f t="array" aca="1" ref="F161" ca="1">_FV(A161,"High")</f>
        <v>3750</v>
      </c>
      <c r="G161" s="35">
        <f t="array" aca="1" ref="G161" ca="1">_FV(A161,"52 week low",TRUE)</f>
        <v>2776.4</v>
      </c>
      <c r="H161" s="36">
        <f t="array" aca="1" ref="H161" ca="1">_FV(A161,"52 week high",TRUE)</f>
        <v>4180</v>
      </c>
      <c r="I161" s="40">
        <f t="shared" ca="1" si="8"/>
        <v>11.528708133971294</v>
      </c>
      <c r="J161" s="39" t="str">
        <f t="shared" ca="1" si="9"/>
        <v>WATCH</v>
      </c>
      <c r="K161" s="54">
        <f t="shared" ca="1" si="10"/>
        <v>-33.197666042357</v>
      </c>
      <c r="L161" s="20">
        <f t="array" aca="1" ref="L161" ca="1">_FV(A161,"Market cap",TRUE)/10000000</f>
        <v>40688.339999999997</v>
      </c>
      <c r="M161" s="21" t="str">
        <f t="shared" ca="1" si="11"/>
        <v>HMC</v>
      </c>
      <c r="N161" s="37" t="str">
        <f t="array" aca="1" ref="N161" ca="1">_FV(A161,"Industry")</f>
        <v>Machinery, Equipment &amp; Components</v>
      </c>
    </row>
    <row r="162" spans="1:14">
      <c r="A162" s="107" t="e" vm="39">
        <v>#VALUE!</v>
      </c>
      <c r="B162" s="33">
        <f t="array" aca="1" ref="B162" ca="1">_FV(A162,"Change (%)",TRUE)</f>
        <v>-1.0883E-2</v>
      </c>
      <c r="C162" s="35">
        <f t="array" aca="1" ref="C162" ca="1">_FV(A162,"Previous close",TRUE)</f>
        <v>284.85000000000002</v>
      </c>
      <c r="D162" s="35">
        <f t="array" aca="1" ref="D162" ca="1">_FV(A162,"Price")</f>
        <v>281.75</v>
      </c>
      <c r="E162" s="35">
        <f t="array" aca="1" ref="E162" ca="1">_FV(A162,"Low")</f>
        <v>279.7</v>
      </c>
      <c r="F162" s="35">
        <f t="array" aca="1" ref="F162" ca="1">_FV(A162,"High")</f>
        <v>284.64999999999998</v>
      </c>
      <c r="G162" s="35">
        <f t="array" aca="1" ref="G162" ca="1">_FV(A162,"52 week low",TRUE)</f>
        <v>194.8</v>
      </c>
      <c r="H162" s="36">
        <f t="array" aca="1" ref="H162" ca="1">_FV(A162,"52 week high",TRUE)</f>
        <v>368.45</v>
      </c>
      <c r="I162" s="40">
        <f t="shared" ca="1" si="8"/>
        <v>23.531008277921018</v>
      </c>
      <c r="J162" s="39" t="str">
        <f t="shared" ca="1" si="9"/>
        <v>SURE LC BUY</v>
      </c>
      <c r="K162" s="54">
        <f t="shared" ca="1" si="10"/>
        <v>-44.635523613963024</v>
      </c>
      <c r="L162" s="20">
        <f t="array" aca="1" ref="L162" ca="1">_FV(A162,"Market cap",TRUE)/10000000</f>
        <v>256360.6</v>
      </c>
      <c r="M162" s="21" t="str">
        <f t="shared" ca="1" si="11"/>
        <v>LC</v>
      </c>
      <c r="N162" s="37" t="str">
        <f t="array" aca="1" ref="N162" ca="1">_FV(A162,"Industry")</f>
        <v>Software &amp; IT Services</v>
      </c>
    </row>
    <row r="163" spans="1:14">
      <c r="A163" s="107" t="e" vm="40">
        <v>#VALUE!</v>
      </c>
      <c r="B163" s="33">
        <f t="array" aca="1" ref="B163" ca="1">_FV(A163,"Change (%)",TRUE)</f>
        <v>-5.4469999999999996E-3</v>
      </c>
      <c r="C163" s="35">
        <f t="array" aca="1" ref="C163" ca="1">_FV(A163,"Previous close",TRUE)</f>
        <v>367.15</v>
      </c>
      <c r="D163" s="35">
        <f t="array" aca="1" ref="D163" ca="1">_FV(A163,"Price")</f>
        <v>365.15</v>
      </c>
      <c r="E163" s="35">
        <f t="array" aca="1" ref="E163" ca="1">_FV(A163,"Low")</f>
        <v>364.35</v>
      </c>
      <c r="F163" s="35">
        <f t="array" aca="1" ref="F163" ca="1">_FV(A163,"High")</f>
        <v>369.75</v>
      </c>
      <c r="G163" s="35">
        <f t="array" aca="1" ref="G163" ca="1">_FV(A163,"52 week low",TRUE)</f>
        <v>328</v>
      </c>
      <c r="H163" s="36">
        <f t="array" aca="1" ref="H163" ca="1">_FV(A163,"52 week high",TRUE)</f>
        <v>431.6</v>
      </c>
      <c r="I163" s="40">
        <f t="shared" ca="1" si="8"/>
        <v>15.396200185356822</v>
      </c>
      <c r="J163" s="39" t="str">
        <f t="shared" ca="1" si="9"/>
        <v>WATCH</v>
      </c>
      <c r="K163" s="54">
        <f t="shared" ca="1" si="10"/>
        <v>-11.326219512195115</v>
      </c>
      <c r="L163" s="20">
        <f t="array" aca="1" ref="L163" ca="1">_FV(A163,"Market cap",TRUE)/10000000</f>
        <v>31207.75</v>
      </c>
      <c r="M163" s="21" t="str">
        <f t="shared" ca="1" si="11"/>
        <v>MC</v>
      </c>
      <c r="N163" s="37" t="str">
        <f t="array" aca="1" ref="N163" ca="1">_FV(A163,"Industry")</f>
        <v>Automobiles &amp; Auto Parts</v>
      </c>
    </row>
    <row r="164" spans="1:14">
      <c r="A164" s="107" t="e" vm="303">
        <v>#VALUE!</v>
      </c>
      <c r="B164" s="33">
        <f t="array" aca="1" ref="B164" ca="1">_FV(A164,"Change (%)",TRUE)</f>
        <v>5.8149999999999999E-3</v>
      </c>
      <c r="C164" s="35">
        <f t="array" aca="1" ref="C164" ca="1">_FV(A164,"Previous close",TRUE)</f>
        <v>257.95</v>
      </c>
      <c r="D164" s="35">
        <f t="array" aca="1" ref="D164" ca="1">_FV(A164,"Price")</f>
        <v>259.45</v>
      </c>
      <c r="E164" s="35">
        <f t="array" aca="1" ref="E164" ca="1">_FV(A164,"Low")</f>
        <v>257.5</v>
      </c>
      <c r="F164" s="35">
        <f t="array" aca="1" ref="F164" ca="1">_FV(A164,"High")</f>
        <v>261.39999999999998</v>
      </c>
      <c r="G164" s="35">
        <f t="array" aca="1" ref="G164" ca="1">_FV(A164,"52 week low",TRUE)</f>
        <v>154.9</v>
      </c>
      <c r="H164" s="36">
        <f t="array" aca="1" ref="H164" ca="1">_FV(A164,"52 week high",TRUE)</f>
        <v>273.22000000000003</v>
      </c>
      <c r="I164" s="40">
        <f t="shared" ca="1" si="8"/>
        <v>5.0398945904399524</v>
      </c>
      <c r="J164" s="39" t="str">
        <f t="shared" ca="1" si="9"/>
        <v>WATCH</v>
      </c>
      <c r="K164" s="54">
        <f t="shared" ca="1" si="10"/>
        <v>-67.495158166559051</v>
      </c>
      <c r="L164" s="20">
        <f t="array" aca="1" ref="L164" ca="1">_FV(A164,"Market cap",TRUE)/10000000</f>
        <v>73838.8</v>
      </c>
      <c r="M164" s="21" t="str">
        <f t="shared" ca="1" si="11"/>
        <v>HMC</v>
      </c>
      <c r="N164" s="37" t="str">
        <f t="array" aca="1" ref="N164" ca="1">_FV(A164,"Industry")</f>
        <v>Diversified Retail</v>
      </c>
    </row>
    <row r="165" spans="1:14">
      <c r="A165" s="107" t="e" vm="304">
        <v>#VALUE!</v>
      </c>
      <c r="B165" s="33">
        <f t="array" aca="1" ref="B165" ca="1">_FV(A165,"Change (%)",TRUE)</f>
        <v>9.5509999999999996E-4</v>
      </c>
      <c r="C165" s="35">
        <f t="array" aca="1" ref="C165" ca="1">_FV(A165,"Previous close",TRUE)</f>
        <v>261.75</v>
      </c>
      <c r="D165" s="35">
        <f t="array" aca="1" ref="D165" ca="1">_FV(A165,"Price")</f>
        <v>262</v>
      </c>
      <c r="E165" s="35">
        <f t="array" aca="1" ref="E165" ca="1">_FV(A165,"Low")</f>
        <v>260.10000000000002</v>
      </c>
      <c r="F165" s="35">
        <f t="array" aca="1" ref="F165" ca="1">_FV(A165,"High")</f>
        <v>263.2</v>
      </c>
      <c r="G165" s="35">
        <f t="array" aca="1" ref="G165" ca="1">_FV(A165,"52 week low",TRUE)</f>
        <v>172.66</v>
      </c>
      <c r="H165" s="36">
        <f t="array" aca="1" ref="H165" ca="1">_FV(A165,"52 week high",TRUE)</f>
        <v>271.10000000000002</v>
      </c>
      <c r="I165" s="40">
        <f t="shared" ca="1" si="8"/>
        <v>3.3566949465142093</v>
      </c>
      <c r="J165" s="39" t="str">
        <f t="shared" ca="1" si="9"/>
        <v>WATCH</v>
      </c>
      <c r="K165" s="54">
        <f t="shared" ca="1" si="10"/>
        <v>-51.743310552530986</v>
      </c>
      <c r="L165" s="20">
        <f t="array" aca="1" ref="L165" ca="1">_FV(A165,"Market cap",TRUE)/10000000</f>
        <v>64503.57</v>
      </c>
      <c r="M165" s="21" t="str">
        <f t="shared" ca="1" si="11"/>
        <v>HMC</v>
      </c>
      <c r="N165" s="37" t="str">
        <f t="array" aca="1" ref="N165" ca="1">_FV(A165,"Industry")</f>
        <v>Banking Services</v>
      </c>
    </row>
    <row r="166" spans="1:14">
      <c r="A166" s="107" t="e" vm="305">
        <v>#VALUE!</v>
      </c>
      <c r="B166" s="33">
        <f t="array" aca="1" ref="B166" ca="1">_FV(A166,"Change (%)",TRUE)</f>
        <v>1.5368E-2</v>
      </c>
      <c r="C166" s="35">
        <f t="array" aca="1" ref="C166" ca="1">_FV(A166,"Previous close",TRUE)</f>
        <v>875.2</v>
      </c>
      <c r="D166" s="35">
        <f t="array" aca="1" ref="D166" ca="1">_FV(A166,"Price")</f>
        <v>888.65</v>
      </c>
      <c r="E166" s="35">
        <f t="array" aca="1" ref="E166" ca="1">_FV(A166,"Low")</f>
        <v>871.45</v>
      </c>
      <c r="F166" s="35">
        <f t="array" aca="1" ref="F166" ca="1">_FV(A166,"High")</f>
        <v>908.5</v>
      </c>
      <c r="G166" s="35">
        <f t="array" aca="1" ref="G166" ca="1">_FV(A166,"52 week low",TRUE)</f>
        <v>565</v>
      </c>
      <c r="H166" s="36">
        <f t="array" aca="1" ref="H166" ca="1">_FV(A166,"52 week high",TRUE)</f>
        <v>1112</v>
      </c>
      <c r="I166" s="40">
        <f t="shared" ca="1" si="8"/>
        <v>20.085431654676263</v>
      </c>
      <c r="J166" s="39" t="str">
        <f t="shared" ca="1" si="9"/>
        <v>HMC BUY</v>
      </c>
      <c r="K166" s="54">
        <f t="shared" ca="1" si="10"/>
        <v>-57.283185840707958</v>
      </c>
      <c r="L166" s="20">
        <f t="array" aca="1" ref="L166" ca="1">_FV(A166,"Market cap",TRUE)/10000000</f>
        <v>56631.74</v>
      </c>
      <c r="M166" s="21" t="str">
        <f t="shared" ca="1" si="11"/>
        <v>HMC</v>
      </c>
      <c r="N166" s="37" t="str">
        <f t="array" aca="1" ref="N166" ca="1">_FV(A166,"Industry")</f>
        <v>Chemicals</v>
      </c>
    </row>
    <row r="167" spans="1:14">
      <c r="A167" s="107" t="e" vm="306">
        <v>#VALUE!</v>
      </c>
      <c r="B167" s="33">
        <f t="array" aca="1" ref="B167" ca="1">_FV(A167,"Change (%)",TRUE)</f>
        <v>-8.0169999999999998E-3</v>
      </c>
      <c r="C167" s="35">
        <f t="array" aca="1" ref="C167" ca="1">_FV(A167,"Previous close",TRUE)</f>
        <v>773.4</v>
      </c>
      <c r="D167" s="35">
        <f t="array" aca="1" ref="D167" ca="1">_FV(A167,"Price")</f>
        <v>767.2</v>
      </c>
      <c r="E167" s="35">
        <f t="array" aca="1" ref="E167" ca="1">_FV(A167,"Low")</f>
        <v>765.5</v>
      </c>
      <c r="F167" s="35">
        <f t="array" aca="1" ref="F167" ca="1">_FV(A167,"High")</f>
        <v>776</v>
      </c>
      <c r="G167" s="35">
        <f t="array" aca="1" ref="G167" ca="1">_FV(A167,"52 week low",TRUE)</f>
        <v>707.3</v>
      </c>
      <c r="H167" s="36">
        <f t="array" aca="1" ref="H167" ca="1">_FV(A167,"52 week high",TRUE)</f>
        <v>1294</v>
      </c>
      <c r="I167" s="40">
        <f t="shared" ca="1" si="8"/>
        <v>40.710973724884077</v>
      </c>
      <c r="J167" s="39" t="str">
        <f t="shared" ca="1" si="9"/>
        <v>SURE MC BUY</v>
      </c>
      <c r="K167" s="54">
        <f t="shared" ca="1" si="10"/>
        <v>-8.4688251095716236</v>
      </c>
      <c r="L167" s="20">
        <f t="array" aca="1" ref="L167" ca="1">_FV(A167,"Market cap",TRUE)/10000000</f>
        <v>11828.33</v>
      </c>
      <c r="M167" s="21" t="str">
        <f t="shared" ca="1" si="11"/>
        <v>MC</v>
      </c>
      <c r="N167" s="37" t="str">
        <f t="array" aca="1" ref="N167" ca="1">_FV(A167,"Industry")</f>
        <v>Machinery, Equipment &amp; Components</v>
      </c>
    </row>
    <row r="168" spans="1:14">
      <c r="A168" s="107" t="e" vm="307">
        <v>#VALUE!</v>
      </c>
      <c r="B168" s="33">
        <f t="array" aca="1" ref="B168" ca="1">_FV(A168,"Change (%)",TRUE)</f>
        <v>5.0899999999999999E-3</v>
      </c>
      <c r="C168" s="35">
        <f t="array" aca="1" ref="C168" ca="1">_FV(A168,"Previous close",TRUE)</f>
        <v>168.95</v>
      </c>
      <c r="D168" s="35">
        <f t="array" aca="1" ref="D168" ca="1">_FV(A168,"Price")</f>
        <v>169.81</v>
      </c>
      <c r="E168" s="35">
        <f t="array" aca="1" ref="E168" ca="1">_FV(A168,"Low")</f>
        <v>167.93</v>
      </c>
      <c r="F168" s="35">
        <f t="array" aca="1" ref="F168" ca="1">_FV(A168,"High")</f>
        <v>170.66</v>
      </c>
      <c r="G168" s="35">
        <f t="array" aca="1" ref="G168" ca="1">_FV(A168,"52 week low",TRUE)</f>
        <v>152.79</v>
      </c>
      <c r="H168" s="36">
        <f t="array" aca="1" ref="H168" ca="1">_FV(A168,"52 week high",TRUE)</f>
        <v>264.45</v>
      </c>
      <c r="I168" s="40">
        <f t="shared" ca="1" si="8"/>
        <v>35.787483456229907</v>
      </c>
      <c r="J168" s="39" t="str">
        <f t="shared" ca="1" si="9"/>
        <v>MC BUY</v>
      </c>
      <c r="K168" s="54">
        <f t="shared" ca="1" si="10"/>
        <v>-11.139472478565358</v>
      </c>
      <c r="L168" s="20">
        <f t="array" aca="1" ref="L168" ca="1">_FV(A168,"Market cap",TRUE)/10000000</f>
        <v>10446.41</v>
      </c>
      <c r="M168" s="21" t="str">
        <f t="shared" ca="1" si="11"/>
        <v>MC</v>
      </c>
      <c r="N168" s="37" t="str">
        <f t="array" aca="1" ref="N168" ca="1">_FV(A168,"Industry")</f>
        <v>Homebuilding &amp; Construction Supplies</v>
      </c>
    </row>
    <row r="169" spans="1:14">
      <c r="A169" s="107" t="e" vm="308">
        <v>#VALUE!</v>
      </c>
      <c r="B169" s="33">
        <f t="array" aca="1" ref="B169" ca="1">_FV(A169,"Change (%)",TRUE)</f>
        <v>-2.2118000000000002E-2</v>
      </c>
      <c r="C169" s="35">
        <f t="array" aca="1" ref="C169" ca="1">_FV(A169,"Previous close",TRUE)</f>
        <v>350.4</v>
      </c>
      <c r="D169" s="35">
        <f t="array" aca="1" ref="D169" ca="1">_FV(A169,"Price")</f>
        <v>342.65</v>
      </c>
      <c r="E169" s="35">
        <f t="array" aca="1" ref="E169" ca="1">_FV(A169,"Low")</f>
        <v>341.3</v>
      </c>
      <c r="F169" s="35">
        <f t="array" aca="1" ref="F169" ca="1">_FV(A169,"High")</f>
        <v>351</v>
      </c>
      <c r="G169" s="35">
        <f t="array" aca="1" ref="G169" ca="1">_FV(A169,"52 week low",TRUE)</f>
        <v>270</v>
      </c>
      <c r="H169" s="36">
        <f t="array" aca="1" ref="H169" ca="1">_FV(A169,"52 week high",TRUE)</f>
        <v>422.3</v>
      </c>
      <c r="I169" s="40">
        <f t="shared" ca="1" si="8"/>
        <v>18.860999289604553</v>
      </c>
      <c r="J169" s="39" t="str">
        <f t="shared" ca="1" si="9"/>
        <v>WATCH</v>
      </c>
      <c r="K169" s="54">
        <f t="shared" ca="1" si="10"/>
        <v>-26.907407407407401</v>
      </c>
      <c r="L169" s="20">
        <f t="array" aca="1" ref="L169" ca="1">_FV(A169,"Market cap",TRUE)/10000000</f>
        <v>23689.15</v>
      </c>
      <c r="M169" s="21" t="str">
        <f t="shared" ca="1" si="11"/>
        <v>MC</v>
      </c>
      <c r="N169" s="37" t="str">
        <f t="array" aca="1" ref="N169" ca="1">_FV(A169,"Industry")</f>
        <v>Professional &amp; Commercial Services</v>
      </c>
    </row>
    <row r="170" spans="1:14">
      <c r="A170" s="107" t="e" vm="309">
        <v>#VALUE!</v>
      </c>
      <c r="B170" s="33">
        <f t="array" aca="1" ref="B170" ca="1">_FV(A170,"Change (%)",TRUE)</f>
        <v>-1.0208E-2</v>
      </c>
      <c r="C170" s="35">
        <f t="array" aca="1" ref="C170" ca="1">_FV(A170,"Previous close",TRUE)</f>
        <v>558.4</v>
      </c>
      <c r="D170" s="35">
        <f t="array" aca="1" ref="D170" ca="1">_FV(A170,"Price")</f>
        <v>552.70000000000005</v>
      </c>
      <c r="E170" s="35">
        <f t="array" aca="1" ref="E170" ca="1">_FV(A170,"Low")</f>
        <v>551.29999999999995</v>
      </c>
      <c r="F170" s="35">
        <f t="array" aca="1" ref="F170" ca="1">_FV(A170,"High")</f>
        <v>561.85</v>
      </c>
      <c r="G170" s="35">
        <f t="array" aca="1" ref="G170" ca="1">_FV(A170,"52 week low",TRUE)</f>
        <v>501</v>
      </c>
      <c r="H170" s="36">
        <f t="array" aca="1" ref="H170" ca="1">_FV(A170,"52 week high",TRUE)</f>
        <v>850</v>
      </c>
      <c r="I170" s="40">
        <f t="shared" ca="1" si="8"/>
        <v>34.976470588235287</v>
      </c>
      <c r="J170" s="39" t="str">
        <f t="shared" ca="1" si="9"/>
        <v>MC BUY</v>
      </c>
      <c r="K170" s="54">
        <f t="shared" ca="1" si="10"/>
        <v>-10.319361277445118</v>
      </c>
      <c r="L170" s="20">
        <f t="array" aca="1" ref="L170" ca="1">_FV(A170,"Market cap",TRUE)/10000000</f>
        <v>16446.75</v>
      </c>
      <c r="M170" s="21" t="str">
        <f t="shared" ca="1" si="11"/>
        <v>MC</v>
      </c>
      <c r="N170" s="37" t="str">
        <f t="array" aca="1" ref="N170" ca="1">_FV(A170,"Industry")</f>
        <v>Banking Services</v>
      </c>
    </row>
    <row r="171" spans="1:14">
      <c r="A171" s="107" t="e" vm="310">
        <v>#VALUE!</v>
      </c>
      <c r="B171" s="33">
        <f t="array" aca="1" ref="B171" ca="1">_FV(A171,"Change (%)",TRUE)</f>
        <v>5.8260000000000004E-3</v>
      </c>
      <c r="C171" s="35">
        <f t="array" aca="1" ref="C171" ca="1">_FV(A171,"Previous close",TRUE)</f>
        <v>18365</v>
      </c>
      <c r="D171" s="35">
        <f t="array" aca="1" ref="D171" ca="1">_FV(A171,"Price")</f>
        <v>18472</v>
      </c>
      <c r="E171" s="35">
        <f t="array" aca="1" ref="E171" ca="1">_FV(A171,"Low")</f>
        <v>18300</v>
      </c>
      <c r="F171" s="35">
        <f t="array" aca="1" ref="F171" ca="1">_FV(A171,"High")</f>
        <v>18575</v>
      </c>
      <c r="G171" s="35">
        <f t="array" aca="1" ref="G171" ca="1">_FV(A171,"52 week low",TRUE)</f>
        <v>6125</v>
      </c>
      <c r="H171" s="36">
        <f t="array" aca="1" ref="H171" ca="1">_FV(A171,"52 week high",TRUE)</f>
        <v>21990</v>
      </c>
      <c r="I171" s="40">
        <f t="shared" ca="1" si="8"/>
        <v>15.998180991359709</v>
      </c>
      <c r="J171" s="39" t="str">
        <f t="shared" ca="1" si="9"/>
        <v>WATCH</v>
      </c>
      <c r="K171" s="54">
        <f t="shared" ca="1" si="10"/>
        <v>-201.58367346938775</v>
      </c>
      <c r="L171" s="20">
        <f t="array" aca="1" ref="L171" ca="1">_FV(A171,"Market cap",TRUE)/10000000</f>
        <v>24198.2</v>
      </c>
      <c r="M171" s="21" t="str">
        <f t="shared" ca="1" si="11"/>
        <v>MC</v>
      </c>
      <c r="N171" s="37" t="str">
        <f t="array" aca="1" ref="N171" ca="1">_FV(A171,"Industry")</f>
        <v>Automobiles &amp; Auto Parts</v>
      </c>
    </row>
    <row r="172" spans="1:14">
      <c r="A172" s="107" t="e" vm="311">
        <v>#VALUE!</v>
      </c>
      <c r="B172" s="33">
        <f t="array" aca="1" ref="B172" ca="1">_FV(A172,"Change (%)",TRUE)</f>
        <v>-3.323E-4</v>
      </c>
      <c r="C172" s="35">
        <f t="array" aca="1" ref="C172" ca="1">_FV(A172,"Previous close",TRUE)</f>
        <v>902.7</v>
      </c>
      <c r="D172" s="35">
        <f t="array" aca="1" ref="D172" ca="1">_FV(A172,"Price")</f>
        <v>902.4</v>
      </c>
      <c r="E172" s="35">
        <f t="array" aca="1" ref="E172" ca="1">_FV(A172,"Low")</f>
        <v>896.4</v>
      </c>
      <c r="F172" s="35">
        <f t="array" aca="1" ref="F172" ca="1">_FV(A172,"High")</f>
        <v>909.2</v>
      </c>
      <c r="G172" s="35">
        <f t="array" aca="1" ref="G172" ca="1">_FV(A172,"52 week low",TRUE)</f>
        <v>577</v>
      </c>
      <c r="H172" s="36">
        <f t="array" aca="1" ref="H172" ca="1">_FV(A172,"52 week high",TRUE)</f>
        <v>1104.3</v>
      </c>
      <c r="I172" s="40">
        <f t="shared" ca="1" si="8"/>
        <v>18.283075251290409</v>
      </c>
      <c r="J172" s="39" t="str">
        <f t="shared" ca="1" si="9"/>
        <v>FIRST HMC BUY</v>
      </c>
      <c r="K172" s="54">
        <f t="shared" ca="1" si="10"/>
        <v>-56.395147313691503</v>
      </c>
      <c r="L172" s="20">
        <f t="array" aca="1" ref="L172" ca="1">_FV(A172,"Market cap",TRUE)/10000000</f>
        <v>68150.080000000002</v>
      </c>
      <c r="M172" s="21" t="str">
        <f t="shared" ca="1" si="11"/>
        <v>HMC</v>
      </c>
      <c r="N172" s="38" t="str">
        <f t="array" aca="1" ref="N172" ca="1">_FV(A172,"Industry")</f>
        <v>Healthcare Providers &amp; Services</v>
      </c>
    </row>
    <row r="173" spans="1:14">
      <c r="A173" s="107" t="e" vm="175">
        <v>#VALUE!</v>
      </c>
      <c r="B173" s="33">
        <f t="array" aca="1" ref="B173" ca="1">_FV(A173,"Change (%)",TRUE)</f>
        <v>1.17E-4</v>
      </c>
      <c r="C173" s="35">
        <f t="array" aca="1" ref="C173" ca="1">_FV(A173,"Previous close",TRUE)</f>
        <v>171</v>
      </c>
      <c r="D173" s="35">
        <f t="array" aca="1" ref="D173" ca="1">_FV(A173,"Price")</f>
        <v>171.02</v>
      </c>
      <c r="E173" s="35">
        <f t="array" aca="1" ref="E173" ca="1">_FV(A173,"Low")</f>
        <v>170.38</v>
      </c>
      <c r="F173" s="35">
        <f t="array" aca="1" ref="F173" ca="1">_FV(A173,"High")</f>
        <v>171.98</v>
      </c>
      <c r="G173" s="35">
        <f t="array" aca="1" ref="G173" ca="1">_FV(A173,"52 week low",TRUE)</f>
        <v>150.52000000000001</v>
      </c>
      <c r="H173" s="36">
        <f t="array" aca="1" ref="H173" ca="1">_FV(A173,"52 week high",TRUE)</f>
        <v>202.79</v>
      </c>
      <c r="I173" s="40">
        <f t="shared" ca="1" si="8"/>
        <v>15.66645298091621</v>
      </c>
      <c r="J173" s="39" t="str">
        <f t="shared" ca="1" si="9"/>
        <v>LC BUY</v>
      </c>
      <c r="K173" s="54">
        <f t="shared" ca="1" si="10"/>
        <v>-13.619452564443263</v>
      </c>
      <c r="L173" s="20">
        <f t="array" aca="1" ref="L173" ca="1">_FV(A173,"Market cap",TRUE)/10000000</f>
        <v>112433.9</v>
      </c>
      <c r="M173" s="21" t="str">
        <f t="shared" ca="1" si="11"/>
        <v>LC</v>
      </c>
      <c r="N173" s="38" t="str">
        <f t="array" aca="1" ref="N173" ca="1">_FV(A173,"Industry")</f>
        <v>Natural Gas Utilities</v>
      </c>
    </row>
    <row r="174" spans="1:14">
      <c r="A174" s="107" t="e" vm="312">
        <v>#VALUE!</v>
      </c>
      <c r="B174" s="33">
        <f t="array" aca="1" ref="B174" ca="1">_FV(A174,"Change (%)",TRUE)</f>
        <v>-2.8515000000000002E-2</v>
      </c>
      <c r="C174" s="35">
        <f t="array" aca="1" ref="C174" ca="1">_FV(A174,"Previous close",TRUE)</f>
        <v>3163.3</v>
      </c>
      <c r="D174" s="35">
        <f t="array" aca="1" ref="D174" ca="1">_FV(A174,"Price")</f>
        <v>3073.1</v>
      </c>
      <c r="E174" s="35">
        <f t="array" aca="1" ref="E174" ca="1">_FV(A174,"Low")</f>
        <v>3053</v>
      </c>
      <c r="F174" s="35">
        <f t="array" aca="1" ref="F174" ca="1">_FV(A174,"High")</f>
        <v>3169.8</v>
      </c>
      <c r="G174" s="35">
        <f t="array" aca="1" ref="G174" ca="1">_FV(A174,"52 week low",TRUE)</f>
        <v>1254</v>
      </c>
      <c r="H174" s="36">
        <f t="array" aca="1" ref="H174" ca="1">_FV(A174,"52 week high",TRUE)</f>
        <v>3323.8</v>
      </c>
      <c r="I174" s="40">
        <f t="shared" ca="1" si="8"/>
        <v>7.5425717552199369</v>
      </c>
      <c r="J174" s="39" t="str">
        <f t="shared" ca="1" si="9"/>
        <v>WATCH</v>
      </c>
      <c r="K174" s="54">
        <f t="shared" ca="1" si="10"/>
        <v>-145.06379585326954</v>
      </c>
      <c r="L174" s="20">
        <f t="array" aca="1" ref="L174" ca="1">_FV(A174,"Market cap",TRUE)/10000000</f>
        <v>80995.199999999997</v>
      </c>
      <c r="M174" s="21" t="str">
        <f t="shared" ca="1" si="11"/>
        <v>HMC</v>
      </c>
      <c r="N174" s="38" t="str">
        <f t="array" aca="1" ref="N174" ca="1">_FV(A174,"Industry")</f>
        <v>Machinery, Equipment &amp; Components</v>
      </c>
    </row>
    <row r="175" spans="1:14">
      <c r="A175" s="107" t="e" vm="313">
        <v>#VALUE!</v>
      </c>
      <c r="B175" s="33">
        <f t="array" aca="1" ref="B175" ca="1">_FV(A175,"Change (%)",TRUE)</f>
        <v>-6.1119999999999994E-3</v>
      </c>
      <c r="C175" s="35">
        <f t="array" aca="1" ref="C175" ca="1">_FV(A175,"Previous close",TRUE)</f>
        <v>103.08</v>
      </c>
      <c r="D175" s="35">
        <f t="array" aca="1" ref="D175" ca="1">_FV(A175,"Price")</f>
        <v>102.45</v>
      </c>
      <c r="E175" s="35">
        <f t="array" aca="1" ref="E175" ca="1">_FV(A175,"Low")</f>
        <v>102.12</v>
      </c>
      <c r="F175" s="35">
        <f t="array" aca="1" ref="F175" ca="1">_FV(A175,"High")</f>
        <v>104.25</v>
      </c>
      <c r="G175" s="35">
        <f t="array" aca="1" ref="G175" ca="1">_FV(A175,"52 week low",TRUE)</f>
        <v>67.75</v>
      </c>
      <c r="H175" s="36">
        <f t="array" aca="1" ref="H175" ca="1">_FV(A175,"52 week high",TRUE)</f>
        <v>110.36</v>
      </c>
      <c r="I175" s="40">
        <f t="shared" ca="1" si="8"/>
        <v>7.1674519753533863</v>
      </c>
      <c r="J175" s="39" t="str">
        <f t="shared" ca="1" si="9"/>
        <v>WATCH</v>
      </c>
      <c r="K175" s="54">
        <f t="shared" ca="1" si="10"/>
        <v>-51.217712177121776</v>
      </c>
      <c r="L175" s="20">
        <f t="array" aca="1" ref="L175" ca="1">_FV(A175,"Market cap",TRUE)/10000000</f>
        <v>108841.9</v>
      </c>
      <c r="M175" s="21" t="str">
        <f t="shared" ca="1" si="11"/>
        <v>LC</v>
      </c>
      <c r="N175" s="38" t="str">
        <f t="array" aca="1" ref="N175" ca="1">_FV(A175,"Industry")</f>
        <v>Transport Infrastructure</v>
      </c>
    </row>
    <row r="176" spans="1:14">
      <c r="A176" s="107" t="e" vm="314">
        <v>#VALUE!</v>
      </c>
      <c r="B176" s="33">
        <f t="array" aca="1" ref="B176" ca="1">_FV(A176,"Change (%)",TRUE)</f>
        <v>1.7278999999999999E-2</v>
      </c>
      <c r="C176" s="35">
        <f t="array" aca="1" ref="C176" ca="1">_FV(A176,"Previous close",TRUE)</f>
        <v>2453.8000000000002</v>
      </c>
      <c r="D176" s="35">
        <f t="array" aca="1" ref="D176" ca="1">_FV(A176,"Price")</f>
        <v>2496.1999999999998</v>
      </c>
      <c r="E176" s="35">
        <f t="array" aca="1" ref="E176" ca="1">_FV(A176,"Low")</f>
        <v>2448</v>
      </c>
      <c r="F176" s="35">
        <f t="array" aca="1" ref="F176" ca="1">_FV(A176,"High")</f>
        <v>2529.5</v>
      </c>
      <c r="G176" s="35">
        <f t="array" aca="1" ref="G176" ca="1">_FV(A176,"52 week low",TRUE)</f>
        <v>1184.9000000000001</v>
      </c>
      <c r="H176" s="36">
        <f t="array" aca="1" ref="H176" ca="1">_FV(A176,"52 week high",TRUE)</f>
        <v>3538.4</v>
      </c>
      <c r="I176" s="40">
        <f t="shared" ca="1" si="8"/>
        <v>29.453990504182688</v>
      </c>
      <c r="J176" s="39" t="str">
        <f t="shared" ca="1" si="9"/>
        <v>FIRST MC BUY</v>
      </c>
      <c r="K176" s="54">
        <f t="shared" ca="1" si="10"/>
        <v>-110.66756688328125</v>
      </c>
      <c r="L176" s="20">
        <f t="array" aca="1" ref="L176" ca="1">_FV(A176,"Market cap",TRUE)/10000000</f>
        <v>28594.47</v>
      </c>
      <c r="M176" s="21" t="str">
        <f t="shared" ca="1" si="11"/>
        <v>MC</v>
      </c>
      <c r="N176" s="37" t="str">
        <f t="array" aca="1" ref="N176" ca="1">_FV(A176,"Industry")</f>
        <v>Aerospace &amp; Defense</v>
      </c>
    </row>
    <row r="177" spans="1:14">
      <c r="A177" s="107" t="e" vm="315">
        <v>#VALUE!</v>
      </c>
      <c r="B177" s="33">
        <f t="array" aca="1" ref="B177" ca="1">_FV(A177,"Change (%)",TRUE)</f>
        <v>-3.2209999999999999E-3</v>
      </c>
      <c r="C177" s="35">
        <f t="array" aca="1" ref="C177" ca="1">_FV(A177,"Previous close",TRUE)</f>
        <v>372.5</v>
      </c>
      <c r="D177" s="35">
        <f t="array" aca="1" ref="D177" ca="1">_FV(A177,"Price")</f>
        <v>371.3</v>
      </c>
      <c r="E177" s="35">
        <f t="array" aca="1" ref="E177" ca="1">_FV(A177,"Low")</f>
        <v>369.8</v>
      </c>
      <c r="F177" s="35">
        <f t="array" aca="1" ref="F177" ca="1">_FV(A177,"High")</f>
        <v>379.15</v>
      </c>
      <c r="G177" s="35">
        <f t="array" aca="1" ref="G177" ca="1">_FV(A177,"52 week low",TRUE)</f>
        <v>351</v>
      </c>
      <c r="H177" s="36">
        <f t="array" aca="1" ref="H177" ca="1">_FV(A177,"52 week high",TRUE)</f>
        <v>518.79999999999995</v>
      </c>
      <c r="I177" s="40">
        <f t="shared" ca="1" si="8"/>
        <v>28.430994602929829</v>
      </c>
      <c r="J177" s="39" t="str">
        <f t="shared" ca="1" si="9"/>
        <v>HMC BUY</v>
      </c>
      <c r="K177" s="54">
        <f t="shared" ca="1" si="10"/>
        <v>-5.7834757834757866</v>
      </c>
      <c r="L177" s="20">
        <f t="array" aca="1" ref="L177" ca="1">_FV(A177,"Market cap",TRUE)/10000000</f>
        <v>65351.4</v>
      </c>
      <c r="M177" s="21" t="str">
        <f t="shared" ca="1" si="11"/>
        <v>HMC</v>
      </c>
      <c r="N177" s="37" t="str">
        <f t="array" aca="1" ref="N177" ca="1">_FV(A177,"Industry")</f>
        <v>Insurance</v>
      </c>
    </row>
    <row r="178" spans="1:14">
      <c r="A178" s="107" t="e" vm="316">
        <v>#VALUE!</v>
      </c>
      <c r="B178" s="33">
        <f t="array" aca="1" ref="B178" ca="1">_FV(A178,"Change (%)",TRUE)</f>
        <v>2.1536E-2</v>
      </c>
      <c r="C178" s="35">
        <f t="array" aca="1" ref="C178" ca="1">_FV(A178,"Previous close",TRUE)</f>
        <v>8288.5</v>
      </c>
      <c r="D178" s="35">
        <f t="array" aca="1" ref="D178" ca="1">_FV(A178,"Price")</f>
        <v>8467</v>
      </c>
      <c r="E178" s="35">
        <f t="array" aca="1" ref="E178" ca="1">_FV(A178,"Low")</f>
        <v>8229.5</v>
      </c>
      <c r="F178" s="35">
        <f t="array" aca="1" ref="F178" ca="1">_FV(A178,"High")</f>
        <v>8499</v>
      </c>
      <c r="G178" s="35">
        <f t="array" aca="1" ref="G178" ca="1">_FV(A178,"52 week low",TRUE)</f>
        <v>7411.65</v>
      </c>
      <c r="H178" s="36">
        <f t="array" aca="1" ref="H178" ca="1">_FV(A178,"52 week high",TRUE)</f>
        <v>11500</v>
      </c>
      <c r="I178" s="40">
        <f t="shared" ca="1" si="8"/>
        <v>26.373913043478261</v>
      </c>
      <c r="J178" s="39" t="str">
        <f t="shared" ca="1" si="9"/>
        <v>FIRST MC BUY</v>
      </c>
      <c r="K178" s="54">
        <f t="shared" ca="1" si="10"/>
        <v>-14.239069572902125</v>
      </c>
      <c r="L178" s="20">
        <f t="array" aca="1" ref="L178" ca="1">_FV(A178,"Market cap",TRUE)/10000000</f>
        <v>27008.26</v>
      </c>
      <c r="M178" s="21" t="str">
        <f t="shared" ca="1" si="11"/>
        <v>MC</v>
      </c>
      <c r="N178" s="37" t="str">
        <f t="array" aca="1" ref="N178" ca="1">_FV(A178,"Industry")</f>
        <v>Personal &amp; Household Products &amp; Services</v>
      </c>
    </row>
    <row r="179" spans="1:14">
      <c r="A179" s="107" t="e" vm="317">
        <v>#VALUE!</v>
      </c>
      <c r="B179" s="33">
        <f t="array" aca="1" ref="B179" ca="1">_FV(A179,"Change (%)",TRUE)</f>
        <v>2.1210000000000001E-3</v>
      </c>
      <c r="C179" s="35">
        <f t="array" aca="1" ref="C179" ca="1">_FV(A179,"Previous close",TRUE)</f>
        <v>1650</v>
      </c>
      <c r="D179" s="35">
        <f t="array" aca="1" ref="D179" ca="1">_FV(A179,"Price")</f>
        <v>1653.5</v>
      </c>
      <c r="E179" s="35">
        <f t="array" aca="1" ref="E179" ca="1">_FV(A179,"Low")</f>
        <v>1634</v>
      </c>
      <c r="F179" s="35">
        <f t="array" aca="1" ref="F179" ca="1">_FV(A179,"High")</f>
        <v>1668.5</v>
      </c>
      <c r="G179" s="35">
        <f t="array" aca="1" ref="G179" ca="1">_FV(A179,"52 week low",TRUE)</f>
        <v>1277.8</v>
      </c>
      <c r="H179" s="36">
        <f t="array" aca="1" ref="H179" ca="1">_FV(A179,"52 week high",TRUE)</f>
        <v>2131</v>
      </c>
      <c r="I179" s="40">
        <f t="shared" ca="1" si="8"/>
        <v>22.407320506804318</v>
      </c>
      <c r="J179" s="39" t="str">
        <f t="shared" ca="1" si="9"/>
        <v>FIRST MC BUY</v>
      </c>
      <c r="K179" s="54">
        <f t="shared" ca="1" si="10"/>
        <v>-29.402097354828619</v>
      </c>
      <c r="L179" s="20">
        <f t="array" aca="1" ref="L179" ca="1">_FV(A179,"Market cap",TRUE)/10000000</f>
        <v>27242.48</v>
      </c>
      <c r="M179" s="21" t="str">
        <f t="shared" ca="1" si="11"/>
        <v>MC</v>
      </c>
      <c r="N179" s="37" t="str">
        <f t="array" aca="1" ref="N179" ca="1">_FV(A179,"Industry")</f>
        <v>Pharmaceuticals</v>
      </c>
    </row>
    <row r="180" spans="1:14">
      <c r="A180" s="107" t="e" vm="318">
        <v>#VALUE!</v>
      </c>
      <c r="B180" s="33">
        <f t="array" aca="1" ref="B180" ca="1">_FV(A180,"Change (%)",TRUE)</f>
        <v>-9.0880000000000006E-3</v>
      </c>
      <c r="C180" s="35">
        <f t="array" aca="1" ref="C180" ca="1">_FV(A180,"Previous close",TRUE)</f>
        <v>2486.9</v>
      </c>
      <c r="D180" s="35">
        <f t="array" aca="1" ref="D180" ca="1">_FV(A180,"Price")</f>
        <v>2464.3000000000002</v>
      </c>
      <c r="E180" s="35">
        <f t="array" aca="1" ref="E180" ca="1">_FV(A180,"Low")</f>
        <v>2459.5</v>
      </c>
      <c r="F180" s="35">
        <f t="array" aca="1" ref="F180" ca="1">_FV(A180,"High")</f>
        <v>2488.8000000000002</v>
      </c>
      <c r="G180" s="35">
        <f t="array" aca="1" ref="G180" ca="1">_FV(A180,"52 week low",TRUE)</f>
        <v>1921</v>
      </c>
      <c r="H180" s="36">
        <f t="array" aca="1" ref="H180" ca="1">_FV(A180,"52 week high",TRUE)</f>
        <v>3515.7</v>
      </c>
      <c r="I180" s="40">
        <f t="shared" ca="1" si="8"/>
        <v>29.90585089740307</v>
      </c>
      <c r="J180" s="39" t="str">
        <f t="shared" ca="1" si="9"/>
        <v>HMC BUY</v>
      </c>
      <c r="K180" s="54">
        <f t="shared" ca="1" si="10"/>
        <v>-28.282144716293605</v>
      </c>
      <c r="L180" s="20">
        <f t="array" aca="1" ref="L180" ca="1">_FV(A180,"Market cap",TRUE)/10000000</f>
        <v>41746.730000000003</v>
      </c>
      <c r="M180" s="21" t="str">
        <f t="shared" ca="1" si="11"/>
        <v>HMC</v>
      </c>
      <c r="N180" s="37" t="str">
        <f t="array" aca="1" ref="N180" ca="1">_FV(A180,"Industry")</f>
        <v>Pharmaceuticals</v>
      </c>
    </row>
    <row r="181" spans="1:14">
      <c r="A181" s="107" t="e" vm="319">
        <v>#VALUE!</v>
      </c>
      <c r="B181" s="33">
        <f t="array" aca="1" ref="B181" ca="1">_FV(A181,"Change (%)",TRUE)</f>
        <v>-4.7029999999999997E-3</v>
      </c>
      <c r="C181" s="35">
        <f t="array" aca="1" ref="C181" ca="1">_FV(A181,"Previous close",TRUE)</f>
        <v>2020.1</v>
      </c>
      <c r="D181" s="35">
        <f t="array" aca="1" ref="D181" ca="1">_FV(A181,"Price")</f>
        <v>2010.6</v>
      </c>
      <c r="E181" s="35">
        <f t="array" aca="1" ref="E181" ca="1">_FV(A181,"Low")</f>
        <v>2004.3</v>
      </c>
      <c r="F181" s="35">
        <f t="array" aca="1" ref="F181" ca="1">_FV(A181,"High")</f>
        <v>2025.9</v>
      </c>
      <c r="G181" s="35">
        <f t="array" aca="1" ref="G181" ca="1">_FV(A181,"52 week low",TRUE)</f>
        <v>1275.5</v>
      </c>
      <c r="H181" s="36">
        <f t="array" aca="1" ref="H181" ca="1">_FV(A181,"52 week high",TRUE)</f>
        <v>2284.8000000000002</v>
      </c>
      <c r="I181" s="40">
        <f t="shared" ca="1" si="8"/>
        <v>12.001050420168079</v>
      </c>
      <c r="J181" s="39" t="str">
        <f t="shared" ca="1" si="9"/>
        <v>WATCH</v>
      </c>
      <c r="K181" s="54">
        <f t="shared" ca="1" si="10"/>
        <v>-57.632301058408459</v>
      </c>
      <c r="L181" s="20">
        <f t="array" aca="1" ref="L181" ca="1">_FV(A181,"Market cap",TRUE)/10000000</f>
        <v>57007.39</v>
      </c>
      <c r="M181" s="21" t="str">
        <f t="shared" ca="1" si="11"/>
        <v>HMC</v>
      </c>
      <c r="N181" s="37" t="str">
        <f t="array" aca="1" ref="N181" ca="1">_FV(A181,"Industry")</f>
        <v>Pharmaceuticals</v>
      </c>
    </row>
    <row r="182" spans="1:14">
      <c r="A182" s="107" t="e" vm="320">
        <v>#VALUE!</v>
      </c>
      <c r="B182" s="33">
        <f t="array" aca="1" ref="B182" ca="1">_FV(A182,"Change (%)",TRUE)</f>
        <v>-1.3600000000000001E-2</v>
      </c>
      <c r="C182" s="35">
        <f t="array" aca="1" ref="C182" ca="1">_FV(A182,"Previous close",TRUE)</f>
        <v>1191.2</v>
      </c>
      <c r="D182" s="35">
        <f t="array" aca="1" ref="D182" ca="1">_FV(A182,"Price")</f>
        <v>1175</v>
      </c>
      <c r="E182" s="35">
        <f t="array" aca="1" ref="E182" ca="1">_FV(A182,"Low")</f>
        <v>1169.3</v>
      </c>
      <c r="F182" s="35">
        <f t="array" aca="1" ref="F182" ca="1">_FV(A182,"High")</f>
        <v>1197.9000000000001</v>
      </c>
      <c r="G182" s="35">
        <f t="array" aca="1" ref="G182" ca="1">_FV(A182,"52 week low",TRUE)</f>
        <v>996.45</v>
      </c>
      <c r="H182" s="36">
        <f t="array" aca="1" ref="H182" ca="1">_FV(A182,"52 week high",TRUE)</f>
        <v>1456.5</v>
      </c>
      <c r="I182" s="40">
        <f t="shared" ca="1" si="8"/>
        <v>19.327154136628906</v>
      </c>
      <c r="J182" s="39" t="str">
        <f t="shared" ca="1" si="9"/>
        <v>WATCH</v>
      </c>
      <c r="K182" s="54">
        <f t="shared" ca="1" si="10"/>
        <v>-17.918611069295995</v>
      </c>
      <c r="L182" s="20">
        <f t="array" aca="1" ref="L182" ca="1">_FV(A182,"Market cap",TRUE)/10000000</f>
        <v>32000.09</v>
      </c>
      <c r="M182" s="21" t="str">
        <f t="shared" ca="1" si="11"/>
        <v>MC</v>
      </c>
      <c r="N182" s="37" t="str">
        <f t="array" aca="1" ref="N182" ca="1">_FV(A182,"Industry")</f>
        <v>Healthcare Providers &amp; Services</v>
      </c>
    </row>
    <row r="183" spans="1:14">
      <c r="A183" s="107" t="e" vm="321">
        <v>#VALUE!</v>
      </c>
      <c r="B183" s="33">
        <f t="array" aca="1" ref="B183" ca="1">_FV(A183,"Change (%)",TRUE)</f>
        <v>-5.7499999999999999E-3</v>
      </c>
      <c r="C183" s="35">
        <f t="array" aca="1" ref="C183" ca="1">_FV(A183,"Previous close",TRUE)</f>
        <v>347.85</v>
      </c>
      <c r="D183" s="35">
        <f t="array" aca="1" ref="D183" ca="1">_FV(A183,"Price")</f>
        <v>345.85</v>
      </c>
      <c r="E183" s="35">
        <f t="array" aca="1" ref="E183" ca="1">_FV(A183,"Low")</f>
        <v>341.2</v>
      </c>
      <c r="F183" s="35">
        <f t="array" aca="1" ref="F183" ca="1">_FV(A183,"High")</f>
        <v>350.5</v>
      </c>
      <c r="G183" s="35">
        <f t="array" aca="1" ref="G183" ca="1">_FV(A183,"52 week low",TRUE)</f>
        <v>264.60000000000002</v>
      </c>
      <c r="H183" s="36">
        <f t="array" aca="1" ref="H183" ca="1">_FV(A183,"52 week high",TRUE)</f>
        <v>381.4</v>
      </c>
      <c r="I183" s="40">
        <f t="shared" ca="1" si="8"/>
        <v>9.3209229155741884</v>
      </c>
      <c r="J183" s="39" t="str">
        <f t="shared" ca="1" si="9"/>
        <v>WATCH</v>
      </c>
      <c r="K183" s="54">
        <f t="shared" ca="1" si="10"/>
        <v>-30.706727135298561</v>
      </c>
      <c r="L183" s="20">
        <f t="array" aca="1" ref="L183" ca="1">_FV(A183,"Market cap",TRUE)/10000000</f>
        <v>32119.29</v>
      </c>
      <c r="M183" s="21" t="str">
        <f t="shared" ca="1" si="11"/>
        <v>MC</v>
      </c>
      <c r="N183" s="37" t="str">
        <f t="array" aca="1" ref="N183" ca="1">_FV(A183,"Industry")</f>
        <v>Insurance</v>
      </c>
    </row>
    <row r="184" spans="1:14">
      <c r="A184" s="107" t="e" vm="322">
        <v>#VALUE!</v>
      </c>
      <c r="B184" s="33">
        <f t="array" aca="1" ref="B184" ca="1">_FV(A184,"Change (%)",TRUE)</f>
        <v>3.96E-5</v>
      </c>
      <c r="C184" s="35">
        <f t="array" aca="1" ref="C184" ca="1">_FV(A184,"Previous close",TRUE)</f>
        <v>252.5</v>
      </c>
      <c r="D184" s="35">
        <f t="array" aca="1" ref="D184" ca="1">_FV(A184,"Price")</f>
        <v>252.51</v>
      </c>
      <c r="E184" s="35">
        <f t="array" aca="1" ref="E184" ca="1">_FV(A184,"Low")</f>
        <v>250</v>
      </c>
      <c r="F184" s="35">
        <f t="array" aca="1" ref="F184" ca="1">_FV(A184,"High")</f>
        <v>256</v>
      </c>
      <c r="G184" s="35">
        <f t="array" aca="1" ref="G184" ca="1">_FV(A184,"52 week low",TRUE)</f>
        <v>145.75</v>
      </c>
      <c r="H184" s="36">
        <f t="array" aca="1" ref="H184" ca="1">_FV(A184,"52 week high",TRUE)</f>
        <v>290</v>
      </c>
      <c r="I184" s="40">
        <f t="shared" ca="1" si="8"/>
        <v>12.927586206896555</v>
      </c>
      <c r="J184" s="39" t="str">
        <f t="shared" ca="1" si="9"/>
        <v>WATCH</v>
      </c>
      <c r="K184" s="54">
        <f t="shared" ca="1" si="10"/>
        <v>-73.248713550600343</v>
      </c>
      <c r="L184" s="20">
        <f t="array" aca="1" ref="L184" ca="1">_FV(A184,"Market cap",TRUE)/10000000</f>
        <v>16912.330000000002</v>
      </c>
      <c r="M184" s="21" t="str">
        <f t="shared" ca="1" si="11"/>
        <v>MC</v>
      </c>
      <c r="N184" s="37" t="str">
        <f t="array" aca="1" ref="N184" ca="1">_FV(A184,"Industry")</f>
        <v>Metals &amp; Mining</v>
      </c>
    </row>
    <row r="185" spans="1:14">
      <c r="A185" s="107" t="e" vm="323">
        <v>#VALUE!</v>
      </c>
      <c r="B185" s="33">
        <f t="array" aca="1" ref="B185" ca="1">_FV(A185,"Change (%)",TRUE)</f>
        <v>5.1939999999999998E-3</v>
      </c>
      <c r="C185" s="35">
        <f t="array" aca="1" ref="C185" ca="1">_FV(A185,"Previous close",TRUE)</f>
        <v>2810.8</v>
      </c>
      <c r="D185" s="35">
        <f t="array" aca="1" ref="D185" ca="1">_FV(A185,"Price")</f>
        <v>2825.4</v>
      </c>
      <c r="E185" s="35">
        <f t="array" aca="1" ref="E185" ca="1">_FV(A185,"Low")</f>
        <v>2801.1</v>
      </c>
      <c r="F185" s="35">
        <f t="array" aca="1" ref="F185" ca="1">_FV(A185,"High")</f>
        <v>2853.9</v>
      </c>
      <c r="G185" s="35">
        <f t="array" aca="1" ref="G185" ca="1">_FV(A185,"52 week low",TRUE)</f>
        <v>1370.82</v>
      </c>
      <c r="H185" s="36">
        <f t="array" aca="1" ref="H185" ca="1">_FV(A185,"52 week high",TRUE)</f>
        <v>3947</v>
      </c>
      <c r="I185" s="40">
        <f t="shared" ca="1" si="8"/>
        <v>28.416518875095004</v>
      </c>
      <c r="J185" s="39" t="str">
        <f t="shared" ca="1" si="9"/>
        <v>HMC BUY</v>
      </c>
      <c r="K185" s="54">
        <f t="shared" ca="1" si="10"/>
        <v>-106.11021140631158</v>
      </c>
      <c r="L185" s="20">
        <f t="array" aca="1" ref="L185" ca="1">_FV(A185,"Market cap",TRUE)/10000000</f>
        <v>43843.35</v>
      </c>
      <c r="M185" s="21" t="str">
        <f t="shared" ca="1" si="11"/>
        <v>HMC</v>
      </c>
      <c r="N185" s="37" t="str">
        <f t="array" aca="1" ref="N185" ca="1">_FV(A185,"Industry")</f>
        <v>Food &amp; Tobacco</v>
      </c>
    </row>
    <row r="186" spans="1:14">
      <c r="A186" s="107" t="e" vm="324">
        <v>#VALUE!</v>
      </c>
      <c r="B186" s="33">
        <f t="array" aca="1" ref="B186" ca="1">_FV(A186,"Change (%)",TRUE)</f>
        <v>-8.8400000000000002E-4</v>
      </c>
      <c r="C186" s="35">
        <f t="array" aca="1" ref="C186" ca="1">_FV(A186,"Previous close",TRUE)</f>
        <v>565.6</v>
      </c>
      <c r="D186" s="35">
        <f t="array" aca="1" ref="D186" ca="1">_FV(A186,"Price")</f>
        <v>565.1</v>
      </c>
      <c r="E186" s="35">
        <f t="array" aca="1" ref="E186" ca="1">_FV(A186,"Low")</f>
        <v>562</v>
      </c>
      <c r="F186" s="35">
        <f t="array" aca="1" ref="F186" ca="1">_FV(A186,"High")</f>
        <v>567.6</v>
      </c>
      <c r="G186" s="35">
        <f t="array" aca="1" ref="G186" ca="1">_FV(A186,"52 week low",TRUE)</f>
        <v>560</v>
      </c>
      <c r="H186" s="36">
        <f t="array" aca="1" ref="H186" ca="1">_FV(A186,"52 week high",TRUE)</f>
        <v>876.35</v>
      </c>
      <c r="I186" s="40">
        <f t="shared" ca="1" si="8"/>
        <v>35.516631482855026</v>
      </c>
      <c r="J186" s="39" t="str">
        <f t="shared" ca="1" si="9"/>
        <v>MC BUY</v>
      </c>
      <c r="K186" s="54">
        <f t="shared" ca="1" si="10"/>
        <v>-0.91071428571428981</v>
      </c>
      <c r="L186" s="20">
        <f t="array" aca="1" ref="L186" ca="1">_FV(A186,"Market cap",TRUE)/10000000</f>
        <v>10878.13</v>
      </c>
      <c r="M186" s="21" t="str">
        <f t="shared" ca="1" si="11"/>
        <v>MC</v>
      </c>
      <c r="N186" s="37" t="str">
        <f t="array" aca="1" ref="N186" ca="1">_FV(A186,"Industry")</f>
        <v>Food &amp; Tobacco</v>
      </c>
    </row>
    <row r="187" spans="1:14">
      <c r="A187" s="107" t="e" vm="194">
        <v>#VALUE!</v>
      </c>
      <c r="B187" s="33">
        <f t="array" aca="1" ref="B187" ca="1">_FV(A187,"Change (%)",TRUE)</f>
        <v>1.1742999999999998E-2</v>
      </c>
      <c r="C187" s="35">
        <f t="array" aca="1" ref="C187" ca="1">_FV(A187,"Previous close",TRUE)</f>
        <v>1192.2</v>
      </c>
      <c r="D187" s="35">
        <f t="array" aca="1" ref="D187" ca="1">_FV(A187,"Price")</f>
        <v>1206.2</v>
      </c>
      <c r="E187" s="35">
        <f t="array" aca="1" ref="E187" ca="1">_FV(A187,"Low")</f>
        <v>1189.5</v>
      </c>
      <c r="F187" s="35">
        <f t="array" aca="1" ref="F187" ca="1">_FV(A187,"High")</f>
        <v>1210</v>
      </c>
      <c r="G187" s="35">
        <f t="array" aca="1" ref="G187" ca="1">_FV(A187,"52 week low",TRUE)</f>
        <v>979.5</v>
      </c>
      <c r="H187" s="36">
        <f t="array" aca="1" ref="H187" ca="1">_FV(A187,"52 week high",TRUE)</f>
        <v>1309</v>
      </c>
      <c r="I187" s="40">
        <f t="shared" ca="1" si="8"/>
        <v>7.8533231474407916</v>
      </c>
      <c r="J187" s="39" t="str">
        <f t="shared" ca="1" si="9"/>
        <v>WATCH</v>
      </c>
      <c r="K187" s="54">
        <f t="shared" ca="1" si="10"/>
        <v>-23.144461459928539</v>
      </c>
      <c r="L187" s="20">
        <f t="array" aca="1" ref="L187" ca="1">_FV(A187,"Market cap",TRUE)/10000000</f>
        <v>121991.2</v>
      </c>
      <c r="M187" s="21" t="str">
        <f t="shared" ca="1" si="11"/>
        <v>LC</v>
      </c>
      <c r="N187" s="37" t="str">
        <f t="array" aca="1" ref="N187" ca="1">_FV(A187,"Industry")</f>
        <v>Personal &amp; Household Products &amp; Services</v>
      </c>
    </row>
    <row r="188" spans="1:14">
      <c r="A188" s="107" t="e" vm="325">
        <v>#VALUE!</v>
      </c>
      <c r="B188" s="33">
        <f t="array" aca="1" ref="B188" ca="1">_FV(A188,"Change (%)",TRUE)</f>
        <v>2.3909999999999999E-3</v>
      </c>
      <c r="C188" s="35">
        <f t="array" aca="1" ref="C188" ca="1">_FV(A188,"Previous close",TRUE)</f>
        <v>1003.8</v>
      </c>
      <c r="D188" s="35">
        <f t="array" aca="1" ref="D188" ca="1">_FV(A188,"Price")</f>
        <v>1006.2</v>
      </c>
      <c r="E188" s="35">
        <f t="array" aca="1" ref="E188" ca="1">_FV(A188,"Low")</f>
        <v>997</v>
      </c>
      <c r="F188" s="35">
        <f t="array" aca="1" ref="F188" ca="1">_FV(A188,"High")</f>
        <v>1012.4</v>
      </c>
      <c r="G188" s="35">
        <f t="array" aca="1" ref="G188" ca="1">_FV(A188,"52 week low",TRUE)</f>
        <v>766</v>
      </c>
      <c r="H188" s="36">
        <f t="array" aca="1" ref="H188" ca="1">_FV(A188,"52 week high",TRUE)</f>
        <v>1390</v>
      </c>
      <c r="I188" s="40">
        <f t="shared" ca="1" si="8"/>
        <v>27.6115107913669</v>
      </c>
      <c r="J188" s="39" t="str">
        <f t="shared" ca="1" si="9"/>
        <v>FIRST MC BUY</v>
      </c>
      <c r="K188" s="54">
        <f t="shared" ca="1" si="10"/>
        <v>-31.357702349869456</v>
      </c>
      <c r="L188" s="20">
        <f t="array" aca="1" ref="L188" ca="1">_FV(A188,"Market cap",TRUE)/10000000</f>
        <v>33808.47</v>
      </c>
      <c r="M188" s="21" t="str">
        <f t="shared" ca="1" si="11"/>
        <v>MC</v>
      </c>
      <c r="N188" s="37" t="str">
        <f t="array" aca="1" ref="N188" ca="1">_FV(A188,"Industry")</f>
        <v>Consumer Goods Conglomerates</v>
      </c>
    </row>
    <row r="189" spans="1:14">
      <c r="A189" s="107" t="e" vm="326">
        <v>#VALUE!</v>
      </c>
      <c r="B189" s="33">
        <f t="array" aca="1" ref="B189" ca="1">_FV(A189,"Change (%)",TRUE)</f>
        <v>-1.7449999999999998E-3</v>
      </c>
      <c r="C189" s="35">
        <f t="array" aca="1" ref="C189" ca="1">_FV(A189,"Previous close",TRUE)</f>
        <v>2006.1</v>
      </c>
      <c r="D189" s="35">
        <f t="array" aca="1" ref="D189" ca="1">_FV(A189,"Price")</f>
        <v>2002.6</v>
      </c>
      <c r="E189" s="35">
        <f t="array" aca="1" ref="E189" ca="1">_FV(A189,"Low")</f>
        <v>1995</v>
      </c>
      <c r="F189" s="35">
        <f t="array" aca="1" ref="F189" ca="1">_FV(A189,"High")</f>
        <v>2019.4</v>
      </c>
      <c r="G189" s="35">
        <f t="array" aca="1" ref="G189" ca="1">_FV(A189,"52 week low",TRUE)</f>
        <v>1900</v>
      </c>
      <c r="H189" s="36">
        <f t="array" aca="1" ref="H189" ca="1">_FV(A189,"52 week high",TRUE)</f>
        <v>2917.05</v>
      </c>
      <c r="I189" s="40">
        <f t="shared" ca="1" si="8"/>
        <v>31.348451346394484</v>
      </c>
      <c r="J189" s="39" t="str">
        <f t="shared" ca="1" si="9"/>
        <v>SURE HMC BUY</v>
      </c>
      <c r="K189" s="54">
        <f t="shared" ca="1" si="10"/>
        <v>-5.399999999999995</v>
      </c>
      <c r="L189" s="20">
        <f t="array" aca="1" ref="L189" ca="1">_FV(A189,"Market cap",TRUE)/10000000</f>
        <v>60319.58</v>
      </c>
      <c r="M189" s="21" t="str">
        <f t="shared" ca="1" si="11"/>
        <v>HMC</v>
      </c>
      <c r="N189" s="37" t="str">
        <f t="array" aca="1" ref="N189" ca="1">_FV(A189,"Industry")</f>
        <v>Real Estate Operations</v>
      </c>
    </row>
    <row r="190" spans="1:14">
      <c r="A190" s="107" t="e" vm="327">
        <v>#VALUE!</v>
      </c>
      <c r="B190" s="33">
        <f t="array" aca="1" ref="B190" ca="1">_FV(A190,"Change (%)",TRUE)</f>
        <v>8.0829999999999999E-3</v>
      </c>
      <c r="C190" s="35">
        <f t="array" aca="1" ref="C190" ca="1">_FV(A190,"Previous close",TRUE)</f>
        <v>612.4</v>
      </c>
      <c r="D190" s="35">
        <f t="array" aca="1" ref="D190" ca="1">_FV(A190,"Price")</f>
        <v>617.35</v>
      </c>
      <c r="E190" s="35">
        <f t="array" aca="1" ref="E190" ca="1">_FV(A190,"Low")</f>
        <v>609.4</v>
      </c>
      <c r="F190" s="35">
        <f t="array" aca="1" ref="F190" ca="1">_FV(A190,"High")</f>
        <v>621.25</v>
      </c>
      <c r="G190" s="35">
        <f t="array" aca="1" ref="G190" ca="1">_FV(A190,"52 week low",TRUE)</f>
        <v>422</v>
      </c>
      <c r="H190" s="36">
        <f t="array" aca="1" ref="H190" ca="1">_FV(A190,"52 week high",TRUE)</f>
        <v>624.70000000000005</v>
      </c>
      <c r="I190" s="40">
        <f t="shared" ca="1" si="8"/>
        <v>1.1765647510805222</v>
      </c>
      <c r="J190" s="39" t="str">
        <f t="shared" ca="1" si="9"/>
        <v>WATCH</v>
      </c>
      <c r="K190" s="54">
        <f t="shared" ca="1" si="10"/>
        <v>-46.291469194312803</v>
      </c>
      <c r="L190" s="20">
        <f t="array" aca="1" ref="L190" ca="1">_FV(A190,"Market cap",TRUE)/10000000</f>
        <v>14861.03</v>
      </c>
      <c r="M190" s="21" t="str">
        <f t="shared" ca="1" si="11"/>
        <v>MC</v>
      </c>
      <c r="N190" s="37" t="str">
        <f t="array" aca="1" ref="N190" ca="1">_FV(A190,"Industry")</f>
        <v>Pharmaceuticals</v>
      </c>
    </row>
    <row r="191" spans="1:14">
      <c r="A191" s="107" t="e" vm="328">
        <v>#VALUE!</v>
      </c>
      <c r="B191" s="33">
        <f t="array" aca="1" ref="B191" ca="1">_FV(A191,"Change (%)",TRUE)</f>
        <v>2.0933999999999998E-2</v>
      </c>
      <c r="C191" s="35">
        <f t="array" aca="1" ref="C191" ca="1">_FV(A191,"Previous close",TRUE)</f>
        <v>570.85</v>
      </c>
      <c r="D191" s="35">
        <f t="array" aca="1" ref="D191" ca="1">_FV(A191,"Price")</f>
        <v>582.79999999999995</v>
      </c>
      <c r="E191" s="35">
        <f t="array" aca="1" ref="E191" ca="1">_FV(A191,"Low")</f>
        <v>563.85</v>
      </c>
      <c r="F191" s="35">
        <f t="array" aca="1" ref="F191" ca="1">_FV(A191,"High")</f>
        <v>587.70000000000005</v>
      </c>
      <c r="G191" s="35">
        <f t="array" aca="1" ref="G191" ca="1">_FV(A191,"52 week low",TRUE)</f>
        <v>365.75</v>
      </c>
      <c r="H191" s="36">
        <f t="array" aca="1" ref="H191" ca="1">_FV(A191,"52 week high",TRUE)</f>
        <v>651.79999999999995</v>
      </c>
      <c r="I191" s="40">
        <f t="shared" ca="1" si="8"/>
        <v>10.586069346425285</v>
      </c>
      <c r="J191" s="39" t="str">
        <f t="shared" ca="1" si="9"/>
        <v>WATCH</v>
      </c>
      <c r="K191" s="54">
        <f t="shared" ca="1" si="10"/>
        <v>-59.343814080656173</v>
      </c>
      <c r="L191" s="20">
        <f t="array" aca="1" ref="L191" ca="1">_FV(A191,"Market cap",TRUE)/10000000</f>
        <v>11153.02</v>
      </c>
      <c r="M191" s="21" t="str">
        <f t="shared" ca="1" si="11"/>
        <v>MC</v>
      </c>
      <c r="N191" s="37" t="str">
        <f t="array" aca="1" ref="N191" ca="1">_FV(A191,"Industry")</f>
        <v>Machinery, Equipment &amp; Components</v>
      </c>
    </row>
    <row r="192" spans="1:14">
      <c r="A192" s="107" t="e" vm="155">
        <v>#VALUE!</v>
      </c>
      <c r="B192" s="33">
        <f t="array" aca="1" ref="B192" ca="1">_FV(A192,"Change (%)",TRUE)</f>
        <v>-3.2540000000000004E-3</v>
      </c>
      <c r="C192" s="35">
        <f t="array" aca="1" ref="C192" ca="1">_FV(A192,"Previous close",TRUE)</f>
        <v>2826.9</v>
      </c>
      <c r="D192" s="35">
        <f t="array" aca="1" ref="D192" ca="1">_FV(A192,"Price")</f>
        <v>2817.7</v>
      </c>
      <c r="E192" s="35">
        <f t="array" aca="1" ref="E192" ca="1">_FV(A192,"Low")</f>
        <v>2809.3</v>
      </c>
      <c r="F192" s="35">
        <f t="array" aca="1" ref="F192" ca="1">_FV(A192,"High")</f>
        <v>2840.4</v>
      </c>
      <c r="G192" s="35">
        <f t="array" aca="1" ref="G192" ca="1">_FV(A192,"52 week low",TRUE)</f>
        <v>2276.9499999999998</v>
      </c>
      <c r="H192" s="36">
        <f t="array" aca="1" ref="H192" ca="1">_FV(A192,"52 week high",TRUE)</f>
        <v>2977.8</v>
      </c>
      <c r="I192" s="40">
        <f t="shared" ref="I192:I255" ca="1" si="12">(H192-D192)*100/H192</f>
        <v>5.3764524145342314</v>
      </c>
      <c r="J192" s="39" t="str">
        <f t="shared" ref="J192:J255" ca="1" si="13">IF(AND(M192="HLC", I192&gt;12), "SURE HLC BUY",IF(AND(M192="HLC", I192&gt;7), "FIRST HLC BUY",IF(AND(M192="LC", I192&gt;20), "SURE LC BUY",IF(AND(M192="LC", I192&gt;10), "LC BUY",IF(AND(M192="HMC", I192&gt;30), "SURE HMC BUY",IF(AND(M192="HMC", I192&gt;20), "HMC BUY",IF(AND(M192="HMC", I192&gt;15), "FIRST HMC BUY",IF(AND(M192="MC", I192&gt;40), "SURE MC BUY",IF(AND(M192="MC", I192&gt;30), "MC BUY",IF(AND(M192="MC", I192&gt;20), "FIRST MC BUY",IF(AND(M192="HSC", I192&gt;60), "SURE HSC BUY",IF(AND(M192="HSC", I192&gt;50), "HSC BUY",IF(AND(M192="HSC", I192&gt;40), "FIRST HSC BUY",IF(AND(M192="SC", I192&gt;70), "SURE SC BUY",IF(AND(M192="SC", I192&gt;60), "SC BUY",IF(AND(M192="SC", I192&gt;50), "FIRST SC BUY",IF(AND(M192="VSC", I192&gt;80), "SURE VSC BUY",IF(AND(M192="VSC", I192&gt;70), "VSC BUY",IF(AND(M192="VSC", I192&gt;60), "FIRST VSC BUY","WATCH")))))))))))))))))))</f>
        <v>WATCH</v>
      </c>
      <c r="K192" s="54">
        <f t="shared" ref="K192:K255" ca="1" si="14">(G192-D192)*100/G192</f>
        <v>-23.748874591009905</v>
      </c>
      <c r="L192" s="20">
        <f t="array" aca="1" ref="L192" ca="1">_FV(A192,"Market cap",TRUE)/10000000</f>
        <v>191165.6</v>
      </c>
      <c r="M192" s="21" t="str">
        <f t="shared" ref="M192:M255" ca="1" si="15">IF(L192&gt;500000,"HLC",IF(L192 &gt;100000,"LC",IF(L192 &gt;40000,"HMC",IF(L192 &gt;10000,"MC",IF(L192 &gt;=5000,"HSC",IF(L192 &gt;1000,"SC","VSC"))))))</f>
        <v>LC</v>
      </c>
      <c r="N192" s="37" t="str">
        <f t="array" aca="1" ref="N192" ca="1">_FV(A192,"Industry")</f>
        <v>Construction Materials</v>
      </c>
    </row>
    <row r="193" spans="1:14">
      <c r="A193" s="107" t="e" vm="329">
        <v>#VALUE!</v>
      </c>
      <c r="B193" s="33">
        <f t="array" aca="1" ref="B193" ca="1">_FV(A193,"Change (%)",TRUE)</f>
        <v>4.0150000000000003E-3</v>
      </c>
      <c r="C193" s="35">
        <f t="array" aca="1" ref="C193" ca="1">_FV(A193,"Previous close",TRUE)</f>
        <v>1867.9</v>
      </c>
      <c r="D193" s="35">
        <f t="array" aca="1" ref="D193" ca="1">_FV(A193,"Price")</f>
        <v>1875.4</v>
      </c>
      <c r="E193" s="35">
        <f t="array" aca="1" ref="E193" ca="1">_FV(A193,"Low")</f>
        <v>1850</v>
      </c>
      <c r="F193" s="35">
        <f t="array" aca="1" ref="F193" ca="1">_FV(A193,"High")</f>
        <v>1910</v>
      </c>
      <c r="G193" s="35">
        <f t="array" aca="1" ref="G193" ca="1">_FV(A193,"52 week low",TRUE)</f>
        <v>1379.65</v>
      </c>
      <c r="H193" s="36">
        <f t="array" aca="1" ref="H193" ca="1">_FV(A193,"52 week high",TRUE)</f>
        <v>2369.9499999999998</v>
      </c>
      <c r="I193" s="40">
        <f t="shared" ca="1" si="12"/>
        <v>20.867528850819628</v>
      </c>
      <c r="J193" s="39" t="str">
        <f t="shared" ca="1" si="13"/>
        <v>FIRST MC BUY</v>
      </c>
      <c r="K193" s="54">
        <f t="shared" ca="1" si="14"/>
        <v>-35.93302649222629</v>
      </c>
      <c r="L193" s="20">
        <f t="array" aca="1" ref="L193" ca="1">_FV(A193,"Market cap",TRUE)/10000000</f>
        <v>13603.01</v>
      </c>
      <c r="M193" s="21" t="str">
        <f t="shared" ca="1" si="15"/>
        <v>MC</v>
      </c>
      <c r="N193" s="37" t="str">
        <f t="array" aca="1" ref="N193" ca="1">_FV(A193,"Industry")</f>
        <v>Metals &amp; Mining</v>
      </c>
    </row>
    <row r="194" spans="1:14">
      <c r="A194" s="107" t="e" vm="330">
        <v>#VALUE!</v>
      </c>
      <c r="B194" s="33">
        <f t="array" aca="1" ref="B194" ca="1">_FV(A194,"Change (%)",TRUE)</f>
        <v>-1.1715E-2</v>
      </c>
      <c r="C194" s="35">
        <f t="array" aca="1" ref="C194" ca="1">_FV(A194,"Previous close",TRUE)</f>
        <v>1109.7</v>
      </c>
      <c r="D194" s="35">
        <f t="array" aca="1" ref="D194" ca="1">_FV(A194,"Price")</f>
        <v>1096.7</v>
      </c>
      <c r="E194" s="35">
        <f t="array" aca="1" ref="E194" ca="1">_FV(A194,"Low")</f>
        <v>1094</v>
      </c>
      <c r="F194" s="35">
        <f t="array" aca="1" ref="F194" ca="1">_FV(A194,"High")</f>
        <v>1119.2</v>
      </c>
      <c r="G194" s="35">
        <f t="array" aca="1" ref="G194" ca="1">_FV(A194,"52 week low",TRUE)</f>
        <v>797.5</v>
      </c>
      <c r="H194" s="36">
        <f t="array" aca="1" ref="H194" ca="1">_FV(A194,"52 week high",TRUE)</f>
        <v>1179</v>
      </c>
      <c r="I194" s="40">
        <f t="shared" ca="1" si="12"/>
        <v>6.9804919423239999</v>
      </c>
      <c r="J194" s="39" t="str">
        <f t="shared" ca="1" si="13"/>
        <v>WATCH</v>
      </c>
      <c r="K194" s="54">
        <f t="shared" ca="1" si="14"/>
        <v>-37.517241379310349</v>
      </c>
      <c r="L194" s="20">
        <f t="array" aca="1" ref="L194" ca="1">_FV(A194,"Market cap",TRUE)/10000000</f>
        <v>15657.28</v>
      </c>
      <c r="M194" s="21" t="str">
        <f t="shared" ca="1" si="15"/>
        <v>MC</v>
      </c>
      <c r="N194" s="37" t="str">
        <f t="array" aca="1" ref="N194" ca="1">_FV(A194,"Industry")</f>
        <v>Oil &amp; Gas Related Equipment and Services</v>
      </c>
    </row>
    <row r="195" spans="1:14">
      <c r="A195" s="107" t="e" vm="331">
        <v>#VALUE!</v>
      </c>
      <c r="B195" s="33">
        <f t="array" aca="1" ref="B195" ca="1">_FV(A195,"Change (%)",TRUE)</f>
        <v>-2.1180000000000001E-3</v>
      </c>
      <c r="C195" s="35">
        <f t="array" aca="1" ref="C195" ca="1">_FV(A195,"Previous close",TRUE)</f>
        <v>3635.4</v>
      </c>
      <c r="D195" s="35">
        <f t="array" aca="1" ref="D195" ca="1">_FV(A195,"Price")</f>
        <v>3627.7</v>
      </c>
      <c r="E195" s="35">
        <f t="array" aca="1" ref="E195" ca="1">_FV(A195,"Low")</f>
        <v>3594.5</v>
      </c>
      <c r="F195" s="35">
        <f t="array" aca="1" ref="F195" ca="1">_FV(A195,"High")</f>
        <v>3675</v>
      </c>
      <c r="G195" s="35">
        <f t="array" aca="1" ref="G195" ca="1">_FV(A195,"52 week low",TRUE)</f>
        <v>3220.6</v>
      </c>
      <c r="H195" s="36">
        <f t="array" aca="1" ref="H195" ca="1">_FV(A195,"52 week high",TRUE)</f>
        <v>4449.8999999999996</v>
      </c>
      <c r="I195" s="40">
        <f t="shared" ca="1" si="12"/>
        <v>18.476819703813568</v>
      </c>
      <c r="J195" s="39" t="str">
        <f t="shared" ca="1" si="13"/>
        <v>WATCH</v>
      </c>
      <c r="K195" s="54">
        <f t="shared" ca="1" si="14"/>
        <v>-12.640501769856547</v>
      </c>
      <c r="L195" s="20">
        <f t="array" aca="1" ref="L195" ca="1">_FV(A195,"Market cap",TRUE)/10000000</f>
        <v>39934.870000000003</v>
      </c>
      <c r="M195" s="21" t="str">
        <f t="shared" ca="1" si="15"/>
        <v>MC</v>
      </c>
      <c r="N195" s="37" t="str">
        <f t="array" aca="1" ref="N195" ca="1">_FV(A195,"Industry")</f>
        <v>Chemicals</v>
      </c>
    </row>
    <row r="196" spans="1:14">
      <c r="A196" s="107" t="e" vm="332">
        <v>#VALUE!</v>
      </c>
      <c r="B196" s="33">
        <f t="array" aca="1" ref="B196" ca="1">_FV(A196,"Change (%)",TRUE)</f>
        <v>5.8720000000000005E-3</v>
      </c>
      <c r="C196" s="35">
        <f t="array" aca="1" ref="C196" ca="1">_FV(A196,"Previous close",TRUE)</f>
        <v>391.7</v>
      </c>
      <c r="D196" s="35">
        <f t="array" aca="1" ref="D196" ca="1">_FV(A196,"Price")</f>
        <v>394</v>
      </c>
      <c r="E196" s="35">
        <f t="array" aca="1" ref="E196" ca="1">_FV(A196,"Low")</f>
        <v>389.2</v>
      </c>
      <c r="F196" s="35">
        <f t="array" aca="1" ref="F196" ca="1">_FV(A196,"High")</f>
        <v>399.25</v>
      </c>
      <c r="G196" s="35">
        <f t="array" aca="1" ref="G196" ca="1">_FV(A196,"52 week low",TRUE)</f>
        <v>360.25</v>
      </c>
      <c r="H196" s="36">
        <f t="array" aca="1" ref="H196" ca="1">_FV(A196,"52 week high",TRUE)</f>
        <v>517.9</v>
      </c>
      <c r="I196" s="40">
        <f t="shared" ca="1" si="12"/>
        <v>23.923537362425176</v>
      </c>
      <c r="J196" s="39" t="str">
        <f t="shared" ca="1" si="13"/>
        <v>FIRST MC BUY</v>
      </c>
      <c r="K196" s="54">
        <f t="shared" ca="1" si="14"/>
        <v>-9.3684941013185288</v>
      </c>
      <c r="L196" s="20">
        <f t="array" aca="1" ref="L196" ca="1">_FV(A196,"Market cap",TRUE)/10000000</f>
        <v>26964.240000000002</v>
      </c>
      <c r="M196" s="21" t="str">
        <f t="shared" ca="1" si="15"/>
        <v>MC</v>
      </c>
      <c r="N196" s="37" t="str">
        <f t="array" aca="1" ref="N196" ca="1">_FV(A196,"Industry")</f>
        <v>Natural Gas Utilities</v>
      </c>
    </row>
    <row r="197" spans="1:14">
      <c r="A197" s="107" t="e" vm="333">
        <v>#VALUE!</v>
      </c>
      <c r="B197" s="33">
        <f t="array" aca="1" ref="B197" ca="1">_FV(A197,"Change (%)",TRUE)</f>
        <v>7.9447000000000004E-2</v>
      </c>
      <c r="C197" s="35">
        <f t="array" aca="1" ref="C197" ca="1">_FV(A197,"Previous close",TRUE)</f>
        <v>545.65</v>
      </c>
      <c r="D197" s="35">
        <f t="array" aca="1" ref="D197" ca="1">_FV(A197,"Price")</f>
        <v>589</v>
      </c>
      <c r="E197" s="35">
        <f t="array" aca="1" ref="E197" ca="1">_FV(A197,"Low")</f>
        <v>544.15</v>
      </c>
      <c r="F197" s="35">
        <f t="array" aca="1" ref="F197" ca="1">_FV(A197,"High")</f>
        <v>611.5</v>
      </c>
      <c r="G197" s="35">
        <f t="array" aca="1" ref="G197" ca="1">_FV(A197,"52 week low",TRUE)</f>
        <v>226.59</v>
      </c>
      <c r="H197" s="36">
        <f t="array" aca="1" ref="H197" ca="1">_FV(A197,"52 week high",TRUE)</f>
        <v>651</v>
      </c>
      <c r="I197" s="40">
        <f t="shared" ca="1" si="12"/>
        <v>9.5238095238095237</v>
      </c>
      <c r="J197" s="39" t="str">
        <f t="shared" ca="1" si="13"/>
        <v>WATCH</v>
      </c>
      <c r="K197" s="54">
        <f t="shared" ca="1" si="14"/>
        <v>-159.94086235050091</v>
      </c>
      <c r="L197" s="20">
        <f t="array" aca="1" ref="L197" ca="1">_FV(A197,"Market cap",TRUE)/10000000</f>
        <v>17351.669999999998</v>
      </c>
      <c r="M197" s="21" t="str">
        <f t="shared" ca="1" si="15"/>
        <v>MC</v>
      </c>
      <c r="N197" s="37" t="str">
        <f t="array" aca="1" ref="N197" ca="1">_FV(A197,"Industry")</f>
        <v>Coal</v>
      </c>
    </row>
    <row r="198" spans="1:14">
      <c r="A198" s="107" t="e" vm="334">
        <v>#VALUE!</v>
      </c>
      <c r="B198" s="33">
        <f t="array" aca="1" ref="B198" ca="1">_FV(A198,"Change (%)",TRUE)</f>
        <v>4.3990000000000001E-3</v>
      </c>
      <c r="C198" s="35">
        <f t="array" aca="1" ref="C198" ca="1">_FV(A198,"Previous close",TRUE)</f>
        <v>295.55</v>
      </c>
      <c r="D198" s="35">
        <f t="array" aca="1" ref="D198" ca="1">_FV(A198,"Price")</f>
        <v>296.85000000000002</v>
      </c>
      <c r="E198" s="35">
        <f t="array" aca="1" ref="E198" ca="1">_FV(A198,"Low")</f>
        <v>293.8</v>
      </c>
      <c r="F198" s="35">
        <f t="array" aca="1" ref="F198" ca="1">_FV(A198,"High")</f>
        <v>298.55</v>
      </c>
      <c r="G198" s="35">
        <f t="array" aca="1" ref="G198" ca="1">_FV(A198,"52 week low",TRUE)</f>
        <v>261.45</v>
      </c>
      <c r="H198" s="36">
        <f t="array" aca="1" ref="H198" ca="1">_FV(A198,"52 week high",TRUE)</f>
        <v>387</v>
      </c>
      <c r="I198" s="40">
        <f t="shared" ca="1" si="12"/>
        <v>23.29457364341085</v>
      </c>
      <c r="J198" s="39" t="str">
        <f t="shared" ca="1" si="13"/>
        <v>FIRST MC BUY</v>
      </c>
      <c r="K198" s="54">
        <f t="shared" ca="1" si="14"/>
        <v>-13.539873780837651</v>
      </c>
      <c r="L198" s="20">
        <f t="array" aca="1" ref="L198" ca="1">_FV(A198,"Market cap",TRUE)/10000000</f>
        <v>16675.27</v>
      </c>
      <c r="M198" s="21" t="str">
        <f t="shared" ca="1" si="15"/>
        <v>MC</v>
      </c>
      <c r="N198" s="37" t="str">
        <f t="array" aca="1" ref="N198" ca="1">_FV(A198,"Industry")</f>
        <v>Natural Gas Utilities</v>
      </c>
    </row>
    <row r="199" spans="1:14">
      <c r="A199" s="107" t="e" vm="335">
        <v>#VALUE!</v>
      </c>
      <c r="B199" s="33">
        <f t="array" aca="1" ref="B199" ca="1">_FV(A199,"Change (%)",TRUE)</f>
        <v>1.6801E-2</v>
      </c>
      <c r="C199" s="35">
        <f t="array" aca="1" ref="C199" ca="1">_FV(A199,"Previous close",TRUE)</f>
        <v>550.54999999999995</v>
      </c>
      <c r="D199" s="35">
        <f t="array" aca="1" ref="D199" ca="1">_FV(A199,"Price")</f>
        <v>559.79999999999995</v>
      </c>
      <c r="E199" s="35">
        <f t="array" aca="1" ref="E199" ca="1">_FV(A199,"Low")</f>
        <v>546.79999999999995</v>
      </c>
      <c r="F199" s="35">
        <f t="array" aca="1" ref="F199" ca="1">_FV(A199,"High")</f>
        <v>571</v>
      </c>
      <c r="G199" s="35">
        <f t="array" aca="1" ref="G199" ca="1">_FV(A199,"52 week low",TRUE)</f>
        <v>331.25</v>
      </c>
      <c r="H199" s="36">
        <f t="array" aca="1" ref="H199" ca="1">_FV(A199,"52 week high",TRUE)</f>
        <v>619</v>
      </c>
      <c r="I199" s="40">
        <f t="shared" ca="1" si="12"/>
        <v>9.5638126009693121</v>
      </c>
      <c r="J199" s="39" t="str">
        <f t="shared" ca="1" si="13"/>
        <v>WATCH</v>
      </c>
      <c r="K199" s="54">
        <f t="shared" ca="1" si="14"/>
        <v>-68.996226415094327</v>
      </c>
      <c r="L199" s="20">
        <f t="array" aca="1" ref="L199" ca="1">_FV(A199,"Market cap",TRUE)/10000000</f>
        <v>10624.38</v>
      </c>
      <c r="M199" s="21" t="str">
        <f t="shared" ca="1" si="15"/>
        <v>MC</v>
      </c>
      <c r="N199" s="37" t="str">
        <f t="array" aca="1" ref="N199" ca="1">_FV(A199,"Industry")</f>
        <v>Machinery, Equipment &amp; Components</v>
      </c>
    </row>
    <row r="200" spans="1:14">
      <c r="A200" s="107" t="e" vm="44">
        <v>#VALUE!</v>
      </c>
      <c r="B200" s="33">
        <f t="array" aca="1" ref="B200" ca="1">_FV(A200,"Change (%)",TRUE)</f>
        <v>1.8035000000000002E-2</v>
      </c>
      <c r="C200" s="35">
        <f t="array" aca="1" ref="C200" ca="1">_FV(A200,"Previous close",TRUE)</f>
        <v>881.6</v>
      </c>
      <c r="D200" s="35">
        <f t="array" aca="1" ref="D200" ca="1">_FV(A200,"Price")</f>
        <v>897.5</v>
      </c>
      <c r="E200" s="35">
        <f t="array" aca="1" ref="E200" ca="1">_FV(A200,"Low")</f>
        <v>876.25</v>
      </c>
      <c r="F200" s="35">
        <f t="array" aca="1" ref="F200" ca="1">_FV(A200,"High")</f>
        <v>914.8</v>
      </c>
      <c r="G200" s="35">
        <f t="array" aca="1" ref="G200" ca="1">_FV(A200,"52 week low",TRUE)</f>
        <v>405</v>
      </c>
      <c r="H200" s="36">
        <f t="array" aca="1" ref="H200" ca="1">_FV(A200,"52 week high",TRUE)</f>
        <v>1122</v>
      </c>
      <c r="I200" s="40">
        <f t="shared" ca="1" si="12"/>
        <v>20.008912655971479</v>
      </c>
      <c r="J200" s="39" t="str">
        <f t="shared" ca="1" si="13"/>
        <v>FIRST MC BUY</v>
      </c>
      <c r="K200" s="54">
        <f t="shared" ca="1" si="14"/>
        <v>-121.60493827160494</v>
      </c>
      <c r="L200" s="20">
        <f t="array" aca="1" ref="L200" ca="1">_FV(A200,"Market cap",TRUE)/10000000</f>
        <v>24437.51</v>
      </c>
      <c r="M200" s="21" t="str">
        <f t="shared" ca="1" si="15"/>
        <v>MC</v>
      </c>
      <c r="N200" s="37" t="str">
        <f t="array" aca="1" ref="N200" ca="1">_FV(A200,"Industry")</f>
        <v>Machinery, Equipment &amp; Components</v>
      </c>
    </row>
    <row r="201" spans="1:14">
      <c r="A201" s="107" t="e" vm="45">
        <v>#VALUE!</v>
      </c>
      <c r="B201" s="33">
        <f t="array" aca="1" ref="B201" ca="1">_FV(A201,"Change (%)",TRUE)</f>
        <v>-8.2399999999999991E-3</v>
      </c>
      <c r="C201" s="35">
        <f t="array" aca="1" ref="C201" ca="1">_FV(A201,"Previous close",TRUE)</f>
        <v>1674.7</v>
      </c>
      <c r="D201" s="35">
        <f t="array" aca="1" ref="D201" ca="1">_FV(A201,"Price")</f>
        <v>1660.9</v>
      </c>
      <c r="E201" s="35">
        <f t="array" aca="1" ref="E201" ca="1">_FV(A201,"Low")</f>
        <v>1650.5</v>
      </c>
      <c r="F201" s="35">
        <f t="array" aca="1" ref="F201" ca="1">_FV(A201,"High")</f>
        <v>1676.4</v>
      </c>
      <c r="G201" s="35">
        <f t="array" aca="1" ref="G201" ca="1">_FV(A201,"52 week low",TRUE)</f>
        <v>1302.75</v>
      </c>
      <c r="H201" s="36">
        <f t="array" aca="1" ref="H201" ca="1">_FV(A201,"52 week high",TRUE)</f>
        <v>2005.46</v>
      </c>
      <c r="I201" s="40">
        <f t="shared" ca="1" si="12"/>
        <v>17.181095608987459</v>
      </c>
      <c r="J201" s="39" t="str">
        <f t="shared" ca="1" si="13"/>
        <v>LC BUY</v>
      </c>
      <c r="K201" s="54">
        <f t="shared" ca="1" si="14"/>
        <v>-27.491844175782006</v>
      </c>
      <c r="L201" s="20">
        <f t="array" aca="1" ref="L201" ca="1">_FV(A201,"Market cap",TRUE)/10000000</f>
        <v>453091.8</v>
      </c>
      <c r="M201" s="21" t="str">
        <f t="shared" ca="1" si="15"/>
        <v>LC</v>
      </c>
      <c r="N201" s="37" t="str">
        <f t="array" aca="1" ref="N201" ca="1">_FV(A201,"Industry")</f>
        <v>Software &amp; IT Services</v>
      </c>
    </row>
    <row r="202" spans="1:14">
      <c r="A202" s="107" t="e" vm="336">
        <v>#VALUE!</v>
      </c>
      <c r="B202" s="33">
        <f t="array" aca="1" ref="B202" ca="1">_FV(A202,"Change (%)",TRUE)</f>
        <v>-3.3510000000000002E-3</v>
      </c>
      <c r="C202" s="35">
        <f t="array" aca="1" ref="C202" ca="1">_FV(A202,"Previous close",TRUE)</f>
        <v>2656.1</v>
      </c>
      <c r="D202" s="35">
        <f t="array" aca="1" ref="D202" ca="1">_FV(A202,"Price")</f>
        <v>2647.2</v>
      </c>
      <c r="E202" s="35">
        <f t="array" aca="1" ref="E202" ca="1">_FV(A202,"Low")</f>
        <v>2642.8</v>
      </c>
      <c r="F202" s="35">
        <f t="array" aca="1" ref="F202" ca="1">_FV(A202,"High")</f>
        <v>2673.9</v>
      </c>
      <c r="G202" s="35">
        <f t="array" aca="1" ref="G202" ca="1">_FV(A202,"52 week low",TRUE)</f>
        <v>1781.53</v>
      </c>
      <c r="H202" s="36">
        <f t="array" aca="1" ref="H202" ca="1">_FV(A202,"52 week high",TRUE)</f>
        <v>2967.25</v>
      </c>
      <c r="I202" s="40">
        <f t="shared" ca="1" si="12"/>
        <v>10.786081388491032</v>
      </c>
      <c r="J202" s="39" t="str">
        <f t="shared" ca="1" si="13"/>
        <v>LC BUY</v>
      </c>
      <c r="K202" s="54">
        <f t="shared" ca="1" si="14"/>
        <v>-48.591379320022668</v>
      </c>
      <c r="L202" s="20">
        <f t="array" aca="1" ref="L202" ca="1">_FV(A202,"Market cap",TRUE)/10000000</f>
        <v>113763</v>
      </c>
      <c r="M202" s="21" t="str">
        <f t="shared" ca="1" si="15"/>
        <v>LC</v>
      </c>
      <c r="N202" s="37" t="str">
        <f t="array" aca="1" ref="N202" ca="1">_FV(A202,"Industry")</f>
        <v>Investment Banking &amp; Investment Services</v>
      </c>
    </row>
    <row r="203" spans="1:14">
      <c r="A203" s="107" t="e" vm="46">
        <v>#VALUE!</v>
      </c>
      <c r="B203" s="33">
        <f t="array" aca="1" ref="B203" ca="1">_FV(A203,"Change (%)",TRUE)</f>
        <v>-5.1139999999999996E-3</v>
      </c>
      <c r="C203" s="35">
        <f t="array" aca="1" ref="C203" ca="1">_FV(A203,"Previous close",TRUE)</f>
        <v>997.2</v>
      </c>
      <c r="D203" s="35">
        <f t="array" aca="1" ref="D203" ca="1">_FV(A203,"Price")</f>
        <v>992.1</v>
      </c>
      <c r="E203" s="35">
        <f t="array" aca="1" ref="E203" ca="1">_FV(A203,"Low")</f>
        <v>987.7</v>
      </c>
      <c r="F203" s="35">
        <f t="array" aca="1" ref="F203" ca="1">_FV(A203,"High")</f>
        <v>997.2</v>
      </c>
      <c r="G203" s="35">
        <f t="array" aca="1" ref="G203" ca="1">_FV(A203,"52 week low",TRUE)</f>
        <v>810.13</v>
      </c>
      <c r="H203" s="36">
        <f t="array" aca="1" ref="H203" ca="1">_FV(A203,"52 week high",TRUE)</f>
        <v>1020.5</v>
      </c>
      <c r="I203" s="40">
        <f t="shared" ca="1" si="12"/>
        <v>2.7829495345418889</v>
      </c>
      <c r="J203" s="39" t="str">
        <f t="shared" ca="1" si="13"/>
        <v>WATCH</v>
      </c>
      <c r="K203" s="54">
        <f t="shared" ca="1" si="14"/>
        <v>-22.461827114166866</v>
      </c>
      <c r="L203" s="20">
        <f t="array" aca="1" ref="L203" ca="1">_FV(A203,"Market cap",TRUE)/10000000</f>
        <v>1534146</v>
      </c>
      <c r="M203" s="21" t="str">
        <f t="shared" ca="1" si="15"/>
        <v>HLC</v>
      </c>
      <c r="N203" s="37" t="str">
        <f t="array" aca="1" ref="N203" ca="1">_FV(A203,"Industry")</f>
        <v>Banking Services</v>
      </c>
    </row>
    <row r="204" spans="1:14">
      <c r="A204" s="107" t="e" vm="151">
        <v>#VALUE!</v>
      </c>
      <c r="B204" s="33">
        <f t="array" aca="1" ref="B204" ca="1">_FV(A204,"Change (%)",TRUE)</f>
        <v>-9.134999999999999E-3</v>
      </c>
      <c r="C204" s="35">
        <f t="array" aca="1" ref="C204" ca="1">_FV(A204,"Previous close",TRUE)</f>
        <v>755.35</v>
      </c>
      <c r="D204" s="35">
        <f t="array" aca="1" ref="D204" ca="1">_FV(A204,"Price")</f>
        <v>748.45</v>
      </c>
      <c r="E204" s="35">
        <f t="array" aca="1" ref="E204" ca="1">_FV(A204,"Low")</f>
        <v>745.65</v>
      </c>
      <c r="F204" s="35">
        <f t="array" aca="1" ref="F204" ca="1">_FV(A204,"High")</f>
        <v>755</v>
      </c>
      <c r="G204" s="35">
        <f t="array" aca="1" ref="G204" ca="1">_FV(A204,"52 week low",TRUE)</f>
        <v>584.29999999999995</v>
      </c>
      <c r="H204" s="36">
        <f t="array" aca="1" ref="H204" ca="1">_FV(A204,"52 week high",TRUE)</f>
        <v>820.75</v>
      </c>
      <c r="I204" s="40">
        <f t="shared" ca="1" si="12"/>
        <v>8.8090161437709362</v>
      </c>
      <c r="J204" s="39" t="str">
        <f t="shared" ca="1" si="13"/>
        <v>WATCH</v>
      </c>
      <c r="K204" s="54">
        <f t="shared" ca="1" si="14"/>
        <v>-28.093445148040406</v>
      </c>
      <c r="L204" s="20">
        <f t="array" aca="1" ref="L204" ca="1">_FV(A204,"Market cap",TRUE)/10000000</f>
        <v>162934.70000000001</v>
      </c>
      <c r="M204" s="21" t="str">
        <f t="shared" ca="1" si="15"/>
        <v>LC</v>
      </c>
      <c r="N204" s="37" t="str">
        <f t="array" aca="1" ref="N204" ca="1">_FV(A204,"Industry")</f>
        <v>Insurance</v>
      </c>
    </row>
    <row r="205" spans="1:14">
      <c r="A205" s="107" t="e" vm="337">
        <v>#VALUE!</v>
      </c>
      <c r="B205" s="33">
        <f t="array" aca="1" ref="B205" ca="1">_FV(A205,"Change (%)",TRUE)</f>
        <v>-4.3120000000000006E-2</v>
      </c>
      <c r="C205" s="35">
        <f t="array" aca="1" ref="C205" ca="1">_FV(A205,"Previous close",TRUE)</f>
        <v>64.239999999999995</v>
      </c>
      <c r="D205" s="35">
        <f t="array" aca="1" ref="D205" ca="1">_FV(A205,"Price")</f>
        <v>61.47</v>
      </c>
      <c r="E205" s="35">
        <f t="array" aca="1" ref="E205" ca="1">_FV(A205,"Low")</f>
        <v>60.72</v>
      </c>
      <c r="F205" s="35">
        <f t="array" aca="1" ref="F205" ca="1">_FV(A205,"High")</f>
        <v>64.94</v>
      </c>
      <c r="G205" s="35">
        <f t="array" aca="1" ref="G205" ca="1">_FV(A205,"52 week low",TRUE)</f>
        <v>60.72</v>
      </c>
      <c r="H205" s="36">
        <f t="array" aca="1" ref="H205" ca="1">_FV(A205,"52 week high",TRUE)</f>
        <v>116.75</v>
      </c>
      <c r="I205" s="40">
        <f t="shared" ca="1" si="12"/>
        <v>47.349036402569595</v>
      </c>
      <c r="J205" s="39" t="str">
        <f t="shared" ca="1" si="13"/>
        <v>FIRST HSC BUY</v>
      </c>
      <c r="K205" s="54">
        <f t="shared" ca="1" si="14"/>
        <v>-1.2351778656126482</v>
      </c>
      <c r="L205" s="20">
        <f t="array" aca="1" ref="L205" ca="1">_FV(A205,"Market cap",TRUE)/10000000</f>
        <v>9264.0879999999997</v>
      </c>
      <c r="M205" s="21" t="str">
        <f t="shared" ca="1" si="15"/>
        <v>HSC</v>
      </c>
      <c r="N205" s="37" t="str">
        <f t="array" aca="1" ref="N205" ca="1">_FV(A205,"Industry")</f>
        <v>Communications &amp; Networking</v>
      </c>
    </row>
    <row r="206" spans="1:14">
      <c r="A206" s="107" t="e" vm="43">
        <v>#VALUE!</v>
      </c>
      <c r="B206" s="33">
        <f t="array" aca="1" ref="B206" ca="1">_FV(A206,"Change (%)",TRUE)</f>
        <v>-1.3635E-2</v>
      </c>
      <c r="C206" s="35">
        <f t="array" aca="1" ref="C206" ca="1">_FV(A206,"Previous close",TRUE)</f>
        <v>484.05</v>
      </c>
      <c r="D206" s="35">
        <f t="array" aca="1" ref="D206" ca="1">_FV(A206,"Price")</f>
        <v>477.45</v>
      </c>
      <c r="E206" s="35">
        <f t="array" aca="1" ref="E206" ca="1">_FV(A206,"Low")</f>
        <v>475.65</v>
      </c>
      <c r="F206" s="35">
        <f t="array" aca="1" ref="F206" ca="1">_FV(A206,"High")</f>
        <v>487</v>
      </c>
      <c r="G206" s="35">
        <f t="array" aca="1" ref="G206" ca="1">_FV(A206,"52 week low",TRUE)</f>
        <v>474.2</v>
      </c>
      <c r="H206" s="36">
        <f t="array" aca="1" ref="H206" ca="1">_FV(A206,"52 week high",TRUE)</f>
        <v>773.8</v>
      </c>
      <c r="I206" s="40">
        <f t="shared" ca="1" si="12"/>
        <v>38.298009821659342</v>
      </c>
      <c r="J206" s="39" t="str">
        <f t="shared" ca="1" si="13"/>
        <v>WATCH</v>
      </c>
      <c r="K206" s="54">
        <f t="shared" ca="1" si="14"/>
        <v>-0.68536482496836781</v>
      </c>
      <c r="L206" s="20">
        <f t="array" aca="1" ref="L206" ca="1">_FV(A206,"Market cap",TRUE)/10000000</f>
        <v>7171.6379999999999</v>
      </c>
      <c r="M206" s="21" t="str">
        <f t="shared" ca="1" si="15"/>
        <v>HSC</v>
      </c>
      <c r="N206" s="37" t="str">
        <f t="array" aca="1" ref="N206" ca="1">_FV(A206,"Industry")</f>
        <v>Software &amp; IT Services</v>
      </c>
    </row>
    <row r="207" spans="1:14">
      <c r="A207" s="107" t="e" vm="183">
        <v>#VALUE!</v>
      </c>
      <c r="B207" s="33">
        <f t="array" aca="1" ref="B207" ca="1">_FV(A207,"Change (%)",TRUE)</f>
        <v>-4.3530000000000001E-3</v>
      </c>
      <c r="C207" s="35">
        <f t="array" aca="1" ref="C207" ca="1">_FV(A207,"Previous close",TRUE)</f>
        <v>1424.4</v>
      </c>
      <c r="D207" s="35">
        <f t="array" aca="1" ref="D207" ca="1">_FV(A207,"Price")</f>
        <v>1418.2</v>
      </c>
      <c r="E207" s="35">
        <f t="array" aca="1" ref="E207" ca="1">_FV(A207,"Low")</f>
        <v>1415.1</v>
      </c>
      <c r="F207" s="35">
        <f t="array" aca="1" ref="F207" ca="1">_FV(A207,"High")</f>
        <v>1435.8</v>
      </c>
      <c r="G207" s="35">
        <f t="array" aca="1" ref="G207" ca="1">_FV(A207,"52 week low",TRUE)</f>
        <v>1380</v>
      </c>
      <c r="H207" s="36">
        <f t="array" aca="1" ref="H207" ca="1">_FV(A207,"52 week high",TRUE)</f>
        <v>1721.2</v>
      </c>
      <c r="I207" s="40">
        <f t="shared" ca="1" si="12"/>
        <v>17.603997211247965</v>
      </c>
      <c r="J207" s="39" t="str">
        <f t="shared" ca="1" si="13"/>
        <v>FIRST HMC BUY</v>
      </c>
      <c r="K207" s="54">
        <f t="shared" ca="1" si="14"/>
        <v>-2.7681159420289889</v>
      </c>
      <c r="L207" s="20">
        <f t="array" aca="1" ref="L207" ca="1">_FV(A207,"Market cap",TRUE)/10000000</f>
        <v>89346.46</v>
      </c>
      <c r="M207" s="21" t="str">
        <f t="shared" ca="1" si="15"/>
        <v>HMC</v>
      </c>
      <c r="N207" s="37" t="str">
        <f t="array" aca="1" ref="N207" ca="1">_FV(A207,"Industry")</f>
        <v>Machinery, Equipment &amp; Components</v>
      </c>
    </row>
    <row r="208" spans="1:14">
      <c r="A208" s="107" t="e" vm="49">
        <v>#VALUE!</v>
      </c>
      <c r="B208" s="33">
        <f t="array" aca="1" ref="B208" ca="1">_FV(A208,"Change (%)",TRUE)</f>
        <v>-1.0792E-2</v>
      </c>
      <c r="C208" s="35">
        <f t="array" aca="1" ref="C208" ca="1">_FV(A208,"Previous close",TRUE)</f>
        <v>5698.5</v>
      </c>
      <c r="D208" s="35">
        <f t="array" aca="1" ref="D208" ca="1">_FV(A208,"Price")</f>
        <v>5637</v>
      </c>
      <c r="E208" s="35">
        <f t="array" aca="1" ref="E208" ca="1">_FV(A208,"Low")</f>
        <v>5611</v>
      </c>
      <c r="F208" s="35">
        <f t="array" aca="1" ref="F208" ca="1">_FV(A208,"High")</f>
        <v>5720</v>
      </c>
      <c r="G208" s="35">
        <f t="array" aca="1" ref="G208" ca="1">_FV(A208,"52 week low",TRUE)</f>
        <v>3344</v>
      </c>
      <c r="H208" s="36">
        <f t="array" aca="1" ref="H208" ca="1">_FV(A208,"52 week high",TRUE)</f>
        <v>6388.5</v>
      </c>
      <c r="I208" s="40">
        <f t="shared" ca="1" si="12"/>
        <v>11.763324724113641</v>
      </c>
      <c r="J208" s="39" t="str">
        <f t="shared" ca="1" si="13"/>
        <v>LC BUY</v>
      </c>
      <c r="K208" s="54">
        <f t="shared" ca="1" si="14"/>
        <v>-68.570574162679421</v>
      </c>
      <c r="L208" s="20">
        <f t="array" aca="1" ref="L208" ca="1">_FV(A208,"Market cap",TRUE)/10000000</f>
        <v>114016.5</v>
      </c>
      <c r="M208" s="21" t="str">
        <f t="shared" ca="1" si="15"/>
        <v>LC</v>
      </c>
      <c r="N208" s="37" t="str">
        <f t="array" aca="1" ref="N208" ca="1">_FV(A208,"Industry")</f>
        <v>Automobiles &amp; Auto Parts</v>
      </c>
    </row>
    <row r="209" spans="1:14">
      <c r="A209" s="107" t="e" vm="338">
        <v>#VALUE!</v>
      </c>
      <c r="B209" s="33">
        <f t="array" aca="1" ref="B209" ca="1">_FV(A209,"Change (%)",TRUE)</f>
        <v>3.741E-3</v>
      </c>
      <c r="C209" s="35">
        <f t="array" aca="1" ref="C209" ca="1">_FV(A209,"Previous close",TRUE)</f>
        <v>748.4</v>
      </c>
      <c r="D209" s="35">
        <f t="array" aca="1" ref="D209" ca="1">_FV(A209,"Price")</f>
        <v>751.2</v>
      </c>
      <c r="E209" s="35">
        <f t="array" aca="1" ref="E209" ca="1">_FV(A209,"Low")</f>
        <v>737</v>
      </c>
      <c r="F209" s="35">
        <f t="array" aca="1" ref="F209" ca="1">_FV(A209,"High")</f>
        <v>754.2</v>
      </c>
      <c r="G209" s="35">
        <f t="array" aca="1" ref="G209" ca="1">_FV(A209,"52 week low",TRUE)</f>
        <v>590.29999999999995</v>
      </c>
      <c r="H209" s="36">
        <f t="array" aca="1" ref="H209" ca="1">_FV(A209,"52 week high",TRUE)</f>
        <v>900</v>
      </c>
      <c r="I209" s="40">
        <f t="shared" ca="1" si="12"/>
        <v>16.533333333333328</v>
      </c>
      <c r="J209" s="39" t="str">
        <f t="shared" ca="1" si="13"/>
        <v>FIRST HMC BUY</v>
      </c>
      <c r="K209" s="54">
        <f t="shared" ca="1" si="14"/>
        <v>-27.257326782991715</v>
      </c>
      <c r="L209" s="20">
        <f t="array" aca="1" ref="L209" ca="1">_FV(A209,"Market cap",TRUE)/10000000</f>
        <v>45895.06</v>
      </c>
      <c r="M209" s="21" t="str">
        <f t="shared" ca="1" si="15"/>
        <v>HMC</v>
      </c>
      <c r="N209" s="37" t="str">
        <f t="array" aca="1" ref="N209" ca="1">_FV(A209,"Industry")</f>
        <v>Software &amp; IT Services</v>
      </c>
    </row>
    <row r="210" spans="1:14">
      <c r="A210" s="107" t="e" vm="339">
        <v>#VALUE!</v>
      </c>
      <c r="B210" s="33">
        <f t="array" aca="1" ref="B210" ca="1">_FV(A210,"Change (%)",TRUE)</f>
        <v>-7.2480000000000005E-4</v>
      </c>
      <c r="C210" s="35">
        <f t="array" aca="1" ref="C210" ca="1">_FV(A210,"Previous close",TRUE)</f>
        <v>482.9</v>
      </c>
      <c r="D210" s="35">
        <f t="array" aca="1" ref="D210" ca="1">_FV(A210,"Price")</f>
        <v>482.55</v>
      </c>
      <c r="E210" s="35">
        <f t="array" aca="1" ref="E210" ca="1">_FV(A210,"Low")</f>
        <v>481</v>
      </c>
      <c r="F210" s="35">
        <f t="array" aca="1" ref="F210" ca="1">_FV(A210,"High")</f>
        <v>494.35</v>
      </c>
      <c r="G210" s="35">
        <f t="array" aca="1" ref="G210" ca="1">_FV(A210,"52 week low",TRUE)</f>
        <v>365.35</v>
      </c>
      <c r="H210" s="36">
        <f t="array" aca="1" ref="H210" ca="1">_FV(A210,"52 week high",TRUE)</f>
        <v>606.6</v>
      </c>
      <c r="I210" s="40">
        <f t="shared" ca="1" si="12"/>
        <v>20.450049455984175</v>
      </c>
      <c r="J210" s="39" t="str">
        <f t="shared" ca="1" si="13"/>
        <v>FIRST MC BUY</v>
      </c>
      <c r="K210" s="54">
        <f t="shared" ca="1" si="14"/>
        <v>-32.07882852059668</v>
      </c>
      <c r="L210" s="20">
        <f t="array" aca="1" ref="L210" ca="1">_FV(A210,"Market cap",TRUE)/10000000</f>
        <v>24363.22</v>
      </c>
      <c r="M210" s="21" t="str">
        <f t="shared" ca="1" si="15"/>
        <v>MC</v>
      </c>
      <c r="N210" s="37" t="str">
        <f t="array" aca="1" ref="N210" ca="1">_FV(A210,"Industry")</f>
        <v>Chemicals</v>
      </c>
    </row>
    <row r="211" spans="1:14">
      <c r="A211" s="107" t="e" vm="50">
        <v>#VALUE!</v>
      </c>
      <c r="B211" s="33">
        <f t="array" aca="1" ref="B211" ca="1">_FV(A211,"Change (%)",TRUE)</f>
        <v>9.7750000000000007E-3</v>
      </c>
      <c r="C211" s="35">
        <f t="array" aca="1" ref="C211" ca="1">_FV(A211,"Previous close",TRUE)</f>
        <v>864.45</v>
      </c>
      <c r="D211" s="35">
        <f t="array" aca="1" ref="D211" ca="1">_FV(A211,"Price")</f>
        <v>872.9</v>
      </c>
      <c r="E211" s="35">
        <f t="array" aca="1" ref="E211" ca="1">_FV(A211,"Low")</f>
        <v>861</v>
      </c>
      <c r="F211" s="35">
        <f t="array" aca="1" ref="F211" ca="1">_FV(A211,"High")</f>
        <v>874.75</v>
      </c>
      <c r="G211" s="35">
        <f t="array" aca="1" ref="G211" ca="1">_FV(A211,"52 week low",TRUE)</f>
        <v>546.45000000000005</v>
      </c>
      <c r="H211" s="36">
        <f t="array" aca="1" ref="H211" ca="1">_FV(A211,"52 week high",TRUE)</f>
        <v>882.3</v>
      </c>
      <c r="I211" s="40">
        <f t="shared" ca="1" si="12"/>
        <v>1.0653972571687609</v>
      </c>
      <c r="J211" s="39" t="str">
        <f t="shared" ca="1" si="13"/>
        <v>WATCH</v>
      </c>
      <c r="K211" s="54">
        <f t="shared" ca="1" si="14"/>
        <v>-59.740140909506799</v>
      </c>
      <c r="L211" s="20">
        <f t="array" aca="1" ref="L211" ca="1">_FV(A211,"Market cap",TRUE)/10000000</f>
        <v>195104.3</v>
      </c>
      <c r="M211" s="21" t="str">
        <f t="shared" ca="1" si="15"/>
        <v>LC</v>
      </c>
      <c r="N211" s="37" t="str">
        <f t="array" aca="1" ref="N211" ca="1">_FV(A211,"Industry")</f>
        <v>Metals &amp; Mining</v>
      </c>
    </row>
    <row r="212" spans="1:14">
      <c r="A212" s="107" t="e" vm="42">
        <v>#VALUE!</v>
      </c>
      <c r="B212" s="33">
        <f t="array" aca="1" ref="B212" ca="1">_FV(A212,"Change (%)",TRUE)</f>
        <v>-2.7369999999999998E-3</v>
      </c>
      <c r="C212" s="35">
        <f t="array" aca="1" ref="C212" ca="1">_FV(A212,"Previous close",TRUE)</f>
        <v>4421.3</v>
      </c>
      <c r="D212" s="35">
        <f t="array" aca="1" ref="D212" ca="1">_FV(A212,"Price")</f>
        <v>4409.2</v>
      </c>
      <c r="E212" s="35">
        <f t="array" aca="1" ref="E212" ca="1">_FV(A212,"Low")</f>
        <v>4401.1000000000004</v>
      </c>
      <c r="F212" s="35">
        <f t="array" aca="1" ref="F212" ca="1">_FV(A212,"High")</f>
        <v>4476</v>
      </c>
      <c r="G212" s="35">
        <f t="array" aca="1" ref="G212" ca="1">_FV(A212,"52 week low",TRUE)</f>
        <v>3046.05</v>
      </c>
      <c r="H212" s="36">
        <f t="array" aca="1" ref="H212" ca="1">_FV(A212,"52 week high",TRUE)</f>
        <v>5165</v>
      </c>
      <c r="I212" s="40">
        <f t="shared" ca="1" si="12"/>
        <v>14.633107454017427</v>
      </c>
      <c r="J212" s="39" t="str">
        <f t="shared" ca="1" si="13"/>
        <v>LC BUY</v>
      </c>
      <c r="K212" s="54">
        <f t="shared" ca="1" si="14"/>
        <v>-44.751399353260766</v>
      </c>
      <c r="L212" s="20">
        <f t="array" aca="1" ref="L212" ca="1">_FV(A212,"Market cap",TRUE)/10000000</f>
        <v>295685.5</v>
      </c>
      <c r="M212" s="21" t="str">
        <f t="shared" ca="1" si="15"/>
        <v>LC</v>
      </c>
      <c r="N212" s="37" t="str">
        <f t="array" aca="1" ref="N212" ca="1">_FV(A212,"Industry")</f>
        <v>Aerospace &amp; Defense</v>
      </c>
    </row>
    <row r="213" spans="1:14">
      <c r="A213" s="107" t="e" vm="340">
        <v>#VALUE!</v>
      </c>
      <c r="B213" s="33">
        <f t="array" aca="1" ref="B213" ca="1">_FV(A213,"Change (%)",TRUE)</f>
        <v>8.9451000000000003E-2</v>
      </c>
      <c r="C213" s="35">
        <f t="array" aca="1" ref="C213" ca="1">_FV(A213,"Previous close",TRUE)</f>
        <v>436.55</v>
      </c>
      <c r="D213" s="35">
        <f t="array" aca="1" ref="D213" ca="1">_FV(A213,"Price")</f>
        <v>475.6</v>
      </c>
      <c r="E213" s="35">
        <f t="array" aca="1" ref="E213" ca="1">_FV(A213,"Low")</f>
        <v>443.25</v>
      </c>
      <c r="F213" s="35">
        <f t="array" aca="1" ref="F213" ca="1">_FV(A213,"High")</f>
        <v>480.85</v>
      </c>
      <c r="G213" s="35">
        <f t="array" aca="1" ref="G213" ca="1">_FV(A213,"52 week low",TRUE)</f>
        <v>183.82</v>
      </c>
      <c r="H213" s="36">
        <f t="array" aca="1" ref="H213" ca="1">_FV(A213,"52 week high",TRUE)</f>
        <v>480.85</v>
      </c>
      <c r="I213" s="40">
        <f t="shared" ca="1" si="12"/>
        <v>1.0918165748154309</v>
      </c>
      <c r="J213" s="39" t="str">
        <f t="shared" ca="1" si="13"/>
        <v>WATCH</v>
      </c>
      <c r="K213" s="54">
        <f t="shared" ca="1" si="14"/>
        <v>-158.73136764225876</v>
      </c>
      <c r="L213" s="20">
        <f t="array" aca="1" ref="L213" ca="1">_FV(A213,"Market cap",TRUE)/10000000</f>
        <v>42215.43</v>
      </c>
      <c r="M213" s="21" t="str">
        <f t="shared" ca="1" si="15"/>
        <v>HMC</v>
      </c>
      <c r="N213" s="37" t="str">
        <f t="array" aca="1" ref="N213" ca="1">_FV(A213,"Industry")</f>
        <v>Metals &amp; Mining</v>
      </c>
    </row>
    <row r="214" spans="1:14">
      <c r="A214" s="107" t="e" vm="341">
        <v>#VALUE!</v>
      </c>
      <c r="B214" s="33">
        <f t="array" aca="1" ref="B214" ca="1">_FV(A214,"Change (%)",TRUE)</f>
        <v>-6.3730000000000002E-3</v>
      </c>
      <c r="C214" s="35">
        <f t="array" aca="1" ref="C214" ca="1">_FV(A214,"Previous close",TRUE)</f>
        <v>470.7</v>
      </c>
      <c r="D214" s="35">
        <f t="array" aca="1" ref="D214" ca="1">_FV(A214,"Price")</f>
        <v>467.7</v>
      </c>
      <c r="E214" s="35">
        <f t="array" aca="1" ref="E214" ca="1">_FV(A214,"Low")</f>
        <v>465.05</v>
      </c>
      <c r="F214" s="35">
        <f t="array" aca="1" ref="F214" ca="1">_FV(A214,"High")</f>
        <v>471</v>
      </c>
      <c r="G214" s="35">
        <f t="array" aca="1" ref="G214" ca="1">_FV(A214,"52 week low",TRUE)</f>
        <v>287.55</v>
      </c>
      <c r="H214" s="36">
        <f t="array" aca="1" ref="H214" ca="1">_FV(A214,"52 week high",TRUE)</f>
        <v>494.45</v>
      </c>
      <c r="I214" s="40">
        <f t="shared" ca="1" si="12"/>
        <v>5.4100515724542424</v>
      </c>
      <c r="J214" s="39" t="str">
        <f t="shared" ca="1" si="13"/>
        <v>WATCH</v>
      </c>
      <c r="K214" s="54">
        <f t="shared" ca="1" si="14"/>
        <v>-62.649973917579537</v>
      </c>
      <c r="L214" s="20">
        <f t="array" aca="1" ref="L214" ca="1">_FV(A214,"Market cap",TRUE)/10000000</f>
        <v>99518.26</v>
      </c>
      <c r="M214" s="21" t="str">
        <f t="shared" ca="1" si="15"/>
        <v>HMC</v>
      </c>
      <c r="N214" s="37" t="str">
        <f t="array" aca="1" ref="N214" ca="1">_FV(A214,"Industry")</f>
        <v>Oil &amp; Gas</v>
      </c>
    </row>
    <row r="215" spans="1:14">
      <c r="A215" s="107" t="e" vm="51">
        <v>#VALUE!</v>
      </c>
      <c r="B215" s="33">
        <f t="array" aca="1" ref="B215" ca="1">_FV(A215,"Change (%)",TRUE)</f>
        <v>1.4019999999999998E-3</v>
      </c>
      <c r="C215" s="35">
        <f t="array" aca="1" ref="C215" ca="1">_FV(A215,"Previous close",TRUE)</f>
        <v>2282.1999999999998</v>
      </c>
      <c r="D215" s="35">
        <f t="array" aca="1" ref="D215" ca="1">_FV(A215,"Price")</f>
        <v>2285.4</v>
      </c>
      <c r="E215" s="35">
        <f t="array" aca="1" ref="E215" ca="1">_FV(A215,"Low")</f>
        <v>2275</v>
      </c>
      <c r="F215" s="35">
        <f t="array" aca="1" ref="F215" ca="1">_FV(A215,"High")</f>
        <v>2290</v>
      </c>
      <c r="G215" s="35">
        <f t="array" aca="1" ref="G215" ca="1">_FV(A215,"52 week low",TRUE)</f>
        <v>2101.13</v>
      </c>
      <c r="H215" s="36">
        <f t="array" aca="1" ref="H215" ca="1">_FV(A215,"52 week high",TRUE)</f>
        <v>2705.1</v>
      </c>
      <c r="I215" s="40">
        <f t="shared" ca="1" si="12"/>
        <v>15.515138072529661</v>
      </c>
      <c r="J215" s="39" t="str">
        <f t="shared" ca="1" si="13"/>
        <v>SURE HLC BUY</v>
      </c>
      <c r="K215" s="54">
        <f t="shared" ca="1" si="14"/>
        <v>-8.7700427865005963</v>
      </c>
      <c r="L215" s="20">
        <f t="array" aca="1" ref="L215" ca="1">_FV(A215,"Market cap",TRUE)/10000000</f>
        <v>536223.69999999995</v>
      </c>
      <c r="M215" s="21" t="str">
        <f t="shared" ca="1" si="15"/>
        <v>HLC</v>
      </c>
      <c r="N215" s="37" t="str">
        <f t="array" aca="1" ref="N215" ca="1">_FV(A215,"Industry")</f>
        <v>Personal &amp; Household Products &amp; Services</v>
      </c>
    </row>
    <row r="216" spans="1:14">
      <c r="A216" s="107" t="e" vm="170">
        <v>#VALUE!</v>
      </c>
      <c r="B216" s="33">
        <f t="array" aca="1" ref="B216" ca="1">_FV(A216,"Change (%)",TRUE)</f>
        <v>1.9205E-2</v>
      </c>
      <c r="C216" s="35">
        <f t="array" aca="1" ref="C216" ca="1">_FV(A216,"Previous close",TRUE)</f>
        <v>624.85</v>
      </c>
      <c r="D216" s="35">
        <f t="array" aca="1" ref="D216" ca="1">_FV(A216,"Price")</f>
        <v>636.85</v>
      </c>
      <c r="E216" s="35">
        <f t="array" aca="1" ref="E216" ca="1">_FV(A216,"Low")</f>
        <v>634</v>
      </c>
      <c r="F216" s="35">
        <f t="array" aca="1" ref="F216" ca="1">_FV(A216,"High")</f>
        <v>646.5</v>
      </c>
      <c r="G216" s="35">
        <f t="array" aca="1" ref="G216" ca="1">_FV(A216,"52 week low",TRUE)</f>
        <v>378.15</v>
      </c>
      <c r="H216" s="36">
        <f t="array" aca="1" ref="H216" ca="1">_FV(A216,"52 week high",TRUE)</f>
        <v>646.5</v>
      </c>
      <c r="I216" s="40">
        <f t="shared" ca="1" si="12"/>
        <v>1.4926527455529741</v>
      </c>
      <c r="J216" s="39" t="str">
        <f t="shared" ca="1" si="13"/>
        <v>WATCH</v>
      </c>
      <c r="K216" s="54">
        <f t="shared" ca="1" si="14"/>
        <v>-68.41200581779718</v>
      </c>
      <c r="L216" s="20">
        <f t="array" aca="1" ref="L216" ca="1">_FV(A216,"Market cap",TRUE)/10000000</f>
        <v>269089.5</v>
      </c>
      <c r="M216" s="21" t="str">
        <f t="shared" ca="1" si="15"/>
        <v>LC</v>
      </c>
      <c r="N216" s="37" t="str">
        <f t="array" aca="1" ref="N216" ca="1">_FV(A216,"Industry")</f>
        <v>Metals &amp; Mining</v>
      </c>
    </row>
    <row r="217" spans="1:14">
      <c r="A217" s="107" t="e" vm="342">
        <v>#VALUE!</v>
      </c>
      <c r="B217" s="33">
        <f t="array" aca="1" ref="B217" ca="1">_FV(A217,"Change (%)",TRUE)</f>
        <v>-3.8E-3</v>
      </c>
      <c r="C217" s="35">
        <f t="array" aca="1" ref="C217" ca="1">_FV(A217,"Previous close",TRUE)</f>
        <v>18420</v>
      </c>
      <c r="D217" s="35">
        <f t="array" aca="1" ref="D217" ca="1">_FV(A217,"Price")</f>
        <v>18350</v>
      </c>
      <c r="E217" s="35">
        <f t="array" aca="1" ref="E217" ca="1">_FV(A217,"Low")</f>
        <v>18085</v>
      </c>
      <c r="F217" s="35">
        <f t="array" aca="1" ref="F217" ca="1">_FV(A217,"High")</f>
        <v>18595</v>
      </c>
      <c r="G217" s="35">
        <f t="array" aca="1" ref="G217" ca="1">_FV(A217,"52 week low",TRUE)</f>
        <v>8801</v>
      </c>
      <c r="H217" s="36">
        <f t="array" aca="1" ref="H217" ca="1">_FV(A217,"52 week high",TRUE)</f>
        <v>22840</v>
      </c>
      <c r="I217" s="40">
        <f t="shared" ca="1" si="12"/>
        <v>19.6584938704028</v>
      </c>
      <c r="J217" s="39" t="str">
        <f t="shared" ca="1" si="13"/>
        <v>FIRST HMC BUY</v>
      </c>
      <c r="K217" s="54">
        <f t="shared" ca="1" si="14"/>
        <v>-108.49903420065901</v>
      </c>
      <c r="L217" s="20">
        <f t="array" aca="1" ref="L217" ca="1">_FV(A217,"Market cap",TRUE)/10000000</f>
        <v>82102.289999999994</v>
      </c>
      <c r="M217" s="21" t="str">
        <f t="shared" ca="1" si="15"/>
        <v>HMC</v>
      </c>
      <c r="N217" s="37" t="str">
        <f t="array" aca="1" ref="N217" ca="1">_FV(A217,"Industry")</f>
        <v>Machinery, Equipment &amp; Components</v>
      </c>
    </row>
    <row r="218" spans="1:14">
      <c r="A218" s="107" t="e" vm="343">
        <v>#VALUE!</v>
      </c>
      <c r="B218" s="33">
        <f t="array" aca="1" ref="B218" ca="1">_FV(A218,"Change (%)",TRUE)</f>
        <v>-8.4440000000000001E-3</v>
      </c>
      <c r="C218" s="35">
        <f t="array" aca="1" ref="C218" ca="1">_FV(A218,"Previous close",TRUE)</f>
        <v>1125</v>
      </c>
      <c r="D218" s="35">
        <f t="array" aca="1" ref="D218" ca="1">_FV(A218,"Price")</f>
        <v>1115.5</v>
      </c>
      <c r="E218" s="35">
        <f t="array" aca="1" ref="E218" ca="1">_FV(A218,"Low")</f>
        <v>1111.5</v>
      </c>
      <c r="F218" s="35">
        <f t="array" aca="1" ref="F218" ca="1">_FV(A218,"High")</f>
        <v>1135.8</v>
      </c>
      <c r="G218" s="35">
        <f t="array" aca="1" ref="G218" ca="1">_FV(A218,"52 week low",TRUE)</f>
        <v>878.4</v>
      </c>
      <c r="H218" s="36">
        <f t="array" aca="1" ref="H218" ca="1">_FV(A218,"52 week high",TRUE)</f>
        <v>1519</v>
      </c>
      <c r="I218" s="40">
        <f t="shared" ca="1" si="12"/>
        <v>26.563528637261356</v>
      </c>
      <c r="J218" s="39" t="str">
        <f t="shared" ca="1" si="13"/>
        <v>FIRST MC BUY</v>
      </c>
      <c r="K218" s="54">
        <f t="shared" ca="1" si="14"/>
        <v>-26.992258652094723</v>
      </c>
      <c r="L218" s="20">
        <f t="array" aca="1" ref="L218" ca="1">_FV(A218,"Market cap",TRUE)/10000000</f>
        <v>11691.36</v>
      </c>
      <c r="M218" s="21" t="str">
        <f t="shared" ca="1" si="15"/>
        <v>MC</v>
      </c>
      <c r="N218" s="37" t="str">
        <f t="array" aca="1" ref="N218" ca="1">_FV(A218,"Industry")</f>
        <v>Banking Services</v>
      </c>
    </row>
    <row r="219" spans="1:14">
      <c r="A219" s="107" t="e" vm="344">
        <v>#VALUE!</v>
      </c>
      <c r="B219" s="33">
        <f t="array" aca="1" ref="B219" ca="1">_FV(A219,"Change (%)",TRUE)</f>
        <v>-2.4527999999999998E-2</v>
      </c>
      <c r="C219" s="35">
        <f t="array" aca="1" ref="C219" ca="1">_FV(A219,"Previous close",TRUE)</f>
        <v>275.2</v>
      </c>
      <c r="D219" s="35">
        <f t="array" aca="1" ref="D219" ca="1">_FV(A219,"Price")</f>
        <v>268.45</v>
      </c>
      <c r="E219" s="35">
        <f t="array" aca="1" ref="E219" ca="1">_FV(A219,"Low")</f>
        <v>267.2</v>
      </c>
      <c r="F219" s="35">
        <f t="array" aca="1" ref="F219" ca="1">_FV(A219,"High")</f>
        <v>279.25</v>
      </c>
      <c r="G219" s="35">
        <f t="array" aca="1" ref="G219" ca="1">_FV(A219,"52 week low",TRUE)</f>
        <v>197.51</v>
      </c>
      <c r="H219" s="36">
        <f t="array" aca="1" ref="H219" ca="1">_FV(A219,"52 week high",TRUE)</f>
        <v>334.2</v>
      </c>
      <c r="I219" s="40">
        <f t="shared" ca="1" si="12"/>
        <v>19.673847995212448</v>
      </c>
      <c r="J219" s="39" t="str">
        <f t="shared" ca="1" si="13"/>
        <v>WATCH</v>
      </c>
      <c r="K219" s="54">
        <f t="shared" ca="1" si="14"/>
        <v>-35.917168750949322</v>
      </c>
      <c r="L219" s="20">
        <f t="array" aca="1" ref="L219" ca="1">_FV(A219,"Market cap",TRUE)/10000000</f>
        <v>8954.1769999999997</v>
      </c>
      <c r="M219" s="21" t="str">
        <f t="shared" ca="1" si="15"/>
        <v>HSC</v>
      </c>
      <c r="N219" s="37" t="str">
        <f t="array" aca="1" ref="N219" ca="1">_FV(A219,"Industry")</f>
        <v>Specialty Retailers</v>
      </c>
    </row>
    <row r="220" spans="1:14">
      <c r="A220" s="107" t="e" vm="345">
        <v>#VALUE!</v>
      </c>
      <c r="B220" s="33">
        <f t="array" aca="1" ref="B220" ca="1">_FV(A220,"Change (%)",TRUE)</f>
        <v>-6.7710000000000001E-3</v>
      </c>
      <c r="C220" s="35">
        <f t="array" aca="1" ref="C220" ca="1">_FV(A220,"Previous close",TRUE)</f>
        <v>33230</v>
      </c>
      <c r="D220" s="35">
        <f t="array" aca="1" ref="D220" ca="1">_FV(A220,"Price")</f>
        <v>33005</v>
      </c>
      <c r="E220" s="35">
        <f t="array" aca="1" ref="E220" ca="1">_FV(A220,"Low")</f>
        <v>32540</v>
      </c>
      <c r="F220" s="35">
        <f t="array" aca="1" ref="F220" ca="1">_FV(A220,"High")</f>
        <v>33375</v>
      </c>
      <c r="G220" s="35">
        <f t="array" aca="1" ref="G220" ca="1">_FV(A220,"52 week low",TRUE)</f>
        <v>31025</v>
      </c>
      <c r="H220" s="36">
        <f t="array" aca="1" ref="H220" ca="1">_FV(A220,"52 week high",TRUE)</f>
        <v>43732.55</v>
      </c>
      <c r="I220" s="40">
        <f t="shared" ca="1" si="12"/>
        <v>24.529898210829238</v>
      </c>
      <c r="J220" s="39" t="str">
        <f t="shared" ca="1" si="13"/>
        <v>FIRST MC BUY</v>
      </c>
      <c r="K220" s="54">
        <f t="shared" ca="1" si="14"/>
        <v>-6.3819500402900884</v>
      </c>
      <c r="L220" s="20">
        <f t="array" aca="1" ref="L220" ca="1">_FV(A220,"Market cap",TRUE)/10000000</f>
        <v>29181.45</v>
      </c>
      <c r="M220" s="21" t="str">
        <f t="shared" ca="1" si="15"/>
        <v>MC</v>
      </c>
      <c r="N220" s="37" t="str">
        <f t="array" aca="1" ref="N220" ca="1">_FV(A220,"Industry")</f>
        <v>Electronic Equipment &amp; Parts</v>
      </c>
    </row>
    <row r="221" spans="1:14">
      <c r="A221" s="107" t="e" vm="346">
        <v>#VALUE!</v>
      </c>
      <c r="B221" s="33">
        <f t="array" aca="1" ref="B221" ca="1">_FV(A221,"Change (%)",TRUE)</f>
        <v>2.4973000000000002E-2</v>
      </c>
      <c r="C221" s="35">
        <f t="array" aca="1" ref="C221" ca="1">_FV(A221,"Previous close",TRUE)</f>
        <v>216.23</v>
      </c>
      <c r="D221" s="35">
        <f t="array" aca="1" ref="D221" ca="1">_FV(A221,"Price")</f>
        <v>221.63</v>
      </c>
      <c r="E221" s="35">
        <f t="array" aca="1" ref="E221" ca="1">_FV(A221,"Low")</f>
        <v>215.5</v>
      </c>
      <c r="F221" s="35">
        <f t="array" aca="1" ref="F221" ca="1">_FV(A221,"High")</f>
        <v>222.44</v>
      </c>
      <c r="G221" s="35">
        <f t="array" aca="1" ref="G221" ca="1">_FV(A221,"52 week low",TRUE)</f>
        <v>158.85</v>
      </c>
      <c r="H221" s="36">
        <f t="array" aca="1" ref="H221" ca="1">_FV(A221,"52 week high",TRUE)</f>
        <v>254.29</v>
      </c>
      <c r="I221" s="40">
        <f t="shared" ca="1" si="12"/>
        <v>12.843603759487198</v>
      </c>
      <c r="J221" s="39" t="str">
        <f t="shared" ca="1" si="13"/>
        <v>WATCH</v>
      </c>
      <c r="K221" s="54">
        <f t="shared" ca="1" si="14"/>
        <v>-39.521561221277935</v>
      </c>
      <c r="L221" s="20">
        <f t="array" aca="1" ref="L221" ca="1">_FV(A221,"Market cap",TRUE)/10000000</f>
        <v>43287.08</v>
      </c>
      <c r="M221" s="21" t="str">
        <f t="shared" ca="1" si="15"/>
        <v>HMC</v>
      </c>
      <c r="N221" s="37" t="str">
        <f t="array" aca="1" ref="N221" ca="1">_FV(A221,"Industry")</f>
        <v>Banking Services</v>
      </c>
    </row>
    <row r="222" spans="1:14">
      <c r="A222" s="107" t="e" vm="193">
        <v>#VALUE!</v>
      </c>
      <c r="B222" s="33">
        <f t="array" aca="1" ref="B222" ca="1">_FV(A222,"Change (%)",TRUE)</f>
        <v>5.7189999999999993E-3</v>
      </c>
      <c r="C222" s="35">
        <f t="array" aca="1" ref="C222" ca="1">_FV(A222,"Previous close",TRUE)</f>
        <v>2307.9</v>
      </c>
      <c r="D222" s="35">
        <f t="array" aca="1" ref="D222" ca="1">_FV(A222,"Price")</f>
        <v>2321.1</v>
      </c>
      <c r="E222" s="35">
        <f t="array" aca="1" ref="E222" ca="1">_FV(A222,"Low")</f>
        <v>2302.3000000000002</v>
      </c>
      <c r="F222" s="35">
        <f t="array" aca="1" ref="F222" ca="1">_FV(A222,"High")</f>
        <v>2324.8000000000002</v>
      </c>
      <c r="G222" s="35">
        <f t="array" aca="1" ref="G222" ca="1">_FV(A222,"52 week low",TRUE)</f>
        <v>1541.7</v>
      </c>
      <c r="H222" s="36">
        <f t="array" aca="1" ref="H222" ca="1">_FV(A222,"52 week high",TRUE)</f>
        <v>2890</v>
      </c>
      <c r="I222" s="40">
        <f t="shared" ca="1" si="12"/>
        <v>19.68512110726644</v>
      </c>
      <c r="J222" s="39" t="str">
        <f t="shared" ca="1" si="13"/>
        <v>LC BUY</v>
      </c>
      <c r="K222" s="54">
        <f t="shared" ca="1" si="14"/>
        <v>-50.554582603619373</v>
      </c>
      <c r="L222" s="20">
        <f t="array" aca="1" ref="L222" ca="1">_FV(A222,"Market cap",TRUE)/10000000</f>
        <v>187526.39999999999</v>
      </c>
      <c r="M222" s="21" t="str">
        <f t="shared" ca="1" si="15"/>
        <v>LC</v>
      </c>
      <c r="N222" s="37" t="str">
        <f t="array" aca="1" ref="N222" ca="1">_FV(A222,"Industry")</f>
        <v>Automobiles &amp; Auto Parts</v>
      </c>
    </row>
    <row r="223" spans="1:14">
      <c r="A223" s="107" t="e" vm="52">
        <v>#VALUE!</v>
      </c>
      <c r="B223" s="33">
        <f t="array" aca="1" ref="B223" ca="1">_FV(A223,"Change (%)",TRUE)</f>
        <v>-6.9129999999999999E-3</v>
      </c>
      <c r="C223" s="35">
        <f t="array" aca="1" ref="C223" ca="1">_FV(A223,"Previous close",TRUE)</f>
        <v>1359.8</v>
      </c>
      <c r="D223" s="35">
        <f t="array" aca="1" ref="D223" ca="1">_FV(A223,"Price")</f>
        <v>1350.4</v>
      </c>
      <c r="E223" s="35">
        <f t="array" aca="1" ref="E223" ca="1">_FV(A223,"Low")</f>
        <v>1348.5</v>
      </c>
      <c r="F223" s="35">
        <f t="array" aca="1" ref="F223" ca="1">_FV(A223,"High")</f>
        <v>1362</v>
      </c>
      <c r="G223" s="35">
        <f t="array" aca="1" ref="G223" ca="1">_FV(A223,"52 week low",TRUE)</f>
        <v>1186</v>
      </c>
      <c r="H223" s="36">
        <f t="array" aca="1" ref="H223" ca="1">_FV(A223,"52 week high",TRUE)</f>
        <v>1500</v>
      </c>
      <c r="I223" s="40">
        <f t="shared" ca="1" si="12"/>
        <v>9.9733333333333274</v>
      </c>
      <c r="J223" s="39" t="str">
        <f t="shared" ca="1" si="13"/>
        <v>FIRST HLC BUY</v>
      </c>
      <c r="K223" s="54">
        <f t="shared" ca="1" si="14"/>
        <v>-13.861720067453632</v>
      </c>
      <c r="L223" s="20">
        <f t="array" aca="1" ref="L223" ca="1">_FV(A223,"Market cap",TRUE)/10000000</f>
        <v>971901.1</v>
      </c>
      <c r="M223" s="21" t="str">
        <f t="shared" ca="1" si="15"/>
        <v>HLC</v>
      </c>
      <c r="N223" s="37" t="str">
        <f t="array" aca="1" ref="N223" ca="1">_FV(A223,"Industry")</f>
        <v>Banking Services</v>
      </c>
    </row>
    <row r="224" spans="1:14">
      <c r="A224" s="107" t="e" vm="180">
        <v>#VALUE!</v>
      </c>
      <c r="B224" s="33">
        <f t="array" aca="1" ref="B224" ca="1">_FV(A224,"Change (%)",TRUE)</f>
        <v>-4.7470000000000004E-3</v>
      </c>
      <c r="C224" s="35">
        <f t="array" aca="1" ref="C224" ca="1">_FV(A224,"Previous close",TRUE)</f>
        <v>1959.3</v>
      </c>
      <c r="D224" s="35">
        <f t="array" aca="1" ref="D224" ca="1">_FV(A224,"Price")</f>
        <v>1950</v>
      </c>
      <c r="E224" s="35">
        <f t="array" aca="1" ref="E224" ca="1">_FV(A224,"Low")</f>
        <v>1939.6</v>
      </c>
      <c r="F224" s="35">
        <f t="array" aca="1" ref="F224" ca="1">_FV(A224,"High")</f>
        <v>1962.4</v>
      </c>
      <c r="G224" s="35">
        <f t="array" aca="1" ref="G224" ca="1">_FV(A224,"52 week low",TRUE)</f>
        <v>1613.7</v>
      </c>
      <c r="H224" s="36">
        <f t="array" aca="1" ref="H224" ca="1">_FV(A224,"52 week high",TRUE)</f>
        <v>2068.6999999999998</v>
      </c>
      <c r="I224" s="40">
        <f t="shared" ca="1" si="12"/>
        <v>5.7379030308889556</v>
      </c>
      <c r="J224" s="39" t="str">
        <f t="shared" ca="1" si="13"/>
        <v>WATCH</v>
      </c>
      <c r="K224" s="54">
        <f t="shared" ca="1" si="14"/>
        <v>-20.84030488938464</v>
      </c>
      <c r="L224" s="20">
        <f t="array" aca="1" ref="L224" ca="1">_FV(A224,"Market cap",TRUE)/10000000</f>
        <v>97118.74</v>
      </c>
      <c r="M224" s="21" t="str">
        <f t="shared" ca="1" si="15"/>
        <v>HMC</v>
      </c>
      <c r="N224" s="37" t="str">
        <f t="array" aca="1" ref="N224" ca="1">_FV(A224,"Industry")</f>
        <v>Insurance</v>
      </c>
    </row>
    <row r="225" spans="1:14">
      <c r="A225" s="107" t="e" vm="347">
        <v>#VALUE!</v>
      </c>
      <c r="B225" s="33">
        <f t="array" aca="1" ref="B225" ca="1">_FV(A225,"Change (%)",TRUE)</f>
        <v>-3.2209999999999999E-3</v>
      </c>
      <c r="C225" s="35">
        <f t="array" aca="1" ref="C225" ca="1">_FV(A225,"Previous close",TRUE)</f>
        <v>652.04999999999995</v>
      </c>
      <c r="D225" s="35">
        <f t="array" aca="1" ref="D225" ca="1">_FV(A225,"Price")</f>
        <v>649.95000000000005</v>
      </c>
      <c r="E225" s="35">
        <f t="array" aca="1" ref="E225" ca="1">_FV(A225,"Low")</f>
        <v>645.95000000000005</v>
      </c>
      <c r="F225" s="35">
        <f t="array" aca="1" ref="F225" ca="1">_FV(A225,"High")</f>
        <v>654.6</v>
      </c>
      <c r="G225" s="35">
        <f t="array" aca="1" ref="G225" ca="1">_FV(A225,"52 week low",TRUE)</f>
        <v>525.79999999999995</v>
      </c>
      <c r="H225" s="36">
        <f t="array" aca="1" ref="H225" ca="1">_FV(A225,"52 week high",TRUE)</f>
        <v>693.5</v>
      </c>
      <c r="I225" s="40">
        <f t="shared" ca="1" si="12"/>
        <v>6.2797404470079243</v>
      </c>
      <c r="J225" s="39" t="str">
        <f t="shared" ca="1" si="13"/>
        <v>WATCH</v>
      </c>
      <c r="K225" s="54">
        <f t="shared" ca="1" si="14"/>
        <v>-23.611639406618504</v>
      </c>
      <c r="L225" s="20">
        <f t="array" aca="1" ref="L225" ca="1">_FV(A225,"Market cap",TRUE)/10000000</f>
        <v>94390.71</v>
      </c>
      <c r="M225" s="21" t="str">
        <f t="shared" ca="1" si="15"/>
        <v>HMC</v>
      </c>
      <c r="N225" s="37" t="str">
        <f t="array" aca="1" ref="N225" ca="1">_FV(A225,"Industry")</f>
        <v>Insurance</v>
      </c>
    </row>
    <row r="226" spans="1:14">
      <c r="A226" s="107" t="e" vm="348">
        <v>#VALUE!</v>
      </c>
      <c r="B226" s="33">
        <f t="array" aca="1" ref="B226" ca="1">_FV(A226,"Change (%)",TRUE)</f>
        <v>4.5590000000000006E-3</v>
      </c>
      <c r="C226" s="35">
        <f t="array" aca="1" ref="C226" ca="1">_FV(A226,"Previous close",TRUE)</f>
        <v>100.91</v>
      </c>
      <c r="D226" s="35">
        <f t="array" aca="1" ref="D226" ca="1">_FV(A226,"Price")</f>
        <v>101.37</v>
      </c>
      <c r="E226" s="35">
        <f t="array" aca="1" ref="E226" ca="1">_FV(A226,"Low")</f>
        <v>100.35</v>
      </c>
      <c r="F226" s="35">
        <f t="array" aca="1" ref="F226" ca="1">_FV(A226,"High")</f>
        <v>102.2</v>
      </c>
      <c r="G226" s="35">
        <f t="array" aca="1" ref="G226" ca="1">_FV(A226,"52 week low",TRUE)</f>
        <v>65.89</v>
      </c>
      <c r="H226" s="36">
        <f t="array" aca="1" ref="H226" ca="1">_FV(A226,"52 week high",TRUE)</f>
        <v>106.97</v>
      </c>
      <c r="I226" s="40">
        <f t="shared" ca="1" si="12"/>
        <v>5.2351126484060897</v>
      </c>
      <c r="J226" s="39" t="str">
        <f t="shared" ca="1" si="13"/>
        <v>WATCH</v>
      </c>
      <c r="K226" s="54">
        <f t="shared" ca="1" si="14"/>
        <v>-53.847321293064205</v>
      </c>
      <c r="L226" s="20">
        <f t="array" aca="1" ref="L226" ca="1">_FV(A226,"Market cap",TRUE)/10000000</f>
        <v>108502.5</v>
      </c>
      <c r="M226" s="21" t="str">
        <f t="shared" ca="1" si="15"/>
        <v>LC</v>
      </c>
      <c r="N226" s="37" t="str">
        <f t="array" aca="1" ref="N226" ca="1">_FV(A226,"Industry")</f>
        <v>Banking Services</v>
      </c>
    </row>
    <row r="227" spans="1:14">
      <c r="A227" s="107" t="e" vm="349">
        <v>#VALUE!</v>
      </c>
      <c r="B227" s="33">
        <f t="array" aca="1" ref="B227" ca="1">_FV(A227,"Change (%)",TRUE)</f>
        <v>1.0446E-2</v>
      </c>
      <c r="C227" s="35">
        <f t="array" aca="1" ref="C227" ca="1">_FV(A227,"Previous close",TRUE)</f>
        <v>84.24</v>
      </c>
      <c r="D227" s="35">
        <f t="array" aca="1" ref="D227" ca="1">_FV(A227,"Price")</f>
        <v>85.12</v>
      </c>
      <c r="E227" s="35">
        <f t="array" aca="1" ref="E227" ca="1">_FV(A227,"Low")</f>
        <v>84.05</v>
      </c>
      <c r="F227" s="35">
        <f t="array" aca="1" ref="F227" ca="1">_FV(A227,"High")</f>
        <v>85.3</v>
      </c>
      <c r="G227" s="35">
        <f t="array" aca="1" ref="G227" ca="1">_FV(A227,"52 week low",TRUE)</f>
        <v>52.46</v>
      </c>
      <c r="H227" s="36">
        <f t="array" aca="1" ref="H227" ca="1">_FV(A227,"52 week high",TRUE)</f>
        <v>85.95</v>
      </c>
      <c r="I227" s="40">
        <f t="shared" ca="1" si="12"/>
        <v>0.96567771960441917</v>
      </c>
      <c r="J227" s="39" t="str">
        <f t="shared" ca="1" si="13"/>
        <v>WATCH</v>
      </c>
      <c r="K227" s="54">
        <f t="shared" ca="1" si="14"/>
        <v>-62.25695768204347</v>
      </c>
      <c r="L227" s="20">
        <f t="array" aca="1" ref="L227" ca="1">_FV(A227,"Market cap",TRUE)/10000000</f>
        <v>73166.509999999995</v>
      </c>
      <c r="M227" s="21" t="str">
        <f t="shared" ca="1" si="15"/>
        <v>HMC</v>
      </c>
      <c r="N227" s="37" t="str">
        <f t="array" aca="1" ref="N227" ca="1">_FV(A227,"Industry")</f>
        <v>Banking Services</v>
      </c>
    </row>
    <row r="228" spans="1:14">
      <c r="A228" s="107" t="e" vm="350">
        <v>#VALUE!</v>
      </c>
      <c r="B228" s="33">
        <f t="array" aca="1" ref="B228" ca="1">_FV(A228,"Change (%)",TRUE)</f>
        <v>6.5950000000000002E-3</v>
      </c>
      <c r="C228" s="35">
        <f t="array" aca="1" ref="C228" ca="1">_FV(A228,"Previous close",TRUE)</f>
        <v>53.07</v>
      </c>
      <c r="D228" s="35">
        <f t="array" aca="1" ref="D228" ca="1">_FV(A228,"Price")</f>
        <v>53.42</v>
      </c>
      <c r="E228" s="35">
        <f t="array" aca="1" ref="E228" ca="1">_FV(A228,"Low")</f>
        <v>52.46</v>
      </c>
      <c r="F228" s="35">
        <f t="array" aca="1" ref="F228" ca="1">_FV(A228,"High")</f>
        <v>55.1</v>
      </c>
      <c r="G228" s="35">
        <f t="array" aca="1" ref="G228" ca="1">_FV(A228,"52 week low",TRUE)</f>
        <v>36.200000000000003</v>
      </c>
      <c r="H228" s="36">
        <f t="array" aca="1" ref="H228" ca="1">_FV(A228,"52 week high",TRUE)</f>
        <v>74.5</v>
      </c>
      <c r="I228" s="40">
        <f t="shared" ca="1" si="12"/>
        <v>28.29530201342282</v>
      </c>
      <c r="J228" s="39" t="str">
        <f t="shared" ca="1" si="13"/>
        <v>FIRST MC BUY</v>
      </c>
      <c r="K228" s="54">
        <f t="shared" ca="1" si="14"/>
        <v>-47.569060773480658</v>
      </c>
      <c r="L228" s="20">
        <f t="array" aca="1" ref="L228" ca="1">_FV(A228,"Market cap",TRUE)/10000000</f>
        <v>14298.73</v>
      </c>
      <c r="M228" s="21" t="str">
        <f t="shared" ca="1" si="15"/>
        <v>MC</v>
      </c>
      <c r="N228" s="37" t="str">
        <f t="array" aca="1" ref="N228" ca="1">_FV(A228,"Industry")</f>
        <v>Banking Services</v>
      </c>
    </row>
    <row r="229" spans="1:14">
      <c r="A229" s="107" t="e" vm="351">
        <v>#VALUE!</v>
      </c>
      <c r="B229" s="33">
        <f t="array" aca="1" ref="B229" ca="1">_FV(A229,"Change (%)",TRUE)</f>
        <v>-4.816E-3</v>
      </c>
      <c r="C229" s="35">
        <f t="array" aca="1" ref="C229" ca="1">_FV(A229,"Previous close",TRUE)</f>
        <v>602.15</v>
      </c>
      <c r="D229" s="35">
        <f t="array" aca="1" ref="D229" ca="1">_FV(A229,"Price")</f>
        <v>599.25</v>
      </c>
      <c r="E229" s="35">
        <f t="array" aca="1" ref="E229" ca="1">_FV(A229,"Low")</f>
        <v>595</v>
      </c>
      <c r="F229" s="35">
        <f t="array" aca="1" ref="F229" ca="1">_FV(A229,"High")</f>
        <v>607.54999999999995</v>
      </c>
      <c r="G229" s="35">
        <f t="array" aca="1" ref="G229" ca="1">_FV(A229,"52 week low",TRUE)</f>
        <v>279.8</v>
      </c>
      <c r="H229" s="36">
        <f t="array" aca="1" ref="H229" ca="1">_FV(A229,"52 week high",TRUE)</f>
        <v>607.54999999999995</v>
      </c>
      <c r="I229" s="40">
        <f t="shared" ca="1" si="12"/>
        <v>1.3661427043041652</v>
      </c>
      <c r="J229" s="39" t="str">
        <f t="shared" ca="1" si="13"/>
        <v>WATCH</v>
      </c>
      <c r="K229" s="54">
        <f t="shared" ca="1" si="14"/>
        <v>-114.17083631165117</v>
      </c>
      <c r="L229" s="20">
        <f t="array" aca="1" ref="L229" ca="1">_FV(A229,"Market cap",TRUE)/10000000</f>
        <v>25605.1</v>
      </c>
      <c r="M229" s="21" t="str">
        <f t="shared" ca="1" si="15"/>
        <v>MC</v>
      </c>
      <c r="N229" s="37" t="str">
        <f t="array" aca="1" ref="N229" ca="1">_FV(A229,"Industry")</f>
        <v>Banking Services</v>
      </c>
    </row>
    <row r="230" spans="1:14">
      <c r="A230" s="107" t="e" vm="352">
        <v>#VALUE!</v>
      </c>
      <c r="B230" s="33">
        <f t="array" aca="1" ref="B230" ca="1">_FV(A230,"Change (%)",TRUE)</f>
        <v>-1.5009E-2</v>
      </c>
      <c r="C230" s="35">
        <f t="array" aca="1" ref="C230" ca="1">_FV(A230,"Previous close",TRUE)</f>
        <v>1106</v>
      </c>
      <c r="D230" s="35">
        <f t="array" aca="1" ref="D230" ca="1">_FV(A230,"Price")</f>
        <v>1089.4000000000001</v>
      </c>
      <c r="E230" s="35">
        <f t="array" aca="1" ref="E230" ca="1">_FV(A230,"Low")</f>
        <v>1085</v>
      </c>
      <c r="F230" s="35">
        <f t="array" aca="1" ref="F230" ca="1">_FV(A230,"High")</f>
        <v>1110</v>
      </c>
      <c r="G230" s="35">
        <f t="array" aca="1" ref="G230" ca="1">_FV(A230,"52 week low",TRUE)</f>
        <v>884.2</v>
      </c>
      <c r="H230" s="36">
        <f t="array" aca="1" ref="H230" ca="1">_FV(A230,"52 week high",TRUE)</f>
        <v>1288</v>
      </c>
      <c r="I230" s="40">
        <f t="shared" ca="1" si="12"/>
        <v>15.419254658385087</v>
      </c>
      <c r="J230" s="39" t="str">
        <f t="shared" ca="1" si="13"/>
        <v>WATCH</v>
      </c>
      <c r="K230" s="54">
        <f t="shared" ca="1" si="14"/>
        <v>-23.207419135942096</v>
      </c>
      <c r="L230" s="20">
        <f t="array" aca="1" ref="L230" ca="1">_FV(A230,"Market cap",TRUE)/10000000</f>
        <v>10038.44</v>
      </c>
      <c r="M230" s="21" t="str">
        <f t="shared" ca="1" si="15"/>
        <v>MC</v>
      </c>
      <c r="N230" s="37" t="str">
        <f t="array" aca="1" ref="N230" ca="1">_FV(A230,"Industry")</f>
        <v>Machinery, Equipment &amp; Components</v>
      </c>
    </row>
    <row r="231" spans="1:14">
      <c r="A231" s="107" t="e" vm="353">
        <v>#VALUE!</v>
      </c>
      <c r="B231" s="33">
        <f t="array" aca="1" ref="B231" ca="1">_FV(A231,"Change (%)",TRUE)</f>
        <v>-6.3560000000000005E-3</v>
      </c>
      <c r="C231" s="35">
        <f t="array" aca="1" ref="C231" ca="1">_FV(A231,"Previous close",TRUE)</f>
        <v>42.48</v>
      </c>
      <c r="D231" s="35">
        <f t="array" aca="1" ref="D231" ca="1">_FV(A231,"Price")</f>
        <v>42.21</v>
      </c>
      <c r="E231" s="35">
        <f t="array" aca="1" ref="E231" ca="1">_FV(A231,"Low")</f>
        <v>42.11</v>
      </c>
      <c r="F231" s="35">
        <f t="array" aca="1" ref="F231" ca="1">_FV(A231,"High")</f>
        <v>42.79</v>
      </c>
      <c r="G231" s="35">
        <f t="array" aca="1" ref="G231" ca="1">_FV(A231,"52 week low",TRUE)</f>
        <v>40.51</v>
      </c>
      <c r="H231" s="36">
        <f t="array" aca="1" ref="H231" ca="1">_FV(A231,"52 week high",TRUE)</f>
        <v>60.95</v>
      </c>
      <c r="I231" s="40">
        <f t="shared" ca="1" si="12"/>
        <v>30.74651353568499</v>
      </c>
      <c r="J231" s="39" t="str">
        <f t="shared" ca="1" si="13"/>
        <v>MC BUY</v>
      </c>
      <c r="K231" s="54">
        <f t="shared" ca="1" si="14"/>
        <v>-4.1964946926684839</v>
      </c>
      <c r="L231" s="20">
        <f t="array" aca="1" ref="L231" ca="1">_FV(A231,"Market cap",TRUE)/10000000</f>
        <v>25653.67</v>
      </c>
      <c r="M231" s="21" t="str">
        <f t="shared" ca="1" si="15"/>
        <v>MC</v>
      </c>
      <c r="N231" s="37" t="str">
        <f t="array" aca="1" ref="N231" ca="1">_FV(A231,"Industry")</f>
        <v>Construction &amp; Engineering</v>
      </c>
    </row>
    <row r="232" spans="1:14">
      <c r="A232" s="107" t="e" vm="60">
        <v>#VALUE!</v>
      </c>
      <c r="B232" s="33">
        <f t="array" aca="1" ref="B232" ca="1">_FV(A232,"Change (%)",TRUE)</f>
        <v>4.6924E-2</v>
      </c>
      <c r="C232" s="35">
        <f t="array" aca="1" ref="C232" ca="1">_FV(A232,"Previous close",TRUE)</f>
        <v>170.7</v>
      </c>
      <c r="D232" s="35">
        <f t="array" aca="1" ref="D232" ca="1">_FV(A232,"Price")</f>
        <v>178.71</v>
      </c>
      <c r="E232" s="35">
        <f t="array" aca="1" ref="E232" ca="1">_FV(A232,"Low")</f>
        <v>169</v>
      </c>
      <c r="F232" s="35">
        <f t="array" aca="1" ref="F232" ca="1">_FV(A232,"High")</f>
        <v>186.44</v>
      </c>
      <c r="G232" s="35">
        <f t="array" aca="1" ref="G232" ca="1">_FV(A232,"52 week low",TRUE)</f>
        <v>134.24</v>
      </c>
      <c r="H232" s="36">
        <f t="array" aca="1" ref="H232" ca="1">_FV(A232,"52 week high",TRUE)</f>
        <v>229.5</v>
      </c>
      <c r="I232" s="40">
        <f t="shared" ca="1" si="12"/>
        <v>22.130718954248362</v>
      </c>
      <c r="J232" s="39" t="str">
        <f t="shared" ca="1" si="13"/>
        <v>FIRST MC BUY</v>
      </c>
      <c r="K232" s="54">
        <f t="shared" ca="1" si="14"/>
        <v>-33.127234803337302</v>
      </c>
      <c r="L232" s="20">
        <f t="array" aca="1" ref="L232" ca="1">_FV(A232,"Market cap",TRUE)/10000000</f>
        <v>16054.6</v>
      </c>
      <c r="M232" s="21" t="str">
        <f t="shared" ca="1" si="15"/>
        <v>MC</v>
      </c>
      <c r="N232" s="37" t="str">
        <f t="array" aca="1" ref="N232" ca="1">_FV(A232,"Industry")</f>
        <v>Construction &amp; Engineering</v>
      </c>
    </row>
    <row r="233" spans="1:14">
      <c r="A233" s="107" t="e" vm="66">
        <v>#VALUE!</v>
      </c>
      <c r="B233" s="33">
        <f t="array" aca="1" ref="B233" ca="1">_FV(A233,"Change (%)",TRUE)</f>
        <v>1.6073999999999998E-2</v>
      </c>
      <c r="C233" s="35">
        <f t="array" aca="1" ref="C233" ca="1">_FV(A233,"Previous close",TRUE)</f>
        <v>195.35</v>
      </c>
      <c r="D233" s="35">
        <f t="array" aca="1" ref="D233" ca="1">_FV(A233,"Price")</f>
        <v>198.49</v>
      </c>
      <c r="E233" s="35">
        <f t="array" aca="1" ref="E233" ca="1">_FV(A233,"Low")</f>
        <v>193.6</v>
      </c>
      <c r="F233" s="35">
        <f t="array" aca="1" ref="F233" ca="1">_FV(A233,"High")</f>
        <v>199.29</v>
      </c>
      <c r="G233" s="35">
        <f t="array" aca="1" ref="G233" ca="1">_FV(A233,"52 week low",TRUE)</f>
        <v>155.1</v>
      </c>
      <c r="H233" s="36">
        <f t="array" aca="1" ref="H233" ca="1">_FV(A233,"52 week high",TRUE)</f>
        <v>261.62</v>
      </c>
      <c r="I233" s="40">
        <f t="shared" ca="1" si="12"/>
        <v>24.130418163748949</v>
      </c>
      <c r="J233" s="39" t="str">
        <f t="shared" ca="1" si="13"/>
        <v>HMC BUY</v>
      </c>
      <c r="K233" s="54">
        <f t="shared" ca="1" si="14"/>
        <v>-27.975499677627351</v>
      </c>
      <c r="L233" s="20">
        <f t="array" aca="1" ref="L233" ca="1">_FV(A233,"Market cap",TRUE)/10000000</f>
        <v>40688.54</v>
      </c>
      <c r="M233" s="21" t="str">
        <f t="shared" ca="1" si="15"/>
        <v>HMC</v>
      </c>
      <c r="N233" s="37" t="str">
        <f t="array" aca="1" ref="N233" ca="1">_FV(A233,"Industry")</f>
        <v>Hotels &amp; Entertainment Services</v>
      </c>
    </row>
    <row r="234" spans="1:14">
      <c r="A234" s="107" t="e" vm="65">
        <v>#VALUE!</v>
      </c>
      <c r="B234" s="33">
        <f t="array" aca="1" ref="B234" ca="1">_FV(A234,"Change (%)",TRUE)</f>
        <v>-6.0260000000000001E-3</v>
      </c>
      <c r="C234" s="35">
        <f t="array" aca="1" ref="C234" ca="1">_FV(A234,"Previous close",TRUE)</f>
        <v>406.6</v>
      </c>
      <c r="D234" s="35">
        <f t="array" aca="1" ref="D234" ca="1">_FV(A234,"Price")</f>
        <v>404.15</v>
      </c>
      <c r="E234" s="35">
        <f t="array" aca="1" ref="E234" ca="1">_FV(A234,"Low")</f>
        <v>403.85</v>
      </c>
      <c r="F234" s="35">
        <f t="array" aca="1" ref="F234" ca="1">_FV(A234,"High")</f>
        <v>407.15</v>
      </c>
      <c r="G234" s="35">
        <f t="array" aca="1" ref="G234" ca="1">_FV(A234,"52 week low",TRUE)</f>
        <v>390.15</v>
      </c>
      <c r="H234" s="36">
        <f t="array" aca="1" ref="H234" ca="1">_FV(A234,"52 week high",TRUE)</f>
        <v>471.5</v>
      </c>
      <c r="I234" s="40">
        <f t="shared" ca="1" si="12"/>
        <v>14.284199363732771</v>
      </c>
      <c r="J234" s="39" t="str">
        <f t="shared" ca="1" si="13"/>
        <v>SURE HLC BUY</v>
      </c>
      <c r="K234" s="54">
        <f t="shared" ca="1" si="14"/>
        <v>-3.5883634499551458</v>
      </c>
      <c r="L234" s="20">
        <f t="array" aca="1" ref="L234" ca="1">_FV(A234,"Market cap",TRUE)/10000000</f>
        <v>509427.5</v>
      </c>
      <c r="M234" s="21" t="str">
        <f t="shared" ca="1" si="15"/>
        <v>HLC</v>
      </c>
      <c r="N234" s="37" t="str">
        <f t="array" aca="1" ref="N234" ca="1">_FV(A234,"Industry")</f>
        <v>Food &amp; Tobacco</v>
      </c>
    </row>
    <row r="235" spans="1:14">
      <c r="A235" s="107" t="e" vm="354">
        <v>#VALUE!</v>
      </c>
      <c r="B235" s="33">
        <f t="array" aca="1" ref="B235" ca="1">_FV(A235,"Change (%)",TRUE)</f>
        <v>2.7150000000000004E-3</v>
      </c>
      <c r="C235" s="35">
        <f t="array" aca="1" ref="C235" ca="1">_FV(A235,"Previous close",TRUE)</f>
        <v>313.10000000000002</v>
      </c>
      <c r="D235" s="35">
        <f t="array" aca="1" ref="D235" ca="1">_FV(A235,"Price")</f>
        <v>313.95</v>
      </c>
      <c r="E235" s="35">
        <f t="array" aca="1" ref="E235" ca="1">_FV(A235,"Low")</f>
        <v>310.25</v>
      </c>
      <c r="F235" s="35">
        <f t="array" aca="1" ref="F235" ca="1">_FV(A235,"High")</f>
        <v>328</v>
      </c>
      <c r="G235" s="35">
        <f t="array" aca="1" ref="G235" ca="1">_FV(A235,"52 week low",TRUE)</f>
        <v>234.04</v>
      </c>
      <c r="H235" s="36">
        <f t="array" aca="1" ref="H235" ca="1">_FV(A235,"52 week high",TRUE)</f>
        <v>592.70000000000005</v>
      </c>
      <c r="I235" s="40">
        <f t="shared" ca="1" si="12"/>
        <v>47.03053821494855</v>
      </c>
      <c r="J235" s="39" t="str">
        <f t="shared" ca="1" si="13"/>
        <v>SURE MC BUY</v>
      </c>
      <c r="K235" s="54">
        <f t="shared" ca="1" si="14"/>
        <v>-34.143736113484877</v>
      </c>
      <c r="L235" s="20">
        <f t="array" aca="1" ref="L235" ca="1">_FV(A235,"Market cap",TRUE)/10000000</f>
        <v>30146.89</v>
      </c>
      <c r="M235" s="21" t="str">
        <f t="shared" ca="1" si="15"/>
        <v>MC</v>
      </c>
      <c r="N235" s="37" t="str">
        <f t="array" aca="1" ref="N235" ca="1">_FV(A235,"Industry")</f>
        <v>Communications &amp; Networking</v>
      </c>
    </row>
    <row r="236" spans="1:14">
      <c r="A236" s="107" t="e" vm="355">
        <v>#VALUE!</v>
      </c>
      <c r="B236" s="33">
        <f t="array" aca="1" ref="B236" ca="1">_FV(A236,"Change (%)",TRUE)</f>
        <v>-5.5410000000000008E-3</v>
      </c>
      <c r="C236" s="35">
        <f t="array" aca="1" ref="C236" ca="1">_FV(A236,"Previous close",TRUE)</f>
        <v>523.35</v>
      </c>
      <c r="D236" s="35">
        <f t="array" aca="1" ref="D236" ca="1">_FV(A236,"Price")</f>
        <v>520.45000000000005</v>
      </c>
      <c r="E236" s="35">
        <f t="array" aca="1" ref="E236" ca="1">_FV(A236,"Low")</f>
        <v>513.85</v>
      </c>
      <c r="F236" s="35">
        <f t="array" aca="1" ref="F236" ca="1">_FV(A236,"High")</f>
        <v>525.9</v>
      </c>
      <c r="G236" s="35">
        <f t="array" aca="1" ref="G236" ca="1">_FV(A236,"52 week low",TRUE)</f>
        <v>499</v>
      </c>
      <c r="H236" s="36">
        <f t="array" aca="1" ref="H236" ca="1">_FV(A236,"52 week high",TRUE)</f>
        <v>681.7</v>
      </c>
      <c r="I236" s="40">
        <f t="shared" ca="1" si="12"/>
        <v>23.654100044007627</v>
      </c>
      <c r="J236" s="39" t="str">
        <f t="shared" ca="1" si="13"/>
        <v>FIRST MC BUY</v>
      </c>
      <c r="K236" s="54">
        <f t="shared" ca="1" si="14"/>
        <v>-4.2985971943887868</v>
      </c>
      <c r="L236" s="20">
        <f t="array" aca="1" ref="L236" ca="1">_FV(A236,"Market cap",TRUE)/10000000</f>
        <v>12573.44</v>
      </c>
      <c r="M236" s="21" t="str">
        <f t="shared" ca="1" si="15"/>
        <v>MC</v>
      </c>
      <c r="N236" s="37" t="str">
        <f t="array" aca="1" ref="N236" ca="1">_FV(A236,"Industry")</f>
        <v>Professional &amp; Commercial Services</v>
      </c>
    </row>
    <row r="237" spans="1:14">
      <c r="A237" s="107" t="e" vm="356">
        <v>#VALUE!</v>
      </c>
      <c r="B237" s="33">
        <f t="array" aca="1" ref="B237" ca="1">_FV(A237,"Change (%)",TRUE)</f>
        <v>1.146E-2</v>
      </c>
      <c r="C237" s="35">
        <f t="array" aca="1" ref="C237" ca="1">_FV(A237,"Previous close",TRUE)</f>
        <v>436.3</v>
      </c>
      <c r="D237" s="35">
        <f t="array" aca="1" ref="D237" ca="1">_FV(A237,"Price")</f>
        <v>441.3</v>
      </c>
      <c r="E237" s="35">
        <f t="array" aca="1" ref="E237" ca="1">_FV(A237,"Low")</f>
        <v>433.6</v>
      </c>
      <c r="F237" s="35">
        <f t="array" aca="1" ref="F237" ca="1">_FV(A237,"High")</f>
        <v>447</v>
      </c>
      <c r="G237" s="35">
        <f t="array" aca="1" ref="G237" ca="1">_FV(A237,"52 week low",TRUE)</f>
        <v>238.85</v>
      </c>
      <c r="H237" s="36">
        <f t="array" aca="1" ref="H237" ca="1">_FV(A237,"52 week high",TRUE)</f>
        <v>451.35</v>
      </c>
      <c r="I237" s="40">
        <f t="shared" ca="1" si="12"/>
        <v>2.2266533732136948</v>
      </c>
      <c r="J237" s="39" t="str">
        <f t="shared" ca="1" si="13"/>
        <v>WATCH</v>
      </c>
      <c r="K237" s="54">
        <f t="shared" ca="1" si="14"/>
        <v>-84.760309817877328</v>
      </c>
      <c r="L237" s="20">
        <f t="array" aca="1" ref="L237" ca="1">_FV(A237,"Market cap",TRUE)/10000000</f>
        <v>13520.82</v>
      </c>
      <c r="M237" s="21" t="str">
        <f t="shared" ca="1" si="15"/>
        <v>MC</v>
      </c>
      <c r="N237" s="37" t="str">
        <f t="array" aca="1" ref="N237" ca="1">_FV(A237,"Industry")</f>
        <v>Construction Materials</v>
      </c>
    </row>
    <row r="238" spans="1:14">
      <c r="A238" s="107" t="e" vm="357">
        <v>#VALUE!</v>
      </c>
      <c r="B238" s="33">
        <f t="array" aca="1" ref="B238" ca="1">_FV(A238,"Change (%)",TRUE)</f>
        <v>-6.5000000000000006E-3</v>
      </c>
      <c r="C238" s="35">
        <f t="array" aca="1" ref="C238" ca="1">_FV(A238,"Previous close",TRUE)</f>
        <v>2230.6999999999998</v>
      </c>
      <c r="D238" s="35">
        <f t="array" aca="1" ref="D238" ca="1">_FV(A238,"Price")</f>
        <v>2216.1999999999998</v>
      </c>
      <c r="E238" s="35">
        <f t="array" aca="1" ref="E238" ca="1">_FV(A238,"Low")</f>
        <v>2205.5</v>
      </c>
      <c r="F238" s="35">
        <f t="array" aca="1" ref="F238" ca="1">_FV(A238,"High")</f>
        <v>2244.9</v>
      </c>
      <c r="G238" s="35">
        <f t="array" aca="1" ref="G238" ca="1">_FV(A238,"52 week low",TRUE)</f>
        <v>1884.51</v>
      </c>
      <c r="H238" s="36">
        <f t="array" aca="1" ref="H238" ca="1">_FV(A238,"52 week high",TRUE)</f>
        <v>2799</v>
      </c>
      <c r="I238" s="40">
        <f t="shared" ca="1" si="12"/>
        <v>20.821722043587002</v>
      </c>
      <c r="J238" s="39" t="str">
        <f t="shared" ca="1" si="13"/>
        <v>FIRST MC BUY</v>
      </c>
      <c r="K238" s="54">
        <f t="shared" ca="1" si="14"/>
        <v>-17.600861762474057</v>
      </c>
      <c r="L238" s="20">
        <f t="array" aca="1" ref="L238" ca="1">_FV(A238,"Market cap",TRUE)/10000000</f>
        <v>13400.23</v>
      </c>
      <c r="M238" s="21" t="str">
        <f t="shared" ca="1" si="15"/>
        <v>MC</v>
      </c>
      <c r="N238" s="37" t="str">
        <f t="array" aca="1" ref="N238" ca="1">_FV(A238,"Industry")</f>
        <v>Software &amp; IT Services</v>
      </c>
    </row>
    <row r="239" spans="1:14">
      <c r="A239" s="107" t="e" vm="358">
        <v>#VALUE!</v>
      </c>
      <c r="B239" s="33">
        <f t="array" aca="1" ref="B239" ca="1">_FV(A239,"Change (%)",TRUE)</f>
        <v>1.6080000000000001E-3</v>
      </c>
      <c r="C239" s="35">
        <f t="array" aca="1" ref="C239" ca="1">_FV(A239,"Previous close",TRUE)</f>
        <v>777.2</v>
      </c>
      <c r="D239" s="35">
        <f t="array" aca="1" ref="D239" ca="1">_FV(A239,"Price")</f>
        <v>778.45</v>
      </c>
      <c r="E239" s="35">
        <f t="array" aca="1" ref="E239" ca="1">_FV(A239,"Low")</f>
        <v>772.1</v>
      </c>
      <c r="F239" s="35">
        <f t="array" aca="1" ref="F239" ca="1">_FV(A239,"High")</f>
        <v>781.5</v>
      </c>
      <c r="G239" s="35">
        <f t="array" aca="1" ref="G239" ca="1">_FV(A239,"52 week low",TRUE)</f>
        <v>473.9</v>
      </c>
      <c r="H239" s="36">
        <f t="array" aca="1" ref="H239" ca="1">_FV(A239,"52 week high",TRUE)</f>
        <v>894.85</v>
      </c>
      <c r="I239" s="40">
        <f t="shared" ca="1" si="12"/>
        <v>13.007766664804155</v>
      </c>
      <c r="J239" s="39" t="str">
        <f t="shared" ca="1" si="13"/>
        <v>LC BUY</v>
      </c>
      <c r="K239" s="54">
        <f t="shared" ca="1" si="14"/>
        <v>-64.264612787507929</v>
      </c>
      <c r="L239" s="20">
        <f t="array" aca="1" ref="L239" ca="1">_FV(A239,"Market cap",TRUE)/10000000</f>
        <v>104686</v>
      </c>
      <c r="M239" s="21" t="str">
        <f t="shared" ca="1" si="15"/>
        <v>LC</v>
      </c>
      <c r="N239" s="37" t="str">
        <f t="array" aca="1" ref="N239" ca="1">_FV(A239,"Industry")</f>
        <v>Banking Services</v>
      </c>
    </row>
    <row r="240" spans="1:14">
      <c r="A240" s="107" t="e" vm="359">
        <v>#VALUE!</v>
      </c>
      <c r="B240" s="33">
        <f t="array" aca="1" ref="B240" ca="1">_FV(A240,"Change (%)",TRUE)</f>
        <v>-2.7167E-2</v>
      </c>
      <c r="C240" s="35">
        <f t="array" aca="1" ref="C240" ca="1">_FV(A240,"Previous close",TRUE)</f>
        <v>139.13999999999999</v>
      </c>
      <c r="D240" s="35">
        <f t="array" aca="1" ref="D240" ca="1">_FV(A240,"Price")</f>
        <v>135.36000000000001</v>
      </c>
      <c r="E240" s="35">
        <f t="array" aca="1" ref="E240" ca="1">_FV(A240,"Low")</f>
        <v>133.29</v>
      </c>
      <c r="F240" s="35">
        <f t="array" aca="1" ref="F240" ca="1">_FV(A240,"High")</f>
        <v>137.5</v>
      </c>
      <c r="G240" s="35">
        <f t="array" aca="1" ref="G240" ca="1">_FV(A240,"52 week low",TRUE)</f>
        <v>130.26</v>
      </c>
      <c r="H240" s="36">
        <f t="array" aca="1" ref="H240" ca="1">_FV(A240,"52 week high",TRUE)</f>
        <v>215.4</v>
      </c>
      <c r="I240" s="40">
        <f t="shared" ca="1" si="12"/>
        <v>37.15877437325905</v>
      </c>
      <c r="J240" s="39" t="str">
        <f t="shared" ca="1" si="13"/>
        <v>MC BUY</v>
      </c>
      <c r="K240" s="54">
        <f t="shared" ca="1" si="14"/>
        <v>-3.915246430216508</v>
      </c>
      <c r="L240" s="20">
        <f t="array" aca="1" ref="L240" ca="1">_FV(A240,"Market cap",TRUE)/10000000</f>
        <v>12373.72</v>
      </c>
      <c r="M240" s="21" t="str">
        <f t="shared" ca="1" si="15"/>
        <v>MC</v>
      </c>
      <c r="N240" s="37" t="str">
        <f t="array" aca="1" ref="N240" ca="1">_FV(A240,"Industry")</f>
        <v>Investment Banking &amp; Investment Services</v>
      </c>
    </row>
    <row r="241" spans="1:14">
      <c r="A241" s="107" t="e" vm="55">
        <v>#VALUE!</v>
      </c>
      <c r="B241" s="33">
        <f t="array" aca="1" ref="B241" ca="1">_FV(A241,"Change (%)",TRUE)</f>
        <v>-6.7559999999999994E-4</v>
      </c>
      <c r="C241" s="35">
        <f t="array" aca="1" ref="C241" ca="1">_FV(A241,"Previous close",TRUE)</f>
        <v>740.1</v>
      </c>
      <c r="D241" s="35">
        <f t="array" aca="1" ref="D241" ca="1">_FV(A241,"Price")</f>
        <v>739.6</v>
      </c>
      <c r="E241" s="35">
        <f t="array" aca="1" ref="E241" ca="1">_FV(A241,"Low")</f>
        <v>736.45</v>
      </c>
      <c r="F241" s="35">
        <f t="array" aca="1" ref="F241" ca="1">_FV(A241,"High")</f>
        <v>744.5</v>
      </c>
      <c r="G241" s="35">
        <f t="array" aca="1" ref="G241" ca="1">_FV(A241,"52 week low",TRUE)</f>
        <v>672.6</v>
      </c>
      <c r="H241" s="36">
        <f t="array" aca="1" ref="H241" ca="1">_FV(A241,"52 week high",TRUE)</f>
        <v>894.9</v>
      </c>
      <c r="I241" s="40">
        <f t="shared" ca="1" si="12"/>
        <v>17.353894289864787</v>
      </c>
      <c r="J241" s="39" t="str">
        <f t="shared" ca="1" si="13"/>
        <v>LC BUY</v>
      </c>
      <c r="K241" s="54">
        <f t="shared" ca="1" si="14"/>
        <v>-9.9613440380612541</v>
      </c>
      <c r="L241" s="20">
        <f t="array" aca="1" ref="L241" ca="1">_FV(A241,"Market cap",TRUE)/10000000</f>
        <v>105348.2</v>
      </c>
      <c r="M241" s="21" t="str">
        <f t="shared" ca="1" si="15"/>
        <v>LC</v>
      </c>
      <c r="N241" s="37" t="str">
        <f t="array" aca="1" ref="N241" ca="1">_FV(A241,"Industry")</f>
        <v>Hotels &amp; Entertainment Services</v>
      </c>
    </row>
    <row r="242" spans="1:14">
      <c r="A242" s="107" t="e" vm="58">
        <v>#VALUE!</v>
      </c>
      <c r="B242" s="33">
        <f t="array" aca="1" ref="B242" ca="1">_FV(A242,"Change (%)",TRUE)</f>
        <v>-5.3979999999999992E-3</v>
      </c>
      <c r="C242" s="35">
        <f t="array" aca="1" ref="C242" ca="1">_FV(A242,"Previous close",TRUE)</f>
        <v>161.16999999999999</v>
      </c>
      <c r="D242" s="35">
        <f t="array" aca="1" ref="D242" ca="1">_FV(A242,"Price")</f>
        <v>160.30000000000001</v>
      </c>
      <c r="E242" s="35">
        <f t="array" aca="1" ref="E242" ca="1">_FV(A242,"Low")</f>
        <v>159.61000000000001</v>
      </c>
      <c r="F242" s="35">
        <f t="array" aca="1" ref="F242" ca="1">_FV(A242,"High")</f>
        <v>161.94</v>
      </c>
      <c r="G242" s="35">
        <f t="array" aca="1" ref="G242" ca="1">_FV(A242,"52 week low",TRUE)</f>
        <v>110.72</v>
      </c>
      <c r="H242" s="36">
        <f t="array" aca="1" ref="H242" ca="1">_FV(A242,"52 week high",TRUE)</f>
        <v>174.5</v>
      </c>
      <c r="I242" s="40">
        <f t="shared" ca="1" si="12"/>
        <v>8.1375358166189038</v>
      </c>
      <c r="J242" s="39" t="str">
        <f t="shared" ca="1" si="13"/>
        <v>WATCH</v>
      </c>
      <c r="K242" s="54">
        <f t="shared" ca="1" si="14"/>
        <v>-44.779624277456655</v>
      </c>
      <c r="L242" s="20">
        <f t="array" aca="1" ref="L242" ca="1">_FV(A242,"Market cap",TRUE)/10000000</f>
        <v>227592</v>
      </c>
      <c r="M242" s="21" t="str">
        <f t="shared" ca="1" si="15"/>
        <v>LC</v>
      </c>
      <c r="N242" s="37" t="str">
        <f t="array" aca="1" ref="N242" ca="1">_FV(A242,"Industry")</f>
        <v>Oil &amp; Gas</v>
      </c>
    </row>
    <row r="243" spans="1:14">
      <c r="A243" s="107" t="e" vm="360">
        <v>#VALUE!</v>
      </c>
      <c r="B243" s="33">
        <f t="array" aca="1" ref="B243" ca="1">_FV(A243,"Change (%)",TRUE)</f>
        <v>2.9480000000000001E-4</v>
      </c>
      <c r="C243" s="35">
        <f t="array" aca="1" ref="C243" ca="1">_FV(A243,"Previous close",TRUE)</f>
        <v>33.92</v>
      </c>
      <c r="D243" s="35">
        <f t="array" aca="1" ref="D243" ca="1">_FV(A243,"Price")</f>
        <v>33.93</v>
      </c>
      <c r="E243" s="35">
        <f t="array" aca="1" ref="E243" ca="1">_FV(A243,"Low")</f>
        <v>33.71</v>
      </c>
      <c r="F243" s="35">
        <f t="array" aca="1" ref="F243" ca="1">_FV(A243,"High")</f>
        <v>34.07</v>
      </c>
      <c r="G243" s="35">
        <f t="array" aca="1" ref="G243" ca="1">_FV(A243,"52 week low",TRUE)</f>
        <v>33.5</v>
      </c>
      <c r="H243" s="36">
        <f t="array" aca="1" ref="H243" ca="1">_FV(A243,"52 week high",TRUE)</f>
        <v>54.54</v>
      </c>
      <c r="I243" s="40">
        <f t="shared" ca="1" si="12"/>
        <v>37.788778877887786</v>
      </c>
      <c r="J243" s="39" t="str">
        <f t="shared" ca="1" si="13"/>
        <v>SURE HMC BUY</v>
      </c>
      <c r="K243" s="54">
        <f t="shared" ca="1" si="14"/>
        <v>-1.2835820895522378</v>
      </c>
      <c r="L243" s="20">
        <f t="array" aca="1" ref="L243" ca="1">_FV(A243,"Market cap",TRUE)/10000000</f>
        <v>65318.35</v>
      </c>
      <c r="M243" s="21" t="str">
        <f t="shared" ca="1" si="15"/>
        <v>HMC</v>
      </c>
      <c r="N243" s="37" t="str">
        <f t="array" aca="1" ref="N243" ca="1">_FV(A243,"Industry")</f>
        <v>Banking Services</v>
      </c>
    </row>
    <row r="244" spans="1:14">
      <c r="A244" s="107" t="e" vm="61">
        <v>#VALUE!</v>
      </c>
      <c r="B244" s="33">
        <f t="array" aca="1" ref="B244" ca="1">_FV(A244,"Change (%)",TRUE)</f>
        <v>3.8033999999999998E-2</v>
      </c>
      <c r="C244" s="35">
        <f t="array" aca="1" ref="C244" ca="1">_FV(A244,"Previous close",TRUE)</f>
        <v>679.65</v>
      </c>
      <c r="D244" s="35">
        <f t="array" aca="1" ref="D244" ca="1">_FV(A244,"Price")</f>
        <v>705.5</v>
      </c>
      <c r="E244" s="35">
        <f t="array" aca="1" ref="E244" ca="1">_FV(A244,"Low")</f>
        <v>678.8</v>
      </c>
      <c r="F244" s="35">
        <f t="array" aca="1" ref="F244" ca="1">_FV(A244,"High")</f>
        <v>712.55</v>
      </c>
      <c r="G244" s="35">
        <f t="array" aca="1" ref="G244" ca="1">_FV(A244,"52 week low",TRUE)</f>
        <v>656</v>
      </c>
      <c r="H244" s="36">
        <f t="array" aca="1" ref="H244" ca="1">_FV(A244,"52 week high",TRUE)</f>
        <v>831.75</v>
      </c>
      <c r="I244" s="40">
        <f t="shared" ca="1" si="12"/>
        <v>15.178839795611662</v>
      </c>
      <c r="J244" s="39" t="str">
        <f t="shared" ca="1" si="13"/>
        <v>FIRST HMC BUY</v>
      </c>
      <c r="K244" s="54">
        <f t="shared" ca="1" si="14"/>
        <v>-7.5457317073170733</v>
      </c>
      <c r="L244" s="20">
        <f t="array" aca="1" ref="L244" ca="1">_FV(A244,"Market cap",TRUE)/10000000</f>
        <v>54372</v>
      </c>
      <c r="M244" s="21" t="str">
        <f t="shared" ca="1" si="15"/>
        <v>HMC</v>
      </c>
      <c r="N244" s="37" t="str">
        <f t="array" aca="1" ref="N244" ca="1">_FV(A244,"Industry")</f>
        <v>Passenger Transportation Services</v>
      </c>
    </row>
    <row r="245" spans="1:14">
      <c r="A245" s="107" t="e" vm="63">
        <v>#VALUE!</v>
      </c>
      <c r="B245" s="33">
        <f t="array" aca="1" ref="B245" ca="1">_FV(A245,"Change (%)",TRUE)</f>
        <v>0.100008</v>
      </c>
      <c r="C245" s="35">
        <f t="array" aca="1" ref="C245" ca="1">_FV(A245,"Previous close",TRUE)</f>
        <v>121.49</v>
      </c>
      <c r="D245" s="35">
        <f t="array" aca="1" ref="D245" ca="1">_FV(A245,"Price")</f>
        <v>133.63999999999999</v>
      </c>
      <c r="E245" s="35">
        <f t="array" aca="1" ref="E245" ca="1">_FV(A245,"Low")</f>
        <v>121.86</v>
      </c>
      <c r="F245" s="35">
        <f t="array" aca="1" ref="F245" ca="1">_FV(A245,"High")</f>
        <v>134.59</v>
      </c>
      <c r="G245" s="35">
        <f t="array" aca="1" ref="G245" ca="1">_FV(A245,"52 week low",TRUE)</f>
        <v>108.04</v>
      </c>
      <c r="H245" s="36">
        <f t="array" aca="1" ref="H245" ca="1">_FV(A245,"52 week high",TRUE)</f>
        <v>158</v>
      </c>
      <c r="I245" s="40">
        <f t="shared" ca="1" si="12"/>
        <v>15.417721518987351</v>
      </c>
      <c r="J245" s="39" t="str">
        <f t="shared" ca="1" si="13"/>
        <v>LC BUY</v>
      </c>
      <c r="K245" s="54">
        <f t="shared" ca="1" si="14"/>
        <v>-23.694927804516826</v>
      </c>
      <c r="L245" s="20">
        <f t="array" aca="1" ref="L245" ca="1">_FV(A245,"Market cap",TRUE)/10000000</f>
        <v>158769.29999999999</v>
      </c>
      <c r="M245" s="21" t="str">
        <f t="shared" ca="1" si="15"/>
        <v>LC</v>
      </c>
      <c r="N245" s="37" t="str">
        <f t="array" aca="1" ref="N245" ca="1">_FV(A245,"Industry")</f>
        <v>Banking Services</v>
      </c>
    </row>
    <row r="246" spans="1:14">
      <c r="A246" s="107" t="e" vm="62">
        <v>#VALUE!</v>
      </c>
      <c r="B246" s="33">
        <f t="array" aca="1" ref="B246" ca="1">_FV(A246,"Change (%)",TRUE)</f>
        <v>2.0926999999999998E-2</v>
      </c>
      <c r="C246" s="35">
        <f t="array" aca="1" ref="C246" ca="1">_FV(A246,"Previous close",TRUE)</f>
        <v>138.1</v>
      </c>
      <c r="D246" s="35">
        <f t="array" aca="1" ref="D246" ca="1">_FV(A246,"Price")</f>
        <v>140.99</v>
      </c>
      <c r="E246" s="35">
        <f t="array" aca="1" ref="E246" ca="1">_FV(A246,"Low")</f>
        <v>137.21</v>
      </c>
      <c r="F246" s="35">
        <f t="array" aca="1" ref="F246" ca="1">_FV(A246,"High")</f>
        <v>143.30000000000001</v>
      </c>
      <c r="G246" s="35">
        <f t="array" aca="1" ref="G246" ca="1">_FV(A246,"52 week low",TRUE)</f>
        <v>129.11000000000001</v>
      </c>
      <c r="H246" s="36">
        <f t="array" aca="1" ref="H246" ca="1">_FV(A246,"52 week high",TRUE)</f>
        <v>234.29</v>
      </c>
      <c r="I246" s="40">
        <f t="shared" ca="1" si="12"/>
        <v>39.822442272397453</v>
      </c>
      <c r="J246" s="39" t="str">
        <f t="shared" ca="1" si="13"/>
        <v>MC BUY</v>
      </c>
      <c r="K246" s="54">
        <f t="shared" ca="1" si="14"/>
        <v>-9.2014561226860767</v>
      </c>
      <c r="L246" s="20">
        <f t="array" aca="1" ref="L246" ca="1">_FV(A246,"Market cap",TRUE)/10000000</f>
        <v>39607.35</v>
      </c>
      <c r="M246" s="21" t="str">
        <f t="shared" ca="1" si="15"/>
        <v>MC</v>
      </c>
      <c r="N246" s="37" t="str">
        <f t="array" aca="1" ref="N246" ca="1">_FV(A246,"Industry")</f>
        <v>Banking Services</v>
      </c>
    </row>
    <row r="247" spans="1:14">
      <c r="A247" s="107" t="e" vm="361">
        <v>#VALUE!</v>
      </c>
      <c r="B247" s="33">
        <f t="array" aca="1" ref="B247" ca="1">_FV(A247,"Change (%)",TRUE)</f>
        <v>-1.0319999999999999E-3</v>
      </c>
      <c r="C247" s="35">
        <f t="array" aca="1" ref="C247" ca="1">_FV(A247,"Previous close",TRUE)</f>
        <v>193.73</v>
      </c>
      <c r="D247" s="35">
        <f t="array" aca="1" ref="D247" ca="1">_FV(A247,"Price")</f>
        <v>193.53</v>
      </c>
      <c r="E247" s="35">
        <f t="array" aca="1" ref="E247" ca="1">_FV(A247,"Low")</f>
        <v>192.75</v>
      </c>
      <c r="F247" s="35">
        <f t="array" aca="1" ref="F247" ca="1">_FV(A247,"High")</f>
        <v>194.67</v>
      </c>
      <c r="G247" s="35">
        <f t="array" aca="1" ref="G247" ca="1">_FV(A247,"52 week low",TRUE)</f>
        <v>172</v>
      </c>
      <c r="H247" s="36">
        <f t="array" aca="1" ref="H247" ca="1">_FV(A247,"52 week high",TRUE)</f>
        <v>229</v>
      </c>
      <c r="I247" s="40">
        <f t="shared" ca="1" si="12"/>
        <v>15.489082969432314</v>
      </c>
      <c r="J247" s="39" t="str">
        <f t="shared" ca="1" si="13"/>
        <v>WATCH</v>
      </c>
      <c r="K247" s="54">
        <f t="shared" ca="1" si="14"/>
        <v>-12.517441860465116</v>
      </c>
      <c r="L247" s="20">
        <f t="array" aca="1" ref="L247" ca="1">_FV(A247,"Market cap",TRUE)/10000000</f>
        <v>27122.23</v>
      </c>
      <c r="M247" s="21" t="str">
        <f t="shared" ca="1" si="15"/>
        <v>MC</v>
      </c>
      <c r="N247" s="37" t="str">
        <f t="array" aca="1" ref="N247" ca="1">_FV(A247,"Industry")</f>
        <v>Natural Gas Utilities</v>
      </c>
    </row>
    <row r="248" spans="1:14">
      <c r="A248" s="107" t="e" vm="362">
        <v>#VALUE!</v>
      </c>
      <c r="B248" s="33">
        <f t="array" aca="1" ref="B248" ca="1">_FV(A248,"Change (%)",TRUE)</f>
        <v>-9.554E-3</v>
      </c>
      <c r="C248" s="35">
        <f t="array" aca="1" ref="C248" ca="1">_FV(A248,"Previous close",TRUE)</f>
        <v>423.9</v>
      </c>
      <c r="D248" s="35">
        <f t="array" aca="1" ref="D248" ca="1">_FV(A248,"Price")</f>
        <v>419.85</v>
      </c>
      <c r="E248" s="35">
        <f t="array" aca="1" ref="E248" ca="1">_FV(A248,"Low")</f>
        <v>419.05</v>
      </c>
      <c r="F248" s="35">
        <f t="array" aca="1" ref="F248" ca="1">_FV(A248,"High")</f>
        <v>427.55</v>
      </c>
      <c r="G248" s="35">
        <f t="array" aca="1" ref="G248" ca="1">_FV(A248,"52 week low",TRUE)</f>
        <v>312.55</v>
      </c>
      <c r="H248" s="36">
        <f t="array" aca="1" ref="H248" ca="1">_FV(A248,"52 week high",TRUE)</f>
        <v>430</v>
      </c>
      <c r="I248" s="40">
        <f t="shared" ca="1" si="12"/>
        <v>2.3604651162790646</v>
      </c>
      <c r="J248" s="39" t="str">
        <f t="shared" ca="1" si="13"/>
        <v>WATCH</v>
      </c>
      <c r="K248" s="54">
        <f t="shared" ca="1" si="14"/>
        <v>-34.330507118860986</v>
      </c>
      <c r="L248" s="20">
        <f t="array" aca="1" ref="L248" ca="1">_FV(A248,"Market cap",TRUE)/10000000</f>
        <v>111788.2</v>
      </c>
      <c r="M248" s="21" t="str">
        <f t="shared" ca="1" si="15"/>
        <v>LC</v>
      </c>
      <c r="N248" s="37" t="str">
        <f t="array" aca="1" ref="N248" ca="1">_FV(A248,"Industry")</f>
        <v>Telecommunications Services</v>
      </c>
    </row>
    <row r="249" spans="1:14">
      <c r="A249" s="107" t="e" vm="363">
        <v>#VALUE!</v>
      </c>
      <c r="B249" s="33">
        <f t="array" aca="1" ref="B249" ca="1">_FV(A249,"Change (%)",TRUE)</f>
        <v>2.1229999999999999E-3</v>
      </c>
      <c r="C249" s="35">
        <f t="array" aca="1" ref="C249" ca="1">_FV(A249,"Previous close",TRUE)</f>
        <v>848.05</v>
      </c>
      <c r="D249" s="35">
        <f t="array" aca="1" ref="D249" ca="1">_FV(A249,"Price")</f>
        <v>849.85</v>
      </c>
      <c r="E249" s="35">
        <f t="array" aca="1" ref="E249" ca="1">_FV(A249,"Low")</f>
        <v>837.1</v>
      </c>
      <c r="F249" s="35">
        <f t="array" aca="1" ref="F249" ca="1">_FV(A249,"High")</f>
        <v>858.9</v>
      </c>
      <c r="G249" s="35">
        <f t="array" aca="1" ref="G249" ca="1">_FV(A249,"52 week low",TRUE)</f>
        <v>606</v>
      </c>
      <c r="H249" s="36">
        <f t="array" aca="1" ref="H249" ca="1">_FV(A249,"52 week high",TRUE)</f>
        <v>1086.55</v>
      </c>
      <c r="I249" s="40">
        <f t="shared" ca="1" si="12"/>
        <v>21.78454742073535</v>
      </c>
      <c r="J249" s="39" t="str">
        <f t="shared" ca="1" si="13"/>
        <v>HMC BUY</v>
      </c>
      <c r="K249" s="54">
        <f t="shared" ca="1" si="14"/>
        <v>-40.239273927392745</v>
      </c>
      <c r="L249" s="20">
        <f t="array" aca="1" ref="L249" ca="1">_FV(A249,"Market cap",TRUE)/10000000</f>
        <v>66209.77</v>
      </c>
      <c r="M249" s="21" t="str">
        <f t="shared" ca="1" si="15"/>
        <v>HMC</v>
      </c>
      <c r="N249" s="37" t="str">
        <f t="array" aca="1" ref="N249" ca="1">_FV(A249,"Industry")</f>
        <v>Banking Services</v>
      </c>
    </row>
    <row r="250" spans="1:14">
      <c r="A250" s="107" t="e" vm="173">
        <v>#VALUE!</v>
      </c>
      <c r="B250" s="33">
        <f t="array" aca="1" ref="B250" ca="1">_FV(A250,"Change (%)",TRUE)</f>
        <v>-7.316E-4</v>
      </c>
      <c r="C250" s="35">
        <f t="array" aca="1" ref="C250" ca="1">_FV(A250,"Previous close",TRUE)</f>
        <v>1366.8</v>
      </c>
      <c r="D250" s="35">
        <f t="array" aca="1" ref="D250" ca="1">_FV(A250,"Price")</f>
        <v>1365.8</v>
      </c>
      <c r="E250" s="35">
        <f t="array" aca="1" ref="E250" ca="1">_FV(A250,"Low")</f>
        <v>1359.5</v>
      </c>
      <c r="F250" s="35">
        <f t="array" aca="1" ref="F250" ca="1">_FV(A250,"High")</f>
        <v>1374</v>
      </c>
      <c r="G250" s="35">
        <f t="array" aca="1" ref="G250" ca="1">_FV(A250,"52 week low",TRUE)</f>
        <v>1157</v>
      </c>
      <c r="H250" s="36">
        <f t="array" aca="1" ref="H250" ca="1">_FV(A250,"52 week high",TRUE)</f>
        <v>1825.78</v>
      </c>
      <c r="I250" s="40">
        <f t="shared" ca="1" si="12"/>
        <v>25.193615879240653</v>
      </c>
      <c r="J250" s="39" t="str">
        <f t="shared" ca="1" si="13"/>
        <v>HMC BUY</v>
      </c>
      <c r="K250" s="54">
        <f t="shared" ca="1" si="14"/>
        <v>-18.046672428694897</v>
      </c>
      <c r="L250" s="20">
        <f t="array" aca="1" ref="L250" ca="1">_FV(A250,"Market cap",TRUE)/10000000</f>
        <v>88490.76</v>
      </c>
      <c r="M250" s="21" t="str">
        <f t="shared" ca="1" si="15"/>
        <v>HMC</v>
      </c>
      <c r="N250" s="37" t="str">
        <f t="array" aca="1" ref="N250" ca="1">_FV(A250,"Industry")</f>
        <v>Software &amp; IT Services</v>
      </c>
    </row>
    <row r="251" spans="1:14">
      <c r="A251" s="107" t="e" vm="57">
        <v>#VALUE!</v>
      </c>
      <c r="B251" s="33">
        <f t="array" aca="1" ref="B251" ca="1">_FV(A251,"Change (%)",TRUE)</f>
        <v>-4.3890000000000005E-3</v>
      </c>
      <c r="C251" s="35">
        <f t="array" aca="1" ref="C251" ca="1">_FV(A251,"Previous close",TRUE)</f>
        <v>1663.4</v>
      </c>
      <c r="D251" s="35">
        <f t="array" aca="1" ref="D251" ca="1">_FV(A251,"Price")</f>
        <v>1656.1</v>
      </c>
      <c r="E251" s="35">
        <f t="array" aca="1" ref="E251" ca="1">_FV(A251,"Low")</f>
        <v>1651.7</v>
      </c>
      <c r="F251" s="35">
        <f t="array" aca="1" ref="F251" ca="1">_FV(A251,"High")</f>
        <v>1668.8</v>
      </c>
      <c r="G251" s="35">
        <f t="array" aca="1" ref="G251" ca="1">_FV(A251,"52 week low",TRUE)</f>
        <v>1307</v>
      </c>
      <c r="H251" s="36">
        <f t="array" aca="1" ref="H251" ca="1">_FV(A251,"52 week high",TRUE)</f>
        <v>1982.8</v>
      </c>
      <c r="I251" s="40">
        <f t="shared" ca="1" si="12"/>
        <v>16.476699616703655</v>
      </c>
      <c r="J251" s="39" t="str">
        <f t="shared" ca="1" si="13"/>
        <v>SURE HLC BUY</v>
      </c>
      <c r="K251" s="54">
        <f t="shared" ca="1" si="14"/>
        <v>-26.710022953328227</v>
      </c>
      <c r="L251" s="20">
        <f t="array" aca="1" ref="L251" ca="1">_FV(A251,"Market cap",TRUE)/10000000</f>
        <v>669987.9</v>
      </c>
      <c r="M251" s="21" t="str">
        <f t="shared" ca="1" si="15"/>
        <v>HLC</v>
      </c>
      <c r="N251" s="37" t="str">
        <f t="array" aca="1" ref="N251" ca="1">_FV(A251,"Industry")</f>
        <v>Software &amp; IT Services</v>
      </c>
    </row>
    <row r="252" spans="1:14">
      <c r="A252" s="107" t="e" vm="364">
        <v>#VALUE!</v>
      </c>
      <c r="B252" s="33">
        <f t="array" aca="1" ref="B252" ca="1">_FV(A252,"Change (%)",TRUE)</f>
        <v>-2.5249999999999999E-3</v>
      </c>
      <c r="C252" s="35">
        <f t="array" aca="1" ref="C252" ca="1">_FV(A252,"Previous close",TRUE)</f>
        <v>126.75</v>
      </c>
      <c r="D252" s="35">
        <f t="array" aca="1" ref="D252" ca="1">_FV(A252,"Price")</f>
        <v>126.43</v>
      </c>
      <c r="E252" s="35">
        <f t="array" aca="1" ref="E252" ca="1">_FV(A252,"Low")</f>
        <v>126</v>
      </c>
      <c r="F252" s="35">
        <f t="array" aca="1" ref="F252" ca="1">_FV(A252,"High")</f>
        <v>128.87</v>
      </c>
      <c r="G252" s="35">
        <f t="array" aca="1" ref="G252" ca="1">_FV(A252,"52 week low",TRUE)</f>
        <v>118.28</v>
      </c>
      <c r="H252" s="36">
        <f t="array" aca="1" ref="H252" ca="1">_FV(A252,"52 week high",TRUE)</f>
        <v>198.13</v>
      </c>
      <c r="I252" s="40">
        <f t="shared" ca="1" si="12"/>
        <v>36.188361177004992</v>
      </c>
      <c r="J252" s="39" t="str">
        <f t="shared" ca="1" si="13"/>
        <v>MC BUY</v>
      </c>
      <c r="K252" s="54">
        <f t="shared" ca="1" si="14"/>
        <v>-6.8904294893473166</v>
      </c>
      <c r="L252" s="20">
        <f t="array" aca="1" ref="L252" ca="1">_FV(A252,"Market cap",TRUE)/10000000</f>
        <v>21850.11</v>
      </c>
      <c r="M252" s="21" t="str">
        <f t="shared" ca="1" si="15"/>
        <v>MC</v>
      </c>
      <c r="N252" s="37" t="str">
        <f t="array" aca="1" ref="N252" ca="1">_FV(A252,"Industry")</f>
        <v>Renewable Energy</v>
      </c>
    </row>
    <row r="253" spans="1:14">
      <c r="A253" s="107" t="e" vm="365">
        <v>#VALUE!</v>
      </c>
      <c r="B253" s="33">
        <f t="array" aca="1" ref="B253" ca="1">_FV(A253,"Change (%)",TRUE)</f>
        <v>-1.8610000000000002E-2</v>
      </c>
      <c r="C253" s="35">
        <f t="array" aca="1" ref="C253" ca="1">_FV(A253,"Previous close",TRUE)</f>
        <v>1010.2</v>
      </c>
      <c r="D253" s="35">
        <f t="array" aca="1" ref="D253" ca="1">_FV(A253,"Price")</f>
        <v>991.4</v>
      </c>
      <c r="E253" s="35">
        <f t="array" aca="1" ref="E253" ca="1">_FV(A253,"Low")</f>
        <v>989.1</v>
      </c>
      <c r="F253" s="35">
        <f t="array" aca="1" ref="F253" ca="1">_FV(A253,"High")</f>
        <v>1018</v>
      </c>
      <c r="G253" s="35">
        <f t="array" aca="1" ref="G253" ca="1">_FV(A253,"52 week low",TRUE)</f>
        <v>575.95000000000005</v>
      </c>
      <c r="H253" s="36">
        <f t="array" aca="1" ref="H253" ca="1">_FV(A253,"52 week high",TRUE)</f>
        <v>1251.8599999999999</v>
      </c>
      <c r="I253" s="40">
        <f t="shared" ca="1" si="12"/>
        <v>20.805840908727809</v>
      </c>
      <c r="J253" s="39" t="str">
        <f t="shared" ca="1" si="13"/>
        <v>FIRST MC BUY</v>
      </c>
      <c r="K253" s="54">
        <f t="shared" ca="1" si="14"/>
        <v>-72.132997656046513</v>
      </c>
      <c r="L253" s="20">
        <f t="array" aca="1" ref="L253" ca="1">_FV(A253,"Market cap",TRUE)/10000000</f>
        <v>13811.73</v>
      </c>
      <c r="M253" s="21" t="str">
        <f t="shared" ca="1" si="15"/>
        <v>MC</v>
      </c>
      <c r="N253" s="37" t="str">
        <f t="array" aca="1" ref="N253" ca="1">_FV(A253,"Industry")</f>
        <v>Financial Technology (Fintech) &amp; Infrastructure</v>
      </c>
    </row>
    <row r="254" spans="1:14">
      <c r="A254" s="107" t="e" vm="56">
        <v>#VALUE!</v>
      </c>
      <c r="B254" s="33">
        <f t="array" aca="1" ref="B254" ca="1">_FV(A254,"Change (%)",TRUE)</f>
        <v>-1.4760000000000001E-3</v>
      </c>
      <c r="C254" s="35">
        <f t="array" aca="1" ref="C254" ca="1">_FV(A254,"Previous close",TRUE)</f>
        <v>5081.5</v>
      </c>
      <c r="D254" s="35">
        <f t="array" aca="1" ref="D254" ca="1">_FV(A254,"Price")</f>
        <v>5074</v>
      </c>
      <c r="E254" s="35">
        <f t="array" aca="1" ref="E254" ca="1">_FV(A254,"Low")</f>
        <v>5031</v>
      </c>
      <c r="F254" s="35">
        <f t="array" aca="1" ref="F254" ca="1">_FV(A254,"High")</f>
        <v>5098</v>
      </c>
      <c r="G254" s="35">
        <f t="array" aca="1" ref="G254" ca="1">_FV(A254,"52 week low",TRUE)</f>
        <v>3945</v>
      </c>
      <c r="H254" s="36">
        <f t="array" aca="1" ref="H254" ca="1">_FV(A254,"52 week high",TRUE)</f>
        <v>6232.5</v>
      </c>
      <c r="I254" s="40">
        <f t="shared" ca="1" si="12"/>
        <v>18.588046530284796</v>
      </c>
      <c r="J254" s="39" t="str">
        <f t="shared" ca="1" si="13"/>
        <v>LC BUY</v>
      </c>
      <c r="K254" s="54">
        <f t="shared" ca="1" si="14"/>
        <v>-28.618504435994929</v>
      </c>
      <c r="L254" s="20">
        <f t="array" aca="1" ref="L254" ca="1">_FV(A254,"Market cap",TRUE)/10000000</f>
        <v>196156.1</v>
      </c>
      <c r="M254" s="21" t="str">
        <f t="shared" ca="1" si="15"/>
        <v>LC</v>
      </c>
      <c r="N254" s="37" t="str">
        <f t="array" aca="1" ref="N254" ca="1">_FV(A254,"Industry")</f>
        <v>Passenger Transportation Services</v>
      </c>
    </row>
    <row r="255" spans="1:14">
      <c r="A255" s="107" t="e" vm="366">
        <v>#VALUE!</v>
      </c>
      <c r="B255" s="33">
        <f t="array" aca="1" ref="B255" ca="1">_FV(A255,"Change (%)",TRUE)</f>
        <v>1.8547000000000001E-2</v>
      </c>
      <c r="C255" s="35">
        <f t="array" aca="1" ref="C255" ca="1">_FV(A255,"Previous close",TRUE)</f>
        <v>328.9</v>
      </c>
      <c r="D255" s="35">
        <f t="array" aca="1" ref="D255" ca="1">_FV(A255,"Price")</f>
        <v>335</v>
      </c>
      <c r="E255" s="35">
        <f t="array" aca="1" ref="E255" ca="1">_FV(A255,"Low")</f>
        <v>327.39999999999998</v>
      </c>
      <c r="F255" s="35">
        <f t="array" aca="1" ref="F255" ca="1">_FV(A255,"High")</f>
        <v>337.4</v>
      </c>
      <c r="G255" s="35">
        <f t="array" aca="1" ref="G255" ca="1">_FV(A255,"52 week low",TRUE)</f>
        <v>282</v>
      </c>
      <c r="H255" s="36">
        <f t="array" aca="1" ref="H255" ca="1">_FV(A255,"52 week high",TRUE)</f>
        <v>642.29999999999995</v>
      </c>
      <c r="I255" s="40">
        <f t="shared" ca="1" si="12"/>
        <v>47.843686750739529</v>
      </c>
      <c r="J255" s="39" t="str">
        <f t="shared" ca="1" si="13"/>
        <v>SURE MC BUY</v>
      </c>
      <c r="K255" s="54">
        <f t="shared" ca="1" si="14"/>
        <v>-18.794326241134751</v>
      </c>
      <c r="L255" s="20">
        <f t="array" aca="1" ref="L255" ca="1">_FV(A255,"Market cap",TRUE)/10000000</f>
        <v>14213.73</v>
      </c>
      <c r="M255" s="21" t="str">
        <f t="shared" ca="1" si="15"/>
        <v>MC</v>
      </c>
      <c r="N255" s="37" t="str">
        <f t="array" aca="1" ref="N255" ca="1">_FV(A255,"Industry")</f>
        <v>Professional &amp; Commercial Services</v>
      </c>
    </row>
    <row r="256" spans="1:14">
      <c r="A256" s="107" t="e" vm="367">
        <v>#VALUE!</v>
      </c>
      <c r="B256" s="33">
        <f t="array" aca="1" ref="B256" ca="1">_FV(A256,"Change (%)",TRUE)</f>
        <v>-1.0858000000000001E-2</v>
      </c>
      <c r="C256" s="35">
        <f t="array" aca="1" ref="C256" ca="1">_FV(A256,"Previous close",TRUE)</f>
        <v>1749.8</v>
      </c>
      <c r="D256" s="35">
        <f t="array" aca="1" ref="D256" ca="1">_FV(A256,"Price")</f>
        <v>1730.8</v>
      </c>
      <c r="E256" s="35">
        <f t="array" aca="1" ref="E256" ca="1">_FV(A256,"Low")</f>
        <v>1721.3</v>
      </c>
      <c r="F256" s="35">
        <f t="array" aca="1" ref="F256" ca="1">_FV(A256,"High")</f>
        <v>1749.8</v>
      </c>
      <c r="G256" s="35">
        <f t="array" aca="1" ref="G256" ca="1">_FV(A256,"52 week low",TRUE)</f>
        <v>1236.8</v>
      </c>
      <c r="H256" s="36">
        <f t="array" aca="1" ref="H256" ca="1">_FV(A256,"52 week high",TRUE)</f>
        <v>2189</v>
      </c>
      <c r="I256" s="40">
        <f t="shared" ref="I256:I319" ca="1" si="16">(H256-D256)*100/H256</f>
        <v>20.931932389218826</v>
      </c>
      <c r="J256" s="39" t="str">
        <f t="shared" ref="J256:J319" ca="1" si="17">IF(AND(M256="HLC", I256&gt;12), "SURE HLC BUY",IF(AND(M256="HLC", I256&gt;7), "FIRST HLC BUY",IF(AND(M256="LC", I256&gt;20), "SURE LC BUY",IF(AND(M256="LC", I256&gt;10), "LC BUY",IF(AND(M256="HMC", I256&gt;30), "SURE HMC BUY",IF(AND(M256="HMC", I256&gt;20), "HMC BUY",IF(AND(M256="HMC", I256&gt;15), "FIRST HMC BUY",IF(AND(M256="MC", I256&gt;40), "SURE MC BUY",IF(AND(M256="MC", I256&gt;30), "MC BUY",IF(AND(M256="MC", I256&gt;20), "FIRST MC BUY",IF(AND(M256="HSC", I256&gt;60), "SURE HSC BUY",IF(AND(M256="HSC", I256&gt;50), "HSC BUY",IF(AND(M256="HSC", I256&gt;40), "FIRST HSC BUY",IF(AND(M256="SC", I256&gt;70), "SURE SC BUY",IF(AND(M256="SC", I256&gt;60), "SC BUY",IF(AND(M256="SC", I256&gt;50), "FIRST SC BUY",IF(AND(M256="VSC", I256&gt;80), "SURE VSC BUY",IF(AND(M256="VSC", I256&gt;70), "VSC BUY",IF(AND(M256="VSC", I256&gt;60), "FIRST VSC BUY","WATCH")))))))))))))))))))</f>
        <v>FIRST MC BUY</v>
      </c>
      <c r="K256" s="54">
        <f t="shared" ref="K256:K319" ca="1" si="18">(G256-D256)*100/G256</f>
        <v>-39.941785252263905</v>
      </c>
      <c r="L256" s="20">
        <f t="array" aca="1" ref="L256" ca="1">_FV(A256,"Market cap",TRUE)/10000000</f>
        <v>29283.24</v>
      </c>
      <c r="M256" s="21" t="str">
        <f t="shared" ref="M256:M319" ca="1" si="19">IF(L256&gt;500000,"HLC",IF(L256 &gt;100000,"LC",IF(L256 &gt;40000,"HMC",IF(L256 &gt;10000,"MC",IF(L256 &gt;=5000,"HSC",IF(L256 &gt;1000,"SC","VSC"))))))</f>
        <v>MC</v>
      </c>
      <c r="N256" s="37" t="str">
        <f t="array" aca="1" ref="N256" ca="1">_FV(A256,"Industry")</f>
        <v>Software &amp; IT Services</v>
      </c>
    </row>
    <row r="257" spans="1:14">
      <c r="A257" s="107" t="e" vm="368">
        <v>#VALUE!</v>
      </c>
      <c r="B257" s="33">
        <f t="array" aca="1" ref="B257" ca="1">_FV(A257,"Change (%)",TRUE)</f>
        <v>1.7742000000000001E-2</v>
      </c>
      <c r="C257" s="35">
        <f t="array" aca="1" ref="C257" ca="1">_FV(A257,"Previous close",TRUE)</f>
        <v>1414.7</v>
      </c>
      <c r="D257" s="35">
        <f t="array" aca="1" ref="D257" ca="1">_FV(A257,"Price")</f>
        <v>1439.8</v>
      </c>
      <c r="E257" s="35">
        <f t="array" aca="1" ref="E257" ca="1">_FV(A257,"Low")</f>
        <v>1398.1</v>
      </c>
      <c r="F257" s="35">
        <f t="array" aca="1" ref="F257" ca="1">_FV(A257,"High")</f>
        <v>1446</v>
      </c>
      <c r="G257" s="35">
        <f t="array" aca="1" ref="G257" ca="1">_FV(A257,"52 week low",TRUE)</f>
        <v>1168.2</v>
      </c>
      <c r="H257" s="36">
        <f t="array" aca="1" ref="H257" ca="1">_FV(A257,"52 week high",TRUE)</f>
        <v>1755.9</v>
      </c>
      <c r="I257" s="40">
        <f t="shared" ca="1" si="16"/>
        <v>18.002164132353787</v>
      </c>
      <c r="J257" s="39" t="str">
        <f t="shared" ca="1" si="17"/>
        <v>WATCH</v>
      </c>
      <c r="K257" s="54">
        <f t="shared" ca="1" si="18"/>
        <v>-23.249443588426633</v>
      </c>
      <c r="L257" s="20">
        <f t="array" aca="1" ref="L257" ca="1">_FV(A257,"Market cap",TRUE)/10000000</f>
        <v>35891.53</v>
      </c>
      <c r="M257" s="21" t="str">
        <f t="shared" ca="1" si="19"/>
        <v>MC</v>
      </c>
      <c r="N257" s="37" t="str">
        <f t="array" aca="1" ref="N257" ca="1">_FV(A257,"Industry")</f>
        <v>Pharmaceuticals</v>
      </c>
    </row>
    <row r="258" spans="1:14">
      <c r="A258" s="107" t="e" vm="369">
        <v>#VALUE!</v>
      </c>
      <c r="B258" s="33">
        <f t="array" aca="1" ref="B258" ca="1">_FV(A258,"Change (%)",TRUE)</f>
        <v>1.7080000000000001E-3</v>
      </c>
      <c r="C258" s="35">
        <f t="array" aca="1" ref="C258" ca="1">_FV(A258,"Previous close",TRUE)</f>
        <v>1815.5</v>
      </c>
      <c r="D258" s="35">
        <f t="array" aca="1" ref="D258" ca="1">_FV(A258,"Price")</f>
        <v>1818.6</v>
      </c>
      <c r="E258" s="35">
        <f t="array" aca="1" ref="E258" ca="1">_FV(A258,"Low")</f>
        <v>1801.7</v>
      </c>
      <c r="F258" s="35">
        <f t="array" aca="1" ref="F258" ca="1">_FV(A258,"High")</f>
        <v>1827.5</v>
      </c>
      <c r="G258" s="35">
        <f t="array" aca="1" ref="G258" ca="1">_FV(A258,"52 week low",TRUE)</f>
        <v>1385.75</v>
      </c>
      <c r="H258" s="36">
        <f t="array" aca="1" ref="H258" ca="1">_FV(A258,"52 week high",TRUE)</f>
        <v>1918.5</v>
      </c>
      <c r="I258" s="40">
        <f t="shared" ca="1" si="16"/>
        <v>5.2071931196247112</v>
      </c>
      <c r="J258" s="39" t="str">
        <f t="shared" ca="1" si="17"/>
        <v>WATCH</v>
      </c>
      <c r="K258" s="54">
        <f t="shared" ca="1" si="18"/>
        <v>-31.23579289193577</v>
      </c>
      <c r="L258" s="20">
        <f t="array" aca="1" ref="L258" ca="1">_FV(A258,"Market cap",TRUE)/10000000</f>
        <v>28439.98</v>
      </c>
      <c r="M258" s="21" t="str">
        <f t="shared" ca="1" si="19"/>
        <v>MC</v>
      </c>
      <c r="N258" s="37" t="str">
        <f t="array" aca="1" ref="N258" ca="1">_FV(A258,"Industry")</f>
        <v>Pharmaceuticals</v>
      </c>
    </row>
    <row r="259" spans="1:14">
      <c r="A259" s="107" t="e" vm="370">
        <v>#VALUE!</v>
      </c>
      <c r="B259" s="33">
        <f t="array" aca="1" ref="B259" ca="1">_FV(A259,"Change (%)",TRUE)</f>
        <v>-1.142E-3</v>
      </c>
      <c r="C259" s="35">
        <f t="array" aca="1" ref="C259" ca="1">_FV(A259,"Previous close",TRUE)</f>
        <v>5692</v>
      </c>
      <c r="D259" s="35">
        <f t="array" aca="1" ref="D259" ca="1">_FV(A259,"Price")</f>
        <v>5685.5</v>
      </c>
      <c r="E259" s="35">
        <f t="array" aca="1" ref="E259" ca="1">_FV(A259,"Low")</f>
        <v>5613</v>
      </c>
      <c r="F259" s="35">
        <f t="array" aca="1" ref="F259" ca="1">_FV(A259,"High")</f>
        <v>5739</v>
      </c>
      <c r="G259" s="35">
        <f t="array" aca="1" ref="G259" ca="1">_FV(A259,"52 week low",TRUE)</f>
        <v>4218.8999999999996</v>
      </c>
      <c r="H259" s="36">
        <f t="array" aca="1" ref="H259" ca="1">_FV(A259,"52 week high",TRUE)</f>
        <v>7565.5</v>
      </c>
      <c r="I259" s="40">
        <f t="shared" ca="1" si="16"/>
        <v>24.849646421254377</v>
      </c>
      <c r="J259" s="39" t="str">
        <f t="shared" ca="1" si="17"/>
        <v>HMC BUY</v>
      </c>
      <c r="K259" s="54">
        <f t="shared" ca="1" si="18"/>
        <v>-34.762615847732832</v>
      </c>
      <c r="L259" s="20">
        <f t="array" aca="1" ref="L259" ca="1">_FV(A259,"Market cap",TRUE)/10000000</f>
        <v>43930.87</v>
      </c>
      <c r="M259" s="21" t="str">
        <f t="shared" ca="1" si="19"/>
        <v>HMC</v>
      </c>
      <c r="N259" s="37" t="str">
        <f t="array" aca="1" ref="N259" ca="1">_FV(A259,"Industry")</f>
        <v>Construction Materials</v>
      </c>
    </row>
    <row r="260" spans="1:14">
      <c r="A260" s="107" t="e" vm="371">
        <v>#VALUE!</v>
      </c>
      <c r="B260" s="33">
        <f t="array" aca="1" ref="B260" ca="1">_FV(A260,"Change (%)",TRUE)</f>
        <v>-2.7268000000000001E-2</v>
      </c>
      <c r="C260" s="35">
        <f t="array" aca="1" ref="C260" ca="1">_FV(A260,"Previous close",TRUE)</f>
        <v>639.95000000000005</v>
      </c>
      <c r="D260" s="35">
        <f t="array" aca="1" ref="D260" ca="1">_FV(A260,"Price")</f>
        <v>622.5</v>
      </c>
      <c r="E260" s="35">
        <f t="array" aca="1" ref="E260" ca="1">_FV(A260,"Low")</f>
        <v>615.6</v>
      </c>
      <c r="F260" s="35">
        <f t="array" aca="1" ref="F260" ca="1">_FV(A260,"High")</f>
        <v>640.1</v>
      </c>
      <c r="G260" s="35">
        <f t="array" aca="1" ref="G260" ca="1">_FV(A260,"52 week low",TRUE)</f>
        <v>489.8</v>
      </c>
      <c r="H260" s="36">
        <f t="array" aca="1" ref="H260" ca="1">_FV(A260,"52 week high",TRUE)</f>
        <v>860</v>
      </c>
      <c r="I260" s="40">
        <f t="shared" ca="1" si="16"/>
        <v>27.61627906976744</v>
      </c>
      <c r="J260" s="39" t="str">
        <f t="shared" ca="1" si="17"/>
        <v>FIRST MC BUY</v>
      </c>
      <c r="K260" s="54">
        <f t="shared" ca="1" si="18"/>
        <v>-27.092690894242544</v>
      </c>
      <c r="L260" s="20">
        <f t="array" aca="1" ref="L260" ca="1">_FV(A260,"Market cap",TRUE)/10000000</f>
        <v>15134.45</v>
      </c>
      <c r="M260" s="21" t="str">
        <f t="shared" ca="1" si="19"/>
        <v>MC</v>
      </c>
      <c r="N260" s="37" t="str">
        <f t="array" aca="1" ref="N260" ca="1">_FV(A260,"Industry")</f>
        <v>Automobiles &amp; Auto Parts</v>
      </c>
    </row>
    <row r="261" spans="1:14">
      <c r="A261" s="107" t="e" vm="372">
        <v>#VALUE!</v>
      </c>
      <c r="B261" s="33">
        <f t="array" aca="1" ref="B261" ca="1">_FV(A261,"Change (%)",TRUE)</f>
        <v>-2.1726000000000002E-2</v>
      </c>
      <c r="C261" s="35">
        <f t="array" aca="1" ref="C261" ca="1">_FV(A261,"Previous close",TRUE)</f>
        <v>508.6</v>
      </c>
      <c r="D261" s="35">
        <f t="array" aca="1" ref="D261" ca="1">_FV(A261,"Price")</f>
        <v>497.55</v>
      </c>
      <c r="E261" s="35">
        <f t="array" aca="1" ref="E261" ca="1">_FV(A261,"Low")</f>
        <v>496.5</v>
      </c>
      <c r="F261" s="35">
        <f t="array" aca="1" ref="F261" ca="1">_FV(A261,"High")</f>
        <v>508.6</v>
      </c>
      <c r="G261" s="35">
        <f t="array" aca="1" ref="G261" ca="1">_FV(A261,"52 week low",TRUE)</f>
        <v>243</v>
      </c>
      <c r="H261" s="36">
        <f t="array" aca="1" ref="H261" ca="1">_FV(A261,"52 week high",TRUE)</f>
        <v>522.04999999999995</v>
      </c>
      <c r="I261" s="40">
        <f t="shared" ca="1" si="16"/>
        <v>4.6930370654151803</v>
      </c>
      <c r="J261" s="39" t="str">
        <f t="shared" ca="1" si="17"/>
        <v>WATCH</v>
      </c>
      <c r="K261" s="54">
        <f t="shared" ca="1" si="18"/>
        <v>-104.75308641975309</v>
      </c>
      <c r="L261" s="20">
        <f t="array" aca="1" ref="L261" ca="1">_FV(A261,"Market cap",TRUE)/10000000</f>
        <v>13633.87</v>
      </c>
      <c r="M261" s="21" t="str">
        <f t="shared" ca="1" si="19"/>
        <v>MC</v>
      </c>
      <c r="N261" s="37" t="str">
        <f t="array" aca="1" ref="N261" ca="1">_FV(A261,"Industry")</f>
        <v>Automobiles &amp; Auto Parts</v>
      </c>
    </row>
    <row r="262" spans="1:14">
      <c r="A262" s="107" t="e" vm="373">
        <v>#VALUE!</v>
      </c>
      <c r="B262" s="33">
        <f t="array" aca="1" ref="B262" ca="1">_FV(A262,"Change (%)",TRUE)</f>
        <v>-4.2789999999999998E-3</v>
      </c>
      <c r="C262" s="35">
        <f t="array" aca="1" ref="C262" ca="1">_FV(A262,"Previous close",TRUE)</f>
        <v>144.91</v>
      </c>
      <c r="D262" s="35">
        <f t="array" aca="1" ref="D262" ca="1">_FV(A262,"Price")</f>
        <v>144.29</v>
      </c>
      <c r="E262" s="35">
        <f t="array" aca="1" ref="E262" ca="1">_FV(A262,"Low")</f>
        <v>143.6</v>
      </c>
      <c r="F262" s="35">
        <f t="array" aca="1" ref="F262" ca="1">_FV(A262,"High")</f>
        <v>146.19999999999999</v>
      </c>
      <c r="G262" s="35">
        <f t="array" aca="1" ref="G262" ca="1">_FV(A262,"52 week low",TRUE)</f>
        <v>80.2</v>
      </c>
      <c r="H262" s="36">
        <f t="array" aca="1" ref="H262" ca="1">_FV(A262,"52 week high",TRUE)</f>
        <v>199.8</v>
      </c>
      <c r="I262" s="40">
        <f t="shared" ca="1" si="16"/>
        <v>27.782782782782789</v>
      </c>
      <c r="J262" s="39" t="str">
        <f t="shared" ca="1" si="17"/>
        <v>FIRST MC BUY</v>
      </c>
      <c r="K262" s="54">
        <f t="shared" ca="1" si="18"/>
        <v>-79.912718204488769</v>
      </c>
      <c r="L262" s="20">
        <f t="array" aca="1" ref="L262" ca="1">_FV(A262,"Market cap",TRUE)/10000000</f>
        <v>13858.26</v>
      </c>
      <c r="M262" s="21" t="str">
        <f t="shared" ca="1" si="19"/>
        <v>MC</v>
      </c>
      <c r="N262" s="37" t="str">
        <f t="array" aca="1" ref="N262" ca="1">_FV(A262,"Industry")</f>
        <v>Investment Banking &amp; Investment Services</v>
      </c>
    </row>
    <row r="263" spans="1:14">
      <c r="A263" s="107" t="e" vm="185">
        <v>#VALUE!</v>
      </c>
      <c r="B263" s="33">
        <f t="array" aca="1" ref="B263" ca="1">_FV(A263,"Change (%)",TRUE)</f>
        <v>-1.022E-2</v>
      </c>
      <c r="C263" s="35">
        <f t="array" aca="1" ref="C263" ca="1">_FV(A263,"Previous close",TRUE)</f>
        <v>484.35</v>
      </c>
      <c r="D263" s="35">
        <f t="array" aca="1" ref="D263" ca="1">_FV(A263,"Price")</f>
        <v>479.4</v>
      </c>
      <c r="E263" s="35">
        <f t="array" aca="1" ref="E263" ca="1">_FV(A263,"Low")</f>
        <v>477.3</v>
      </c>
      <c r="F263" s="35">
        <f t="array" aca="1" ref="F263" ca="1">_FV(A263,"High")</f>
        <v>486.95</v>
      </c>
      <c r="G263" s="35">
        <f t="array" aca="1" ref="G263" ca="1">_FV(A263,"52 week low",TRUE)</f>
        <v>418.75</v>
      </c>
      <c r="H263" s="36">
        <f t="array" aca="1" ref="H263" ca="1">_FV(A263,"52 week high",TRUE)</f>
        <v>679.25</v>
      </c>
      <c r="I263" s="40">
        <f t="shared" ca="1" si="16"/>
        <v>29.422156790577848</v>
      </c>
      <c r="J263" s="39" t="str">
        <f t="shared" ca="1" si="17"/>
        <v>HMC BUY</v>
      </c>
      <c r="K263" s="54">
        <f t="shared" ca="1" si="18"/>
        <v>-14.483582089552234</v>
      </c>
      <c r="L263" s="20">
        <f t="array" aca="1" ref="L263" ca="1">_FV(A263,"Market cap",TRUE)/10000000</f>
        <v>84591.86</v>
      </c>
      <c r="M263" s="21" t="str">
        <f t="shared" ca="1" si="19"/>
        <v>HMC</v>
      </c>
      <c r="N263" s="37" t="str">
        <f t="array" aca="1" ref="N263" ca="1">_FV(A263,"Industry")</f>
        <v>Electrical Utilities &amp; IPPs</v>
      </c>
    </row>
    <row r="264" spans="1:14">
      <c r="A264" s="107" t="e" vm="374">
        <v>#VALUE!</v>
      </c>
      <c r="B264" s="33">
        <f t="array" aca="1" ref="B264" ca="1">_FV(A264,"Change (%)",TRUE)</f>
        <v>-1.7113E-2</v>
      </c>
      <c r="C264" s="35">
        <f t="array" aca="1" ref="C264" ca="1">_FV(A264,"Previous close",TRUE)</f>
        <v>289.25</v>
      </c>
      <c r="D264" s="35">
        <f t="array" aca="1" ref="D264" ca="1">_FV(A264,"Price")</f>
        <v>284.3</v>
      </c>
      <c r="E264" s="35">
        <f t="array" aca="1" ref="E264" ca="1">_FV(A264,"Low")</f>
        <v>284</v>
      </c>
      <c r="F264" s="35">
        <f t="array" aca="1" ref="F264" ca="1">_FV(A264,"High")</f>
        <v>288.95</v>
      </c>
      <c r="G264" s="35">
        <f t="array" aca="1" ref="G264" ca="1">_FV(A264,"52 week low",TRUE)</f>
        <v>218.2</v>
      </c>
      <c r="H264" s="36">
        <f t="array" aca="1" ref="H264" ca="1">_FV(A264,"52 week high",TRUE)</f>
        <v>349</v>
      </c>
      <c r="I264" s="40">
        <f t="shared" ca="1" si="16"/>
        <v>18.538681948424067</v>
      </c>
      <c r="J264" s="39" t="str">
        <f t="shared" ca="1" si="17"/>
        <v>FIRST HMC BUY</v>
      </c>
      <c r="K264" s="54">
        <f t="shared" ca="1" si="18"/>
        <v>-30.293308890925765</v>
      </c>
      <c r="L264" s="20">
        <f t="array" aca="1" ref="L264" ca="1">_FV(A264,"Market cap",TRUE)/10000000</f>
        <v>60204.44</v>
      </c>
      <c r="M264" s="21" t="str">
        <f t="shared" ca="1" si="19"/>
        <v>HMC</v>
      </c>
      <c r="N264" s="37" t="str">
        <f t="array" aca="1" ref="N264" ca="1">_FV(A264,"Industry")</f>
        <v>Transport Infrastructure</v>
      </c>
    </row>
    <row r="265" spans="1:14">
      <c r="A265" s="107" t="e" vm="160">
        <v>#VALUE!</v>
      </c>
      <c r="B265" s="33">
        <f t="array" aca="1" ref="B265" ca="1">_FV(A265,"Change (%)",TRUE)</f>
        <v>2.8410000000000002E-3</v>
      </c>
      <c r="C265" s="35">
        <f t="array" aca="1" ref="C265" ca="1">_FV(A265,"Previous close",TRUE)</f>
        <v>1091.3</v>
      </c>
      <c r="D265" s="35">
        <f t="array" aca="1" ref="D265" ca="1">_FV(A265,"Price")</f>
        <v>1094.4000000000001</v>
      </c>
      <c r="E265" s="35">
        <f t="array" aca="1" ref="E265" ca="1">_FV(A265,"Low")</f>
        <v>1082</v>
      </c>
      <c r="F265" s="35">
        <f t="array" aca="1" ref="F265" ca="1">_FV(A265,"High")</f>
        <v>1099.7</v>
      </c>
      <c r="G265" s="35">
        <f t="array" aca="1" ref="G265" ca="1">_FV(A265,"52 week low",TRUE)</f>
        <v>880</v>
      </c>
      <c r="H265" s="36">
        <f t="array" aca="1" ref="H265" ca="1">_FV(A265,"52 week high",TRUE)</f>
        <v>1223.9000000000001</v>
      </c>
      <c r="I265" s="40">
        <f t="shared" ca="1" si="16"/>
        <v>10.58092981452733</v>
      </c>
      <c r="J265" s="39" t="str">
        <f t="shared" ca="1" si="17"/>
        <v>LC BUY</v>
      </c>
      <c r="K265" s="54">
        <f t="shared" ca="1" si="18"/>
        <v>-24.36363636363637</v>
      </c>
      <c r="L265" s="20">
        <f t="array" aca="1" ref="L265" ca="1">_FV(A265,"Market cap",TRUE)/10000000</f>
        <v>266555.2</v>
      </c>
      <c r="M265" s="21" t="str">
        <f t="shared" ca="1" si="19"/>
        <v>LC</v>
      </c>
      <c r="N265" s="37" t="str">
        <f t="array" aca="1" ref="N265" ca="1">_FV(A265,"Industry")</f>
        <v>Metals &amp; Mining</v>
      </c>
    </row>
    <row r="266" spans="1:14">
      <c r="A266" s="107" t="e" vm="375">
        <v>#VALUE!</v>
      </c>
      <c r="B266" s="33">
        <f t="array" aca="1" ref="B266" ca="1">_FV(A266,"Change (%)",TRUE)</f>
        <v>-1.7035999999999999E-2</v>
      </c>
      <c r="C266" s="35">
        <f t="array" aca="1" ref="C266" ca="1">_FV(A266,"Previous close",TRUE)</f>
        <v>17.61</v>
      </c>
      <c r="D266" s="35">
        <f t="array" aca="1" ref="D266" ca="1">_FV(A266,"Price")</f>
        <v>17.309999999999999</v>
      </c>
      <c r="E266" s="35">
        <f t="array" aca="1" ref="E266" ca="1">_FV(A266,"Low")</f>
        <v>17.22</v>
      </c>
      <c r="F266" s="35">
        <f t="array" aca="1" ref="F266" ca="1">_FV(A266,"High")</f>
        <v>17.68</v>
      </c>
      <c r="G266" s="35">
        <f t="array" aca="1" ref="G266" ca="1">_FV(A266,"52 week low",TRUE)</f>
        <v>12.36</v>
      </c>
      <c r="H266" s="36">
        <f t="array" aca="1" ref="H266" ca="1">_FV(A266,"52 week high",TRUE)</f>
        <v>27.7</v>
      </c>
      <c r="I266" s="40">
        <f t="shared" ca="1" si="16"/>
        <v>37.509025270758123</v>
      </c>
      <c r="J266" s="39" t="str">
        <f t="shared" ca="1" si="17"/>
        <v>MC BUY</v>
      </c>
      <c r="K266" s="54">
        <f t="shared" ca="1" si="18"/>
        <v>-40.048543689320383</v>
      </c>
      <c r="L266" s="20">
        <f t="array" aca="1" ref="L266" ca="1">_FV(A266,"Market cap",TRUE)/10000000</f>
        <v>12068.94</v>
      </c>
      <c r="M266" s="21" t="str">
        <f t="shared" ca="1" si="19"/>
        <v>MC</v>
      </c>
      <c r="N266" s="37" t="str">
        <f t="array" aca="1" ref="N266" ca="1">_FV(A266,"Industry")</f>
        <v>Electrical Utilities &amp; IPPs</v>
      </c>
    </row>
    <row r="267" spans="1:14">
      <c r="A267" s="107" t="e" vm="376">
        <v>#VALUE!</v>
      </c>
      <c r="B267" s="33">
        <f t="array" aca="1" ref="B267" ca="1">_FV(A267,"Change (%)",TRUE)</f>
        <v>-7.8549999999999991E-3</v>
      </c>
      <c r="C267" s="35">
        <f t="array" aca="1" ref="C267" ca="1">_FV(A267,"Previous close",TRUE)</f>
        <v>99.3</v>
      </c>
      <c r="D267" s="35">
        <f t="array" aca="1" ref="D267" ca="1">_FV(A267,"Price")</f>
        <v>98.52</v>
      </c>
      <c r="E267" s="35">
        <f t="array" aca="1" ref="E267" ca="1">_FV(A267,"Low")</f>
        <v>98.45</v>
      </c>
      <c r="F267" s="35">
        <f t="array" aca="1" ref="F267" ca="1">_FV(A267,"High")</f>
        <v>99.86</v>
      </c>
      <c r="G267" s="35">
        <f t="array" aca="1" ref="G267" ca="1">_FV(A267,"52 week low",TRUE)</f>
        <v>86.61</v>
      </c>
      <c r="H267" s="36">
        <f t="array" aca="1" ref="H267" ca="1">_FV(A267,"52 week high",TRUE)</f>
        <v>117.25</v>
      </c>
      <c r="I267" s="40">
        <f t="shared" ca="1" si="16"/>
        <v>15.97441364605544</v>
      </c>
      <c r="J267" s="39" t="str">
        <f t="shared" ca="1" si="17"/>
        <v>WATCH</v>
      </c>
      <c r="K267" s="54">
        <f t="shared" ca="1" si="18"/>
        <v>-13.751298926220986</v>
      </c>
      <c r="L267" s="20">
        <f t="array" aca="1" ref="L267" ca="1">_FV(A267,"Market cap",TRUE)/10000000</f>
        <v>10934.74</v>
      </c>
      <c r="M267" s="21" t="str">
        <f t="shared" ca="1" si="19"/>
        <v>MC</v>
      </c>
      <c r="N267" s="37" t="str">
        <f t="array" aca="1" ref="N267" ca="1">_FV(A267,"Industry")</f>
        <v>Banking Services</v>
      </c>
    </row>
    <row r="268" spans="1:14">
      <c r="A268" s="107" t="e" vm="377">
        <v>#VALUE!</v>
      </c>
      <c r="B268" s="33">
        <f t="array" aca="1" ref="B268" ca="1">_FV(A268,"Change (%)",TRUE)</f>
        <v>-3.9569999999999996E-3</v>
      </c>
      <c r="C268" s="35">
        <f t="array" aca="1" ref="C268" ca="1">_FV(A268,"Previous close",TRUE)</f>
        <v>166.78</v>
      </c>
      <c r="D268" s="35">
        <f t="array" aca="1" ref="D268" ca="1">_FV(A268,"Price")</f>
        <v>166.12</v>
      </c>
      <c r="E268" s="35">
        <f t="array" aca="1" ref="E268" ca="1">_FV(A268,"Low")</f>
        <v>165.82</v>
      </c>
      <c r="F268" s="35">
        <f t="array" aca="1" ref="F268" ca="1">_FV(A268,"High")</f>
        <v>168.39</v>
      </c>
      <c r="G268" s="35">
        <f t="array" aca="1" ref="G268" ca="1">_FV(A268,"52 week low",TRUE)</f>
        <v>153</v>
      </c>
      <c r="H268" s="36">
        <f t="array" aca="1" ref="H268" ca="1">_FV(A268,"52 week high",TRUE)</f>
        <v>307.5</v>
      </c>
      <c r="I268" s="40">
        <f t="shared" ca="1" si="16"/>
        <v>45.977235772357723</v>
      </c>
      <c r="J268" s="39" t="str">
        <f t="shared" ca="1" si="17"/>
        <v>SURE MC BUY</v>
      </c>
      <c r="K268" s="54">
        <f t="shared" ca="1" si="18"/>
        <v>-8.5751633986928137</v>
      </c>
      <c r="L268" s="20">
        <f t="array" aca="1" ref="L268" ca="1">_FV(A268,"Market cap",TRUE)/10000000</f>
        <v>10626.65</v>
      </c>
      <c r="M268" s="21" t="str">
        <f t="shared" ca="1" si="19"/>
        <v>MC</v>
      </c>
      <c r="N268" s="37" t="str">
        <f t="array" aca="1" ref="N268" ca="1">_FV(A268,"Industry")</f>
        <v>Metals &amp; Mining</v>
      </c>
    </row>
    <row r="269" spans="1:14">
      <c r="A269" s="107" t="e" vm="378">
        <v>#VALUE!</v>
      </c>
      <c r="B269" s="33">
        <f t="array" aca="1" ref="B269" ca="1">_FV(A269,"Change (%)",TRUE)</f>
        <v>-3.2719999999999997E-3</v>
      </c>
      <c r="C269" s="35">
        <f t="array" aca="1" ref="C269" ca="1">_FV(A269,"Previous close",TRUE)</f>
        <v>794.65</v>
      </c>
      <c r="D269" s="35">
        <f t="array" aca="1" ref="D269" ca="1">_FV(A269,"Price")</f>
        <v>792.05</v>
      </c>
      <c r="E269" s="35">
        <f t="array" aca="1" ref="E269" ca="1">_FV(A269,"Low")</f>
        <v>787.35</v>
      </c>
      <c r="F269" s="35">
        <f t="array" aca="1" ref="F269" ca="1">_FV(A269,"High")</f>
        <v>799.45</v>
      </c>
      <c r="G269" s="35">
        <f t="array" aca="1" ref="G269" ca="1">_FV(A269,"52 week low",TRUE)</f>
        <v>496.6</v>
      </c>
      <c r="H269" s="36">
        <f t="array" aca="1" ref="H269" ca="1">_FV(A269,"52 week high",TRUE)</f>
        <v>826</v>
      </c>
      <c r="I269" s="40">
        <f t="shared" ca="1" si="16"/>
        <v>4.1101694915254292</v>
      </c>
      <c r="J269" s="39" t="str">
        <f t="shared" ca="1" si="17"/>
        <v>WATCH</v>
      </c>
      <c r="K269" s="54">
        <f t="shared" ca="1" si="18"/>
        <v>-59.494563028594428</v>
      </c>
      <c r="L269" s="20">
        <f t="array" aca="1" ref="L269" ca="1">_FV(A269,"Market cap",TRUE)/10000000</f>
        <v>65455.85</v>
      </c>
      <c r="M269" s="21" t="str">
        <f t="shared" ca="1" si="19"/>
        <v>HMC</v>
      </c>
      <c r="N269" s="37" t="str">
        <f t="array" aca="1" ref="N269" ca="1">_FV(A269,"Industry")</f>
        <v>Metals &amp; Mining</v>
      </c>
    </row>
    <row r="270" spans="1:14">
      <c r="A270" s="107" t="e" vm="167">
        <v>#VALUE!</v>
      </c>
      <c r="B270" s="33">
        <f t="array" aca="1" ref="B270" ca="1">_FV(A270,"Change (%)",TRUE)</f>
        <v>-1.2513000000000002E-2</v>
      </c>
      <c r="C270" s="35">
        <f t="array" aca="1" ref="C270" ca="1">_FV(A270,"Previous close",TRUE)</f>
        <v>999</v>
      </c>
      <c r="D270" s="35">
        <f t="array" aca="1" ref="D270" ca="1">_FV(A270,"Price")</f>
        <v>986.5</v>
      </c>
      <c r="E270" s="35">
        <f t="array" aca="1" ref="E270" ca="1">_FV(A270,"Low")</f>
        <v>985.4</v>
      </c>
      <c r="F270" s="35">
        <f t="array" aca="1" ref="F270" ca="1">_FV(A270,"High")</f>
        <v>999</v>
      </c>
      <c r="G270" s="35">
        <f t="array" aca="1" ref="G270" ca="1">_FV(A270,"52 week low",TRUE)</f>
        <v>723.35</v>
      </c>
      <c r="H270" s="36">
        <f t="array" aca="1" ref="H270" ca="1">_FV(A270,"52 week high",TRUE)</f>
        <v>1098</v>
      </c>
      <c r="I270" s="40">
        <f t="shared" ca="1" si="16"/>
        <v>10.154826958105646</v>
      </c>
      <c r="J270" s="39" t="str">
        <f t="shared" ca="1" si="17"/>
        <v>LC BUY</v>
      </c>
      <c r="K270" s="54">
        <f t="shared" ca="1" si="18"/>
        <v>-36.379346098016171</v>
      </c>
      <c r="L270" s="20">
        <f t="array" aca="1" ref="L270" ca="1">_FV(A270,"Market cap",TRUE)/10000000</f>
        <v>101647.1</v>
      </c>
      <c r="M270" s="21" t="str">
        <f t="shared" ca="1" si="19"/>
        <v>LC</v>
      </c>
      <c r="N270" s="37" t="str">
        <f t="array" aca="1" ref="N270" ca="1">_FV(A270,"Industry")</f>
        <v>Metals &amp; Mining</v>
      </c>
    </row>
    <row r="271" spans="1:14">
      <c r="A271" s="107" t="e" vm="67">
        <v>#VALUE!</v>
      </c>
      <c r="B271" s="33">
        <f t="array" aca="1" ref="B271" ca="1">_FV(A271,"Change (%)",TRUE)</f>
        <v>-6.5239999999999994E-3</v>
      </c>
      <c r="C271" s="35">
        <f t="array" aca="1" ref="C271" ca="1">_FV(A271,"Previous close",TRUE)</f>
        <v>298.89999999999998</v>
      </c>
      <c r="D271" s="35">
        <f t="array" aca="1" ref="D271" ca="1">_FV(A271,"Price")</f>
        <v>296.95</v>
      </c>
      <c r="E271" s="35">
        <f t="array" aca="1" ref="E271" ca="1">_FV(A271,"Low")</f>
        <v>296.14999999999998</v>
      </c>
      <c r="F271" s="35">
        <f t="array" aca="1" ref="F271" ca="1">_FV(A271,"High")</f>
        <v>299.8</v>
      </c>
      <c r="G271" s="35">
        <f t="array" aca="1" ref="G271" ca="1">_FV(A271,"52 week low",TRUE)</f>
        <v>198.65</v>
      </c>
      <c r="H271" s="36">
        <f t="array" aca="1" ref="H271" ca="1">_FV(A271,"52 week high",TRUE)</f>
        <v>338.6</v>
      </c>
      <c r="I271" s="40">
        <f t="shared" ca="1" si="16"/>
        <v>12.300649734199656</v>
      </c>
      <c r="J271" s="39" t="str">
        <f t="shared" ca="1" si="17"/>
        <v>LC BUY</v>
      </c>
      <c r="K271" s="54">
        <f t="shared" ca="1" si="18"/>
        <v>-49.484017115529817</v>
      </c>
      <c r="L271" s="20">
        <f t="array" aca="1" ref="L271" ca="1">_FV(A271,"Market cap",TRUE)/10000000</f>
        <v>189895.4</v>
      </c>
      <c r="M271" s="21" t="str">
        <f t="shared" ca="1" si="19"/>
        <v>LC</v>
      </c>
      <c r="N271" s="37" t="str">
        <f t="array" aca="1" ref="N271" ca="1">_FV(A271,"Industry")</f>
        <v>Banking Services</v>
      </c>
    </row>
    <row r="272" spans="1:14">
      <c r="A272" s="107" t="e" vm="69">
        <v>#VALUE!</v>
      </c>
      <c r="B272" s="33">
        <f t="array" aca="1" ref="B272" ca="1">_FV(A272,"Change (%)",TRUE)</f>
        <v>-6.8300000000000001E-3</v>
      </c>
      <c r="C272" s="35">
        <f t="array" aca="1" ref="C272" ca="1">_FV(A272,"Previous close",TRUE)</f>
        <v>563.65</v>
      </c>
      <c r="D272" s="35">
        <f t="array" aca="1" ref="D272" ca="1">_FV(A272,"Price")</f>
        <v>559.79999999999995</v>
      </c>
      <c r="E272" s="35">
        <f t="array" aca="1" ref="E272" ca="1">_FV(A272,"Low")</f>
        <v>555</v>
      </c>
      <c r="F272" s="35">
        <f t="array" aca="1" ref="F272" ca="1">_FV(A272,"High")</f>
        <v>565.95000000000005</v>
      </c>
      <c r="G272" s="35">
        <f t="array" aca="1" ref="G272" ca="1">_FV(A272,"52 week low",TRUE)</f>
        <v>548.4</v>
      </c>
      <c r="H272" s="36">
        <f t="array" aca="1" ref="H272" ca="1">_FV(A272,"52 week high",TRUE)</f>
        <v>796.75</v>
      </c>
      <c r="I272" s="40">
        <f t="shared" ca="1" si="16"/>
        <v>29.739566990900538</v>
      </c>
      <c r="J272" s="39" t="str">
        <f t="shared" ca="1" si="17"/>
        <v>FIRST MC BUY</v>
      </c>
      <c r="K272" s="54">
        <f t="shared" ca="1" si="18"/>
        <v>-2.0787746170678298</v>
      </c>
      <c r="L272" s="20">
        <f t="array" aca="1" ref="L272" ca="1">_FV(A272,"Market cap",TRUE)/10000000</f>
        <v>36806.69</v>
      </c>
      <c r="M272" s="21" t="str">
        <f t="shared" ca="1" si="19"/>
        <v>MC</v>
      </c>
      <c r="N272" s="37" t="str">
        <f t="array" aca="1" ref="N272" ca="1">_FV(A272,"Industry")</f>
        <v>Hotels &amp; Entertainment Services</v>
      </c>
    </row>
    <row r="273" spans="1:14">
      <c r="A273" s="107" t="e" vm="379">
        <v>#VALUE!</v>
      </c>
      <c r="B273" s="33">
        <f t="array" aca="1" ref="B273" ca="1">_FV(A273,"Change (%)",TRUE)</f>
        <v>-3.5180000000000004E-4</v>
      </c>
      <c r="C273" s="35">
        <f t="array" aca="1" ref="C273" ca="1">_FV(A273,"Previous close",TRUE)</f>
        <v>710.7</v>
      </c>
      <c r="D273" s="35">
        <f t="array" aca="1" ref="D273" ca="1">_FV(A273,"Price")</f>
        <v>710.45</v>
      </c>
      <c r="E273" s="35">
        <f t="array" aca="1" ref="E273" ca="1">_FV(A273,"Low")</f>
        <v>708.1</v>
      </c>
      <c r="F273" s="35">
        <f t="array" aca="1" ref="F273" ca="1">_FV(A273,"High")</f>
        <v>726.55</v>
      </c>
      <c r="G273" s="35">
        <f t="array" aca="1" ref="G273" ca="1">_FV(A273,"52 week low",TRUE)</f>
        <v>535.20000000000005</v>
      </c>
      <c r="H273" s="36">
        <f t="array" aca="1" ref="H273" ca="1">_FV(A273,"52 week high",TRUE)</f>
        <v>885</v>
      </c>
      <c r="I273" s="40">
        <f t="shared" ca="1" si="16"/>
        <v>19.723163841807906</v>
      </c>
      <c r="J273" s="39" t="str">
        <f t="shared" ca="1" si="17"/>
        <v>WATCH</v>
      </c>
      <c r="K273" s="54">
        <f t="shared" ca="1" si="18"/>
        <v>-32.744768310911809</v>
      </c>
      <c r="L273" s="20">
        <f t="array" aca="1" ref="L273" ca="1">_FV(A273,"Market cap",TRUE)/10000000</f>
        <v>11227.13</v>
      </c>
      <c r="M273" s="21" t="str">
        <f t="shared" ca="1" si="19"/>
        <v>MC</v>
      </c>
      <c r="N273" s="37" t="str">
        <f t="array" aca="1" ref="N273" ca="1">_FV(A273,"Industry")</f>
        <v>Chemicals</v>
      </c>
    </row>
    <row r="274" spans="1:14">
      <c r="A274" s="107" t="e" vm="380">
        <v>#VALUE!</v>
      </c>
      <c r="B274" s="33">
        <f t="array" aca="1" ref="B274" ca="1">_FV(A274,"Change (%)",TRUE)</f>
        <v>7.4999999999999997E-3</v>
      </c>
      <c r="C274" s="35">
        <f t="array" aca="1" ref="C274" ca="1">_FV(A274,"Previous close",TRUE)</f>
        <v>1066.5999999999999</v>
      </c>
      <c r="D274" s="35">
        <f t="array" aca="1" ref="D274" ca="1">_FV(A274,"Price")</f>
        <v>1074.5999999999999</v>
      </c>
      <c r="E274" s="35">
        <f t="array" aca="1" ref="E274" ca="1">_FV(A274,"Low")</f>
        <v>1057.0999999999999</v>
      </c>
      <c r="F274" s="35">
        <f t="array" aca="1" ref="F274" ca="1">_FV(A274,"High")</f>
        <v>1077</v>
      </c>
      <c r="G274" s="35">
        <f t="array" aca="1" ref="G274" ca="1">_FV(A274,"52 week low",TRUE)</f>
        <v>802</v>
      </c>
      <c r="H274" s="36">
        <f t="array" aca="1" ref="H274" ca="1">_FV(A274,"52 week high",TRUE)</f>
        <v>1248</v>
      </c>
      <c r="I274" s="40">
        <f t="shared" ca="1" si="16"/>
        <v>13.894230769230775</v>
      </c>
      <c r="J274" s="39" t="str">
        <f t="shared" ca="1" si="17"/>
        <v>WATCH</v>
      </c>
      <c r="K274" s="54">
        <f t="shared" ca="1" si="18"/>
        <v>-33.990024937655853</v>
      </c>
      <c r="L274" s="20">
        <f t="array" aca="1" ref="L274" ca="1">_FV(A274,"Market cap",TRUE)/10000000</f>
        <v>16881.47</v>
      </c>
      <c r="M274" s="21" t="str">
        <f t="shared" ca="1" si="19"/>
        <v>MC</v>
      </c>
      <c r="N274" s="37" t="str">
        <f t="array" aca="1" ref="N274" ca="1">_FV(A274,"Industry")</f>
        <v>Pharmaceuticals</v>
      </c>
    </row>
    <row r="275" spans="1:14">
      <c r="A275" s="107" t="e" vm="381">
        <v>#VALUE!</v>
      </c>
      <c r="B275" s="33">
        <f t="array" aca="1" ref="B275" ca="1">_FV(A275,"Change (%)",TRUE)</f>
        <v>2.0405000000000003E-2</v>
      </c>
      <c r="C275" s="35">
        <f t="array" aca="1" ref="C275" ca="1">_FV(A275,"Previous close",TRUE)</f>
        <v>340.6</v>
      </c>
      <c r="D275" s="35">
        <f t="array" aca="1" ref="D275" ca="1">_FV(A275,"Price")</f>
        <v>347.55</v>
      </c>
      <c r="E275" s="35">
        <f t="array" aca="1" ref="E275" ca="1">_FV(A275,"Low")</f>
        <v>332.55</v>
      </c>
      <c r="F275" s="35">
        <f t="array" aca="1" ref="F275" ca="1">_FV(A275,"High")</f>
        <v>358</v>
      </c>
      <c r="G275" s="35">
        <f t="array" aca="1" ref="G275" ca="1">_FV(A275,"52 week low",TRUE)</f>
        <v>247.15</v>
      </c>
      <c r="H275" s="36">
        <f t="array" aca="1" ref="H275" ca="1">_FV(A275,"52 week high",TRUE)</f>
        <v>544.79999999999995</v>
      </c>
      <c r="I275" s="40">
        <f t="shared" ca="1" si="16"/>
        <v>36.205947136563864</v>
      </c>
      <c r="J275" s="39" t="str">
        <f t="shared" ca="1" si="17"/>
        <v>MC BUY</v>
      </c>
      <c r="K275" s="54">
        <f t="shared" ca="1" si="18"/>
        <v>-40.623103378515069</v>
      </c>
      <c r="L275" s="20">
        <f t="array" aca="1" ref="L275" ca="1">_FV(A275,"Market cap",TRUE)/10000000</f>
        <v>14556.24</v>
      </c>
      <c r="M275" s="21" t="str">
        <f t="shared" ca="1" si="19"/>
        <v>MC</v>
      </c>
      <c r="N275" s="37" t="str">
        <f t="array" aca="1" ref="N275" ca="1">_FV(A275,"Industry")</f>
        <v>Machinery, Equipment &amp; Components</v>
      </c>
    </row>
    <row r="276" spans="1:14">
      <c r="A276" s="107" t="e" vm="382">
        <v>#VALUE!</v>
      </c>
      <c r="B276" s="33">
        <f t="array" aca="1" ref="B276" ca="1">_FV(A276,"Change (%)",TRUE)</f>
        <v>1.1101000000000001E-2</v>
      </c>
      <c r="C276" s="35">
        <f t="array" aca="1" ref="C276" ca="1">_FV(A276,"Previous close",TRUE)</f>
        <v>279.25</v>
      </c>
      <c r="D276" s="35">
        <f t="array" aca="1" ref="D276" ca="1">_FV(A276,"Price")</f>
        <v>282.35000000000002</v>
      </c>
      <c r="E276" s="35">
        <f t="array" aca="1" ref="E276" ca="1">_FV(A276,"Low")</f>
        <v>276.60000000000002</v>
      </c>
      <c r="F276" s="35">
        <f t="array" aca="1" ref="F276" ca="1">_FV(A276,"High")</f>
        <v>283.5</v>
      </c>
      <c r="G276" s="35">
        <f t="array" aca="1" ref="G276" ca="1">_FV(A276,"52 week low",TRUE)</f>
        <v>276.60000000000002</v>
      </c>
      <c r="H276" s="36">
        <f t="array" aca="1" ref="H276" ca="1">_FV(A276,"52 week high",TRUE)</f>
        <v>423</v>
      </c>
      <c r="I276" s="40">
        <f t="shared" ca="1" si="16"/>
        <v>33.250591016548462</v>
      </c>
      <c r="J276" s="39" t="str">
        <f t="shared" ca="1" si="17"/>
        <v>MC BUY</v>
      </c>
      <c r="K276" s="54">
        <f t="shared" ca="1" si="18"/>
        <v>-2.0788141720896598</v>
      </c>
      <c r="L276" s="20">
        <f t="array" aca="1" ref="L276" ca="1">_FV(A276,"Market cap",TRUE)/10000000</f>
        <v>10368.299999999999</v>
      </c>
      <c r="M276" s="21" t="str">
        <f t="shared" ca="1" si="19"/>
        <v>MC</v>
      </c>
      <c r="N276" s="37" t="str">
        <f t="array" aca="1" ref="N276" ca="1">_FV(A276,"Industry")</f>
        <v>Personal &amp; Household Products &amp; Services</v>
      </c>
    </row>
    <row r="277" spans="1:14">
      <c r="A277" s="107" t="e" vm="383">
        <v>#VALUE!</v>
      </c>
      <c r="B277" s="33">
        <f t="array" aca="1" ref="B277" ca="1">_FV(A277,"Change (%)",TRUE)</f>
        <v>-7.3689999999999997E-3</v>
      </c>
      <c r="C277" s="35">
        <f t="array" aca="1" ref="C277" ca="1">_FV(A277,"Previous close",TRUE)</f>
        <v>990.6</v>
      </c>
      <c r="D277" s="35">
        <f t="array" aca="1" ref="D277" ca="1">_FV(A277,"Price")</f>
        <v>983.3</v>
      </c>
      <c r="E277" s="35">
        <f t="array" aca="1" ref="E277" ca="1">_FV(A277,"Low")</f>
        <v>980.8</v>
      </c>
      <c r="F277" s="35">
        <f t="array" aca="1" ref="F277" ca="1">_FV(A277,"High")</f>
        <v>993.6</v>
      </c>
      <c r="G277" s="35">
        <f t="array" aca="1" ref="G277" ca="1">_FV(A277,"52 week low",TRUE)</f>
        <v>750.1</v>
      </c>
      <c r="H277" s="36">
        <f t="array" aca="1" ref="H277" ca="1">_FV(A277,"52 week high",TRUE)</f>
        <v>1416.45</v>
      </c>
      <c r="I277" s="40">
        <f t="shared" ca="1" si="16"/>
        <v>30.579971054396559</v>
      </c>
      <c r="J277" s="39" t="str">
        <f t="shared" ca="1" si="17"/>
        <v>MC BUY</v>
      </c>
      <c r="K277" s="54">
        <f t="shared" ca="1" si="18"/>
        <v>-31.089188108252223</v>
      </c>
      <c r="L277" s="20">
        <f t="array" aca="1" ref="L277" ca="1">_FV(A277,"Market cap",TRUE)/10000000</f>
        <v>22528.53</v>
      </c>
      <c r="M277" s="21" t="str">
        <f t="shared" ca="1" si="19"/>
        <v>MC</v>
      </c>
      <c r="N277" s="37" t="str">
        <f t="array" aca="1" ref="N277" ca="1">_FV(A277,"Industry")</f>
        <v>Machinery, Equipment &amp; Components</v>
      </c>
    </row>
    <row r="278" spans="1:14">
      <c r="A278" s="107" t="e" vm="384">
        <v>#VALUE!</v>
      </c>
      <c r="B278" s="33">
        <f t="array" aca="1" ref="B278" ca="1">_FV(A278,"Change (%)",TRUE)</f>
        <v>-2.8699999999999997E-3</v>
      </c>
      <c r="C278" s="35">
        <f t="array" aca="1" ref="C278" ca="1">_FV(A278,"Previous close",TRUE)</f>
        <v>940.8</v>
      </c>
      <c r="D278" s="35">
        <f t="array" aca="1" ref="D278" ca="1">_FV(A278,"Price")</f>
        <v>938.1</v>
      </c>
      <c r="E278" s="35">
        <f t="array" aca="1" ref="E278" ca="1">_FV(A278,"Low")</f>
        <v>930.8</v>
      </c>
      <c r="F278" s="35">
        <f t="array" aca="1" ref="F278" ca="1">_FV(A278,"High")</f>
        <v>958.9</v>
      </c>
      <c r="G278" s="35">
        <f t="array" aca="1" ref="G278" ca="1">_FV(A278,"52 week low",TRUE)</f>
        <v>755.5</v>
      </c>
      <c r="H278" s="36">
        <f t="array" aca="1" ref="H278" ca="1">_FV(A278,"52 week high",TRUE)</f>
        <v>1389</v>
      </c>
      <c r="I278" s="40">
        <f t="shared" ca="1" si="16"/>
        <v>32.4622030237581</v>
      </c>
      <c r="J278" s="39" t="str">
        <f t="shared" ca="1" si="17"/>
        <v>MC BUY</v>
      </c>
      <c r="K278" s="54">
        <f t="shared" ca="1" si="18"/>
        <v>-24.169424222369297</v>
      </c>
      <c r="L278" s="20">
        <f t="array" aca="1" ref="L278" ca="1">_FV(A278,"Market cap",TRUE)/10000000</f>
        <v>32157.86</v>
      </c>
      <c r="M278" s="21" t="str">
        <f t="shared" ca="1" si="19"/>
        <v>MC</v>
      </c>
      <c r="N278" s="37" t="str">
        <f t="array" aca="1" ref="N278" ca="1">_FV(A278,"Industry")</f>
        <v>Textiles &amp; Apparel</v>
      </c>
    </row>
    <row r="279" spans="1:14">
      <c r="A279" s="107" t="e" vm="385">
        <v>#VALUE!</v>
      </c>
      <c r="B279" s="33">
        <f t="array" aca="1" ref="B279" ca="1">_FV(A279,"Change (%)",TRUE)</f>
        <v>-9.389999999999999E-3</v>
      </c>
      <c r="C279" s="35">
        <f t="array" aca="1" ref="C279" ca="1">_FV(A279,"Previous close",TRUE)</f>
        <v>4408.8</v>
      </c>
      <c r="D279" s="35">
        <f t="array" aca="1" ref="D279" ca="1">_FV(A279,"Price")</f>
        <v>4367.3999999999996</v>
      </c>
      <c r="E279" s="35">
        <f t="array" aca="1" ref="E279" ca="1">_FV(A279,"Low")</f>
        <v>4345.6000000000004</v>
      </c>
      <c r="F279" s="35">
        <f t="array" aca="1" ref="F279" ca="1">_FV(A279,"High")</f>
        <v>4452.8999999999996</v>
      </c>
      <c r="G279" s="35">
        <f t="array" aca="1" ref="G279" ca="1">_FV(A279,"52 week low",TRUE)</f>
        <v>2424</v>
      </c>
      <c r="H279" s="36">
        <f t="array" aca="1" ref="H279" ca="1">_FV(A279,"52 week high",TRUE)</f>
        <v>4572.7</v>
      </c>
      <c r="I279" s="40">
        <f t="shared" ca="1" si="16"/>
        <v>4.4896888053010295</v>
      </c>
      <c r="J279" s="39" t="str">
        <f t="shared" ca="1" si="17"/>
        <v>WATCH</v>
      </c>
      <c r="K279" s="54">
        <f t="shared" ca="1" si="18"/>
        <v>-80.173267326732656</v>
      </c>
      <c r="L279" s="20">
        <f t="array" aca="1" ref="L279" ca="1">_FV(A279,"Market cap",TRUE)/10000000</f>
        <v>42148.39</v>
      </c>
      <c r="M279" s="21" t="str">
        <f t="shared" ca="1" si="19"/>
        <v>HMC</v>
      </c>
      <c r="N279" s="37" t="str">
        <f t="array" aca="1" ref="N279" ca="1">_FV(A279,"Industry")</f>
        <v>Machinery, Equipment &amp; Components</v>
      </c>
    </row>
    <row r="280" spans="1:14">
      <c r="A280" s="107" t="e" vm="71">
        <v>#VALUE!</v>
      </c>
      <c r="B280" s="33">
        <f t="array" aca="1" ref="B280" ca="1">_FV(A280,"Change (%)",TRUE)</f>
        <v>-6.6540000000000002E-3</v>
      </c>
      <c r="C280" s="35">
        <f t="array" aca="1" ref="C280" ca="1">_FV(A280,"Previous close",TRUE)</f>
        <v>1217.3</v>
      </c>
      <c r="D280" s="35">
        <f t="array" aca="1" ref="D280" ca="1">_FV(A280,"Price")</f>
        <v>1209.2</v>
      </c>
      <c r="E280" s="35">
        <f t="array" aca="1" ref="E280" ca="1">_FV(A280,"Low")</f>
        <v>1205</v>
      </c>
      <c r="F280" s="35">
        <f t="array" aca="1" ref="F280" ca="1">_FV(A280,"High")</f>
        <v>1236.2</v>
      </c>
      <c r="G280" s="35">
        <f t="array" aca="1" ref="G280" ca="1">_FV(A280,"52 week low",TRUE)</f>
        <v>1020.6</v>
      </c>
      <c r="H280" s="36">
        <f t="array" aca="1" ref="H280" ca="1">_FV(A280,"52 week high",TRUE)</f>
        <v>1500</v>
      </c>
      <c r="I280" s="40">
        <f t="shared" ca="1" si="16"/>
        <v>19.386666666666663</v>
      </c>
      <c r="J280" s="39" t="str">
        <f t="shared" ca="1" si="17"/>
        <v>WATCH</v>
      </c>
      <c r="K280" s="54">
        <f t="shared" ca="1" si="18"/>
        <v>-18.479325886733296</v>
      </c>
      <c r="L280" s="20">
        <f t="array" aca="1" ref="L280" ca="1">_FV(A280,"Market cap",TRUE)/10000000</f>
        <v>33117.949999999997</v>
      </c>
      <c r="M280" s="21" t="str">
        <f t="shared" ca="1" si="19"/>
        <v>MC</v>
      </c>
      <c r="N280" s="37" t="str">
        <f t="array" aca="1" ref="N280" ca="1">_FV(A280,"Industry")</f>
        <v>Software &amp; IT Services</v>
      </c>
    </row>
    <row r="281" spans="1:14">
      <c r="A281" s="107" t="e" vm="386">
        <v>#VALUE!</v>
      </c>
      <c r="B281" s="33">
        <f t="array" aca="1" ref="B281" ca="1">_FV(A281,"Change (%)",TRUE)</f>
        <v>-1.4905999999999999E-2</v>
      </c>
      <c r="C281" s="35">
        <f t="array" aca="1" ref="C281" ca="1">_FV(A281,"Previous close",TRUE)</f>
        <v>771.5</v>
      </c>
      <c r="D281" s="35">
        <f t="array" aca="1" ref="D281" ca="1">_FV(A281,"Price")</f>
        <v>760</v>
      </c>
      <c r="E281" s="35">
        <f t="array" aca="1" ref="E281" ca="1">_FV(A281,"Low")</f>
        <v>755.05</v>
      </c>
      <c r="F281" s="35">
        <f t="array" aca="1" ref="F281" ca="1">_FV(A281,"High")</f>
        <v>777.15</v>
      </c>
      <c r="G281" s="35">
        <f t="array" aca="1" ref="G281" ca="1">_FV(A281,"52 week low",TRUE)</f>
        <v>582.25</v>
      </c>
      <c r="H281" s="36">
        <f t="array" aca="1" ref="H281" ca="1">_FV(A281,"52 week high",TRUE)</f>
        <v>912</v>
      </c>
      <c r="I281" s="40">
        <f t="shared" ca="1" si="16"/>
        <v>16.666666666666668</v>
      </c>
      <c r="J281" s="39" t="str">
        <f t="shared" ca="1" si="17"/>
        <v>WATCH</v>
      </c>
      <c r="K281" s="54">
        <f t="shared" ca="1" si="18"/>
        <v>-30.528123658222412</v>
      </c>
      <c r="L281" s="20">
        <f t="array" aca="1" ref="L281" ca="1">_FV(A281,"Market cap",TRUE)/10000000</f>
        <v>13427.13</v>
      </c>
      <c r="M281" s="21" t="str">
        <f t="shared" ca="1" si="19"/>
        <v>MC</v>
      </c>
      <c r="N281" s="37" t="str">
        <f t="array" aca="1" ref="N281" ca="1">_FV(A281,"Industry")</f>
        <v>Machinery, Equipment &amp; Components</v>
      </c>
    </row>
    <row r="282" spans="1:14">
      <c r="A282" s="107" t="e" vm="387">
        <v>#VALUE!</v>
      </c>
      <c r="B282" s="33">
        <f t="array" aca="1" ref="B282" ca="1">_FV(A282,"Change (%)",TRUE)</f>
        <v>2.053E-4</v>
      </c>
      <c r="C282" s="35">
        <f t="array" aca="1" ref="C282" ca="1">_FV(A282,"Previous close",TRUE)</f>
        <v>974.3</v>
      </c>
      <c r="D282" s="35">
        <f t="array" aca="1" ref="D282" ca="1">_FV(A282,"Price")</f>
        <v>974.5</v>
      </c>
      <c r="E282" s="35">
        <f t="array" aca="1" ref="E282" ca="1">_FV(A282,"Low")</f>
        <v>966.8</v>
      </c>
      <c r="F282" s="35">
        <f t="array" aca="1" ref="F282" ca="1">_FV(A282,"High")</f>
        <v>984.3</v>
      </c>
      <c r="G282" s="35">
        <f t="array" aca="1" ref="G282" ca="1">_FV(A282,"52 week low",TRUE)</f>
        <v>758.7</v>
      </c>
      <c r="H282" s="36">
        <f t="array" aca="1" ref="H282" ca="1">_FV(A282,"52 week high",TRUE)</f>
        <v>1321.9</v>
      </c>
      <c r="I282" s="40">
        <f t="shared" ca="1" si="16"/>
        <v>26.280354035857481</v>
      </c>
      <c r="J282" s="39" t="str">
        <f t="shared" ca="1" si="17"/>
        <v>FIRST MC BUY</v>
      </c>
      <c r="K282" s="54">
        <f t="shared" ca="1" si="18"/>
        <v>-28.443390009226302</v>
      </c>
      <c r="L282" s="20">
        <f t="array" aca="1" ref="L282" ca="1">_FV(A282,"Market cap",TRUE)/10000000</f>
        <v>15517.9</v>
      </c>
      <c r="M282" s="21" t="str">
        <f t="shared" ca="1" si="19"/>
        <v>MC</v>
      </c>
      <c r="N282" s="37" t="str">
        <f t="array" aca="1" ref="N282" ca="1">_FV(A282,"Industry")</f>
        <v>Homebuilding &amp; Construction Supplies</v>
      </c>
    </row>
    <row r="283" spans="1:14">
      <c r="A283" s="107" t="e" vm="388">
        <v>#VALUE!</v>
      </c>
      <c r="B283" s="33">
        <f t="array" aca="1" ref="B283" ca="1">_FV(A283,"Change (%)",TRUE)</f>
        <v>-3.4989999999999999E-3</v>
      </c>
      <c r="C283" s="35">
        <f t="array" aca="1" ref="C283" ca="1">_FV(A283,"Previous close",TRUE)</f>
        <v>1200.3</v>
      </c>
      <c r="D283" s="35">
        <f t="array" aca="1" ref="D283" ca="1">_FV(A283,"Price")</f>
        <v>1196.0999999999999</v>
      </c>
      <c r="E283" s="35">
        <f t="array" aca="1" ref="E283" ca="1">_FV(A283,"Low")</f>
        <v>1191.0999999999999</v>
      </c>
      <c r="F283" s="35">
        <f t="array" aca="1" ref="F283" ca="1">_FV(A283,"High")</f>
        <v>1213.9000000000001</v>
      </c>
      <c r="G283" s="35">
        <f t="array" aca="1" ref="G283" ca="1">_FV(A283,"52 week low",TRUE)</f>
        <v>786.3</v>
      </c>
      <c r="H283" s="36">
        <f t="array" aca="1" ref="H283" ca="1">_FV(A283,"52 week high",TRUE)</f>
        <v>1340</v>
      </c>
      <c r="I283" s="40">
        <f t="shared" ca="1" si="16"/>
        <v>10.73880597014926</v>
      </c>
      <c r="J283" s="39" t="str">
        <f t="shared" ca="1" si="17"/>
        <v>WATCH</v>
      </c>
      <c r="K283" s="54">
        <f t="shared" ca="1" si="18"/>
        <v>-52.117512399847378</v>
      </c>
      <c r="L283" s="20">
        <f t="array" aca="1" ref="L283" ca="1">_FV(A283,"Market cap",TRUE)/10000000</f>
        <v>20497.830000000002</v>
      </c>
      <c r="M283" s="21" t="str">
        <f t="shared" ca="1" si="19"/>
        <v>MC</v>
      </c>
      <c r="N283" s="37" t="str">
        <f t="array" aca="1" ref="N283" ca="1">_FV(A283,"Industry")</f>
        <v>Construction &amp; Engineering</v>
      </c>
    </row>
    <row r="284" spans="1:14">
      <c r="A284" s="107" t="e" vm="389">
        <v>#VALUE!</v>
      </c>
      <c r="B284" s="33">
        <f t="array" aca="1" ref="B284" ca="1">_FV(A284,"Change (%)",TRUE)</f>
        <v>8.1079999999999989E-3</v>
      </c>
      <c r="C284" s="35">
        <f t="array" aca="1" ref="C284" ca="1">_FV(A284,"Previous close",TRUE)</f>
        <v>487.2</v>
      </c>
      <c r="D284" s="35">
        <f t="array" aca="1" ref="D284" ca="1">_FV(A284,"Price")</f>
        <v>491.15</v>
      </c>
      <c r="E284" s="35">
        <f t="array" aca="1" ref="E284" ca="1">_FV(A284,"Low")</f>
        <v>485</v>
      </c>
      <c r="F284" s="35">
        <f t="array" aca="1" ref="F284" ca="1">_FV(A284,"High")</f>
        <v>496.3</v>
      </c>
      <c r="G284" s="35">
        <f t="array" aca="1" ref="G284" ca="1">_FV(A284,"52 week low",TRUE)</f>
        <v>399.4</v>
      </c>
      <c r="H284" s="36">
        <f t="array" aca="1" ref="H284" ca="1">_FV(A284,"52 week high",TRUE)</f>
        <v>795.4</v>
      </c>
      <c r="I284" s="40">
        <f t="shared" ca="1" si="16"/>
        <v>38.251194367613778</v>
      </c>
      <c r="J284" s="39" t="str">
        <f t="shared" ca="1" si="17"/>
        <v>SURE HMC BUY</v>
      </c>
      <c r="K284" s="54">
        <f t="shared" ca="1" si="18"/>
        <v>-22.971957936905358</v>
      </c>
      <c r="L284" s="20">
        <f t="array" aca="1" ref="L284" ca="1">_FV(A284,"Market cap",TRUE)/10000000</f>
        <v>50311.33</v>
      </c>
      <c r="M284" s="21" t="str">
        <f t="shared" ca="1" si="19"/>
        <v>HMC</v>
      </c>
      <c r="N284" s="37" t="str">
        <f t="array" aca="1" ref="N284" ca="1">_FV(A284,"Industry")</f>
        <v>Specialty Retailers</v>
      </c>
    </row>
    <row r="285" spans="1:14">
      <c r="A285" s="107" t="e" vm="390">
        <v>#VALUE!</v>
      </c>
      <c r="B285" s="33">
        <f t="array" aca="1" ref="B285" ca="1">_FV(A285,"Change (%)",TRUE)</f>
        <v>5.0819999999999997E-2</v>
      </c>
      <c r="C285" s="35">
        <f t="array" aca="1" ref="C285" ca="1">_FV(A285,"Previous close",TRUE)</f>
        <v>250.1</v>
      </c>
      <c r="D285" s="35">
        <f t="array" aca="1" ref="D285" ca="1">_FV(A285,"Price")</f>
        <v>262.81</v>
      </c>
      <c r="E285" s="35">
        <f t="array" aca="1" ref="E285" ca="1">_FV(A285,"Low")</f>
        <v>249.24</v>
      </c>
      <c r="F285" s="35">
        <f t="array" aca="1" ref="F285" ca="1">_FV(A285,"High")</f>
        <v>271.77999999999997</v>
      </c>
      <c r="G285" s="35">
        <f t="array" aca="1" ref="G285" ca="1">_FV(A285,"52 week low",TRUE)</f>
        <v>154.62</v>
      </c>
      <c r="H285" s="36">
        <f t="array" aca="1" ref="H285" ca="1">_FV(A285,"52 week high",TRUE)</f>
        <v>271.77999999999997</v>
      </c>
      <c r="I285" s="40">
        <f t="shared" ca="1" si="16"/>
        <v>3.3004636102730043</v>
      </c>
      <c r="J285" s="39" t="str">
        <f t="shared" ca="1" si="17"/>
        <v>WATCH</v>
      </c>
      <c r="K285" s="54">
        <f t="shared" ca="1" si="18"/>
        <v>-69.971543138015775</v>
      </c>
      <c r="L285" s="20">
        <f t="array" aca="1" ref="L285" ca="1">_FV(A285,"Market cap",TRUE)/10000000</f>
        <v>24175.23</v>
      </c>
      <c r="M285" s="21" t="str">
        <f t="shared" ca="1" si="19"/>
        <v>MC</v>
      </c>
      <c r="N285" s="37" t="str">
        <f t="array" aca="1" ref="N285" ca="1">_FV(A285,"Industry")</f>
        <v>Banking Services</v>
      </c>
    </row>
    <row r="286" spans="1:14">
      <c r="A286" s="107" t="e" vm="391">
        <v>#VALUE!</v>
      </c>
      <c r="B286" s="33">
        <f t="array" aca="1" ref="B286" ca="1">_FV(A286,"Change (%)",TRUE)</f>
        <v>-1.4083000000000002E-2</v>
      </c>
      <c r="C286" s="35">
        <f t="array" aca="1" ref="C286" ca="1">_FV(A286,"Previous close",TRUE)</f>
        <v>4118.5</v>
      </c>
      <c r="D286" s="35">
        <f t="array" aca="1" ref="D286" ca="1">_FV(A286,"Price")</f>
        <v>4060.5</v>
      </c>
      <c r="E286" s="35">
        <f t="array" aca="1" ref="E286" ca="1">_FV(A286,"Low")</f>
        <v>4032.5</v>
      </c>
      <c r="F286" s="35">
        <f t="array" aca="1" ref="F286" ca="1">_FV(A286,"High")</f>
        <v>4166</v>
      </c>
      <c r="G286" s="35">
        <f t="array" aca="1" ref="G286" ca="1">_FV(A286,"52 week low",TRUE)</f>
        <v>3712.5</v>
      </c>
      <c r="H286" s="36">
        <f t="array" aca="1" ref="H286" ca="1">_FV(A286,"52 week high",TRUE)</f>
        <v>7822</v>
      </c>
      <c r="I286" s="40">
        <f t="shared" ca="1" si="16"/>
        <v>48.088724111480438</v>
      </c>
      <c r="J286" s="39" t="str">
        <f t="shared" ca="1" si="17"/>
        <v>SURE MC BUY</v>
      </c>
      <c r="K286" s="54">
        <f t="shared" ca="1" si="18"/>
        <v>-9.3737373737373737</v>
      </c>
      <c r="L286" s="20">
        <f t="array" aca="1" ref="L286" ca="1">_FV(A286,"Market cap",TRUE)/10000000</f>
        <v>27608.22</v>
      </c>
      <c r="M286" s="21" t="str">
        <f t="shared" ca="1" si="19"/>
        <v>MC</v>
      </c>
      <c r="N286" s="37" t="str">
        <f t="array" aca="1" ref="N286" ca="1">_FV(A286,"Industry")</f>
        <v>Electronic Equipment &amp; Parts</v>
      </c>
    </row>
    <row r="287" spans="1:14">
      <c r="A287" s="107" t="e" vm="392">
        <v>#VALUE!</v>
      </c>
      <c r="B287" s="33">
        <f t="array" aca="1" ref="B287" ca="1">_FV(A287,"Change (%)",TRUE)</f>
        <v>-1.2611000000000001E-2</v>
      </c>
      <c r="C287" s="35">
        <f t="array" aca="1" ref="C287" ca="1">_FV(A287,"Previous close",TRUE)</f>
        <v>741.4</v>
      </c>
      <c r="D287" s="35">
        <f t="array" aca="1" ref="D287" ca="1">_FV(A287,"Price")</f>
        <v>732.05</v>
      </c>
      <c r="E287" s="35">
        <f t="array" aca="1" ref="E287" ca="1">_FV(A287,"Low")</f>
        <v>729.1</v>
      </c>
      <c r="F287" s="35">
        <f t="array" aca="1" ref="F287" ca="1">_FV(A287,"High")</f>
        <v>743.85</v>
      </c>
      <c r="G287" s="35">
        <f t="array" aca="1" ref="G287" ca="1">_FV(A287,"52 week low",TRUE)</f>
        <v>627.45000000000005</v>
      </c>
      <c r="H287" s="36">
        <f t="array" aca="1" ref="H287" ca="1">_FV(A287,"52 week high",TRUE)</f>
        <v>1249.45</v>
      </c>
      <c r="I287" s="40">
        <f t="shared" ca="1" si="16"/>
        <v>41.410220497018692</v>
      </c>
      <c r="J287" s="39" t="str">
        <f t="shared" ca="1" si="17"/>
        <v>SURE MC BUY</v>
      </c>
      <c r="K287" s="54">
        <f t="shared" ca="1" si="18"/>
        <v>-16.670651047892246</v>
      </c>
      <c r="L287" s="20">
        <f t="array" aca="1" ref="L287" ca="1">_FV(A287,"Market cap",TRUE)/10000000</f>
        <v>19736.07</v>
      </c>
      <c r="M287" s="21" t="str">
        <f t="shared" ca="1" si="19"/>
        <v>MC</v>
      </c>
      <c r="N287" s="37" t="str">
        <f t="array" aca="1" ref="N287" ca="1">_FV(A287,"Industry")</f>
        <v>Construction &amp; Engineering</v>
      </c>
    </row>
    <row r="288" spans="1:14">
      <c r="A288" s="107" t="e" vm="393">
        <v>#VALUE!</v>
      </c>
      <c r="B288" s="33">
        <f t="array" aca="1" ref="B288" ca="1">_FV(A288,"Change (%)",TRUE)</f>
        <v>8.2469999999999991E-3</v>
      </c>
      <c r="C288" s="35">
        <f t="array" aca="1" ref="C288" ca="1">_FV(A288,"Previous close",TRUE)</f>
        <v>1091.3</v>
      </c>
      <c r="D288" s="35">
        <f t="array" aca="1" ref="D288" ca="1">_FV(A288,"Price")</f>
        <v>1100.3</v>
      </c>
      <c r="E288" s="35">
        <f t="array" aca="1" ref="E288" ca="1">_FV(A288,"Low")</f>
        <v>1083.2</v>
      </c>
      <c r="F288" s="35">
        <f t="array" aca="1" ref="F288" ca="1">_FV(A288,"High")</f>
        <v>1104.8</v>
      </c>
      <c r="G288" s="35">
        <f t="array" aca="1" ref="G288" ca="1">_FV(A288,"52 week low",TRUE)</f>
        <v>784.15</v>
      </c>
      <c r="H288" s="36">
        <f t="array" aca="1" ref="H288" ca="1">_FV(A288,"52 week high",TRUE)</f>
        <v>1641.35</v>
      </c>
      <c r="I288" s="40">
        <f t="shared" ca="1" si="16"/>
        <v>32.963718889938157</v>
      </c>
      <c r="J288" s="39" t="str">
        <f t="shared" ca="1" si="17"/>
        <v>MC BUY</v>
      </c>
      <c r="K288" s="54">
        <f t="shared" ca="1" si="18"/>
        <v>-40.317541286743605</v>
      </c>
      <c r="L288" s="20">
        <f t="array" aca="1" ref="L288" ca="1">_FV(A288,"Market cap",TRUE)/10000000</f>
        <v>18820.22</v>
      </c>
      <c r="M288" s="21" t="str">
        <f t="shared" ca="1" si="19"/>
        <v>MC</v>
      </c>
      <c r="N288" s="37" t="str">
        <f t="array" aca="1" ref="N288" ca="1">_FV(A288,"Industry")</f>
        <v>Financial Technology (Fintech) &amp; Infrastructure</v>
      </c>
    </row>
    <row r="289" spans="1:14">
      <c r="A289" s="107" t="e" vm="394">
        <v>#VALUE!</v>
      </c>
      <c r="B289" s="33">
        <f t="array" aca="1" ref="B289" ca="1">_FV(A289,"Change (%)",TRUE)</f>
        <v>-9.2779999999999998E-3</v>
      </c>
      <c r="C289" s="35">
        <f t="array" aca="1" ref="C289" ca="1">_FV(A289,"Previous close",TRUE)</f>
        <v>1616.8</v>
      </c>
      <c r="D289" s="35">
        <f t="array" aca="1" ref="D289" ca="1">_FV(A289,"Price")</f>
        <v>1601.8</v>
      </c>
      <c r="E289" s="35">
        <f t="array" aca="1" ref="E289" ca="1">_FV(A289,"Low")</f>
        <v>1600</v>
      </c>
      <c r="F289" s="35">
        <f t="array" aca="1" ref="F289" ca="1">_FV(A289,"High")</f>
        <v>1647.7</v>
      </c>
      <c r="G289" s="35">
        <f t="array" aca="1" ref="G289" ca="1">_FV(A289,"52 week low",TRUE)</f>
        <v>1422.35</v>
      </c>
      <c r="H289" s="36">
        <f t="array" aca="1" ref="H289" ca="1">_FV(A289,"52 week high",TRUE)</f>
        <v>2475</v>
      </c>
      <c r="I289" s="40">
        <f t="shared" ca="1" si="16"/>
        <v>35.280808080808079</v>
      </c>
      <c r="J289" s="39" t="str">
        <f t="shared" ca="1" si="17"/>
        <v>MC BUY</v>
      </c>
      <c r="K289" s="54">
        <f t="shared" ca="1" si="18"/>
        <v>-12.616444616304006</v>
      </c>
      <c r="L289" s="20">
        <f t="array" aca="1" ref="L289" ca="1">_FV(A289,"Market cap",TRUE)/10000000</f>
        <v>12719.72</v>
      </c>
      <c r="M289" s="21" t="str">
        <f t="shared" ca="1" si="19"/>
        <v>MC</v>
      </c>
      <c r="N289" s="37" t="str">
        <f t="array" aca="1" ref="N289" ca="1">_FV(A289,"Industry")</f>
        <v>Machinery, Equipment &amp; Components</v>
      </c>
    </row>
    <row r="290" spans="1:14">
      <c r="A290" s="107" t="e" vm="395">
        <v>#VALUE!</v>
      </c>
      <c r="B290" s="33">
        <f t="array" aca="1" ref="B290" ca="1">_FV(A290,"Change (%)",TRUE)</f>
        <v>4.9069999999999999E-3</v>
      </c>
      <c r="C290" s="35">
        <f t="array" aca="1" ref="C290" ca="1">_FV(A290,"Previous close",TRUE)</f>
        <v>1263.5999999999999</v>
      </c>
      <c r="D290" s="35">
        <f t="array" aca="1" ref="D290" ca="1">_FV(A290,"Price")</f>
        <v>1269.8</v>
      </c>
      <c r="E290" s="35">
        <f t="array" aca="1" ref="E290" ca="1">_FV(A290,"Low")</f>
        <v>1243.3</v>
      </c>
      <c r="F290" s="35">
        <f t="array" aca="1" ref="F290" ca="1">_FV(A290,"High")</f>
        <v>1275</v>
      </c>
      <c r="G290" s="35">
        <f t="array" aca="1" ref="G290" ca="1">_FV(A290,"52 week low",TRUE)</f>
        <v>544.4</v>
      </c>
      <c r="H290" s="36">
        <f t="array" aca="1" ref="H290" ca="1">_FV(A290,"52 week high",TRUE)</f>
        <v>1329</v>
      </c>
      <c r="I290" s="40">
        <f t="shared" ca="1" si="16"/>
        <v>4.454477050413848</v>
      </c>
      <c r="J290" s="39" t="str">
        <f t="shared" ca="1" si="17"/>
        <v>WATCH</v>
      </c>
      <c r="K290" s="54">
        <f t="shared" ca="1" si="18"/>
        <v>-133.24761204996327</v>
      </c>
      <c r="L290" s="20">
        <f t="array" aca="1" ref="L290" ca="1">_FV(A290,"Market cap",TRUE)/10000000</f>
        <v>18454.18</v>
      </c>
      <c r="M290" s="21" t="str">
        <f t="shared" ca="1" si="19"/>
        <v>MC</v>
      </c>
      <c r="N290" s="37" t="str">
        <f t="array" aca="1" ref="N290" ca="1">_FV(A290,"Industry")</f>
        <v>Machinery, Equipment &amp; Components</v>
      </c>
    </row>
    <row r="291" spans="1:14">
      <c r="A291" s="107" t="e" vm="70">
        <v>#VALUE!</v>
      </c>
      <c r="B291" s="33">
        <f t="array" aca="1" ref="B291" ca="1">_FV(A291,"Change (%)",TRUE)</f>
        <v>2.3109999999999998E-4</v>
      </c>
      <c r="C291" s="35">
        <f t="array" aca="1" ref="C291" ca="1">_FV(A291,"Previous close",TRUE)</f>
        <v>2163.6999999999998</v>
      </c>
      <c r="D291" s="35">
        <f t="array" aca="1" ref="D291" ca="1">_FV(A291,"Price")</f>
        <v>2164.1999999999998</v>
      </c>
      <c r="E291" s="35">
        <f t="array" aca="1" ref="E291" ca="1">_FV(A291,"Low")</f>
        <v>2152.9</v>
      </c>
      <c r="F291" s="35">
        <f t="array" aca="1" ref="F291" ca="1">_FV(A291,"High")</f>
        <v>2173.6</v>
      </c>
      <c r="G291" s="35">
        <f t="array" aca="1" ref="G291" ca="1">_FV(A291,"52 week low",TRUE)</f>
        <v>1723.75</v>
      </c>
      <c r="H291" s="36">
        <f t="array" aca="1" ref="H291" ca="1">_FV(A291,"52 week high",TRUE)</f>
        <v>2301.9</v>
      </c>
      <c r="I291" s="40">
        <f t="shared" ca="1" si="16"/>
        <v>5.9820148572918139</v>
      </c>
      <c r="J291" s="39" t="str">
        <f t="shared" ca="1" si="17"/>
        <v>WATCH</v>
      </c>
      <c r="K291" s="54">
        <f t="shared" ca="1" si="18"/>
        <v>-25.551849166062354</v>
      </c>
      <c r="L291" s="20">
        <f t="array" aca="1" ref="L291" ca="1">_FV(A291,"Market cap",TRUE)/10000000</f>
        <v>430381.3</v>
      </c>
      <c r="M291" s="21" t="str">
        <f t="shared" ca="1" si="19"/>
        <v>LC</v>
      </c>
      <c r="N291" s="37" t="str">
        <f t="array" aca="1" ref="N291" ca="1">_FV(A291,"Industry")</f>
        <v>Banking Services</v>
      </c>
    </row>
    <row r="292" spans="1:14">
      <c r="A292" s="107" t="e" vm="396">
        <v>#VALUE!</v>
      </c>
      <c r="B292" s="33">
        <f t="array" aca="1" ref="B292" ca="1">_FV(A292,"Change (%)",TRUE)</f>
        <v>-5.7159999999999997E-3</v>
      </c>
      <c r="C292" s="35">
        <f t="array" aca="1" ref="C292" ca="1">_FV(A292,"Previous close",TRUE)</f>
        <v>629.85</v>
      </c>
      <c r="D292" s="35">
        <f t="array" aca="1" ref="D292" ca="1">_FV(A292,"Price")</f>
        <v>626.25</v>
      </c>
      <c r="E292" s="35">
        <f t="array" aca="1" ref="E292" ca="1">_FV(A292,"Low")</f>
        <v>624.20000000000005</v>
      </c>
      <c r="F292" s="35">
        <f t="array" aca="1" ref="F292" ca="1">_FV(A292,"High")</f>
        <v>634.20000000000005</v>
      </c>
      <c r="G292" s="35">
        <f t="array" aca="1" ref="G292" ca="1">_FV(A292,"52 week low",TRUE)</f>
        <v>474.05</v>
      </c>
      <c r="H292" s="36">
        <f t="array" aca="1" ref="H292" ca="1">_FV(A292,"52 week high",TRUE)</f>
        <v>798.4</v>
      </c>
      <c r="I292" s="40">
        <f t="shared" ca="1" si="16"/>
        <v>21.561873747494985</v>
      </c>
      <c r="J292" s="39" t="str">
        <f t="shared" ca="1" si="17"/>
        <v>FIRST MC BUY</v>
      </c>
      <c r="K292" s="54">
        <f t="shared" ca="1" si="18"/>
        <v>-32.106317898955801</v>
      </c>
      <c r="L292" s="20">
        <f t="array" aca="1" ref="L292" ca="1">_FV(A292,"Market cap",TRUE)/10000000</f>
        <v>25058.7</v>
      </c>
      <c r="M292" s="21" t="str">
        <f t="shared" ca="1" si="19"/>
        <v>MC</v>
      </c>
      <c r="N292" s="37" t="str">
        <f t="array" aca="1" ref="N292" ca="1">_FV(A292,"Industry")</f>
        <v>Healthcare Providers &amp; Services</v>
      </c>
    </row>
    <row r="293" spans="1:14">
      <c r="A293" s="107" t="e" vm="397">
        <v>#VALUE!</v>
      </c>
      <c r="B293" s="33">
        <f t="array" aca="1" ref="B293" ca="1">_FV(A293,"Change (%)",TRUE)</f>
        <v>-6.43E-3</v>
      </c>
      <c r="C293" s="35">
        <f t="array" aca="1" ref="C293" ca="1">_FV(A293,"Previous close",TRUE)</f>
        <v>303.25</v>
      </c>
      <c r="D293" s="35">
        <f t="array" aca="1" ref="D293" ca="1">_FV(A293,"Price")</f>
        <v>301.3</v>
      </c>
      <c r="E293" s="35">
        <f t="array" aca="1" ref="E293" ca="1">_FV(A293,"Low")</f>
        <v>299.7</v>
      </c>
      <c r="F293" s="35">
        <f t="array" aca="1" ref="F293" ca="1">_FV(A293,"High")</f>
        <v>304.85000000000002</v>
      </c>
      <c r="G293" s="35">
        <f t="array" aca="1" ref="G293" ca="1">_FV(A293,"52 week low",TRUE)</f>
        <v>129.19999999999999</v>
      </c>
      <c r="H293" s="36">
        <f t="array" aca="1" ref="H293" ca="1">_FV(A293,"52 week high",TRUE)</f>
        <v>315.35000000000002</v>
      </c>
      <c r="I293" s="40">
        <f t="shared" ca="1" si="16"/>
        <v>4.4553670524813729</v>
      </c>
      <c r="J293" s="39" t="str">
        <f t="shared" ca="1" si="17"/>
        <v>WATCH</v>
      </c>
      <c r="K293" s="54">
        <f t="shared" ca="1" si="18"/>
        <v>-133.20433436532511</v>
      </c>
      <c r="L293" s="20">
        <f t="array" aca="1" ref="L293" ca="1">_FV(A293,"Market cap",TRUE)/10000000</f>
        <v>75360.539999999994</v>
      </c>
      <c r="M293" s="21" t="str">
        <f t="shared" ca="1" si="19"/>
        <v>HMC</v>
      </c>
      <c r="N293" s="37" t="str">
        <f t="array" aca="1" ref="N293" ca="1">_FV(A293,"Industry")</f>
        <v>Banking Services</v>
      </c>
    </row>
    <row r="294" spans="1:14">
      <c r="A294" s="107" t="e" vm="78">
        <v>#VALUE!</v>
      </c>
      <c r="B294" s="33">
        <f t="array" aca="1" ref="B294" ca="1">_FV(A294,"Change (%)",TRUE)</f>
        <v>-1.9487000000000001E-2</v>
      </c>
      <c r="C294" s="35">
        <f t="array" aca="1" ref="C294" ca="1">_FV(A294,"Previous close",TRUE)</f>
        <v>4608.1000000000004</v>
      </c>
      <c r="D294" s="35">
        <f t="array" aca="1" ref="D294" ca="1">_FV(A294,"Price")</f>
        <v>4518.3</v>
      </c>
      <c r="E294" s="35">
        <f t="array" aca="1" ref="E294" ca="1">_FV(A294,"Low")</f>
        <v>4509</v>
      </c>
      <c r="F294" s="35">
        <f t="array" aca="1" ref="F294" ca="1">_FV(A294,"High")</f>
        <v>4643</v>
      </c>
      <c r="G294" s="35">
        <f t="array" aca="1" ref="G294" ca="1">_FV(A294,"52 week low",TRUE)</f>
        <v>3951.3</v>
      </c>
      <c r="H294" s="36">
        <f t="array" aca="1" ref="H294" ca="1">_FV(A294,"52 week high",TRUE)</f>
        <v>5645</v>
      </c>
      <c r="I294" s="40">
        <f t="shared" ca="1" si="16"/>
        <v>19.959255978742249</v>
      </c>
      <c r="J294" s="39" t="str">
        <f t="shared" ca="1" si="17"/>
        <v>FIRST HMC BUY</v>
      </c>
      <c r="K294" s="54">
        <f t="shared" ca="1" si="18"/>
        <v>-14.349707691139624</v>
      </c>
      <c r="L294" s="20">
        <f t="array" aca="1" ref="L294" ca="1">_FV(A294,"Market cap",TRUE)/10000000</f>
        <v>48840.94</v>
      </c>
      <c r="M294" s="21" t="str">
        <f t="shared" ca="1" si="19"/>
        <v>HMC</v>
      </c>
      <c r="N294" s="37" t="str">
        <f t="array" aca="1" ref="N294" ca="1">_FV(A294,"Industry")</f>
        <v>Construction &amp; Engineering</v>
      </c>
    </row>
    <row r="295" spans="1:14">
      <c r="A295" s="107" t="e" vm="398">
        <v>#VALUE!</v>
      </c>
      <c r="B295" s="33">
        <f t="array" aca="1" ref="B295" ca="1">_FV(A295,"Change (%)",TRUE)</f>
        <v>0</v>
      </c>
      <c r="C295" s="35">
        <f t="array" aca="1" ref="C295" ca="1">_FV(A295,"Previous close",TRUE)</f>
        <v>539.45000000000005</v>
      </c>
      <c r="D295" s="35">
        <f t="array" aca="1" ref="D295" ca="1">_FV(A295,"Price")</f>
        <v>539.45000000000005</v>
      </c>
      <c r="E295" s="35">
        <f t="array" aca="1" ref="E295" ca="1">_FV(A295,"Low")</f>
        <v>537.75</v>
      </c>
      <c r="F295" s="35">
        <f t="array" aca="1" ref="F295" ca="1">_FV(A295,"High")</f>
        <v>541.70000000000005</v>
      </c>
      <c r="G295" s="35">
        <f t="array" aca="1" ref="G295" ca="1">_FV(A295,"52 week low",TRUE)</f>
        <v>483.7</v>
      </c>
      <c r="H295" s="36">
        <f t="array" aca="1" ref="H295" ca="1">_FV(A295,"52 week high",TRUE)</f>
        <v>646.5</v>
      </c>
      <c r="I295" s="40">
        <f t="shared" ca="1" si="16"/>
        <v>16.558391337973699</v>
      </c>
      <c r="J295" s="39" t="str">
        <f t="shared" ca="1" si="17"/>
        <v>WATCH</v>
      </c>
      <c r="K295" s="54">
        <f t="shared" ca="1" si="18"/>
        <v>-11.525739094480061</v>
      </c>
      <c r="L295" s="20">
        <f t="array" aca="1" ref="L295" ca="1">_FV(A295,"Market cap",TRUE)/10000000</f>
        <v>29673.15</v>
      </c>
      <c r="M295" s="21" t="str">
        <f t="shared" ca="1" si="19"/>
        <v>MC</v>
      </c>
      <c r="N295" s="37" t="str">
        <f t="array" aca="1" ref="N295" ca="1">_FV(A295,"Industry")</f>
        <v>Banking Services</v>
      </c>
    </row>
    <row r="296" spans="1:14">
      <c r="A296" s="107" t="e" vm="399">
        <v>#VALUE!</v>
      </c>
      <c r="B296" s="33">
        <f t="array" aca="1" ref="B296" ca="1">_FV(A296,"Change (%)",TRUE)</f>
        <v>-7.7949999999999998E-3</v>
      </c>
      <c r="C296" s="35">
        <f t="array" aca="1" ref="C296" ca="1">_FV(A296,"Previous close",TRUE)</f>
        <v>404.1</v>
      </c>
      <c r="D296" s="35">
        <f t="array" aca="1" ref="D296" ca="1">_FV(A296,"Price")</f>
        <v>400.95</v>
      </c>
      <c r="E296" s="35">
        <f t="array" aca="1" ref="E296" ca="1">_FV(A296,"Low")</f>
        <v>399</v>
      </c>
      <c r="F296" s="35">
        <f t="array" aca="1" ref="F296" ca="1">_FV(A296,"High")</f>
        <v>405.9</v>
      </c>
      <c r="G296" s="35">
        <f t="array" aca="1" ref="G296" ca="1">_FV(A296,"52 week low",TRUE)</f>
        <v>288.25</v>
      </c>
      <c r="H296" s="36">
        <f t="array" aca="1" ref="H296" ca="1">_FV(A296,"52 week high",TRUE)</f>
        <v>518.54999999999995</v>
      </c>
      <c r="I296" s="40">
        <f t="shared" ca="1" si="16"/>
        <v>22.678623083598492</v>
      </c>
      <c r="J296" s="39" t="str">
        <f t="shared" ca="1" si="17"/>
        <v>FIRST MC BUY</v>
      </c>
      <c r="K296" s="54">
        <f t="shared" ca="1" si="18"/>
        <v>-39.098005203816129</v>
      </c>
      <c r="L296" s="20">
        <f t="array" aca="1" ref="L296" ca="1">_FV(A296,"Market cap",TRUE)/10000000</f>
        <v>14032.49</v>
      </c>
      <c r="M296" s="21" t="str">
        <f t="shared" ca="1" si="19"/>
        <v>MC</v>
      </c>
      <c r="N296" s="37" t="str">
        <f t="array" aca="1" ref="N296" ca="1">_FV(A296,"Industry")</f>
        <v>Food &amp; Tobacco</v>
      </c>
    </row>
    <row r="297" spans="1:14">
      <c r="A297" s="107" t="e" vm="77">
        <v>#VALUE!</v>
      </c>
      <c r="B297" s="33">
        <f t="array" aca="1" ref="B297" ca="1">_FV(A297,"Change (%)",TRUE)</f>
        <v>-2.0687999999999998E-2</v>
      </c>
      <c r="C297" s="35">
        <f t="array" aca="1" ref="C297" ca="1">_FV(A297,"Previous close",TRUE)</f>
        <v>6163</v>
      </c>
      <c r="D297" s="35">
        <f t="array" aca="1" ref="D297" ca="1">_FV(A297,"Price")</f>
        <v>6035.5</v>
      </c>
      <c r="E297" s="35">
        <f t="array" aca="1" ref="E297" ca="1">_FV(A297,"Low")</f>
        <v>6020</v>
      </c>
      <c r="F297" s="35">
        <f t="array" aca="1" ref="F297" ca="1">_FV(A297,"High")</f>
        <v>6174.5</v>
      </c>
      <c r="G297" s="35">
        <f t="array" aca="1" ref="G297" ca="1">_FV(A297,"52 week low",TRUE)</f>
        <v>3802</v>
      </c>
      <c r="H297" s="36">
        <f t="array" aca="1" ref="H297" ca="1">_FV(A297,"52 week high",TRUE)</f>
        <v>6380</v>
      </c>
      <c r="I297" s="40">
        <f t="shared" ca="1" si="16"/>
        <v>5.3996865203761759</v>
      </c>
      <c r="J297" s="39" t="str">
        <f t="shared" ca="1" si="17"/>
        <v>WATCH</v>
      </c>
      <c r="K297" s="54">
        <f t="shared" ca="1" si="18"/>
        <v>-58.745397159389796</v>
      </c>
      <c r="L297" s="20">
        <f t="array" aca="1" ref="L297" ca="1">_FV(A297,"Market cap",TRUE)/10000000</f>
        <v>182713.5</v>
      </c>
      <c r="M297" s="21" t="str">
        <f t="shared" ca="1" si="19"/>
        <v>LC</v>
      </c>
      <c r="N297" s="37" t="str">
        <f t="array" aca="1" ref="N297" ca="1">_FV(A297,"Industry")</f>
        <v>Software &amp; IT Services</v>
      </c>
    </row>
    <row r="298" spans="1:14">
      <c r="A298" s="107" t="e" vm="76">
        <v>#VALUE!</v>
      </c>
      <c r="B298" s="33">
        <f t="array" aca="1" ref="B298" ca="1">_FV(A298,"Change (%)",TRUE)</f>
        <v>-1.554E-3</v>
      </c>
      <c r="C298" s="35">
        <f t="array" aca="1" ref="C298" ca="1">_FV(A298,"Previous close",TRUE)</f>
        <v>4053.6</v>
      </c>
      <c r="D298" s="35">
        <f t="array" aca="1" ref="D298" ca="1">_FV(A298,"Price")</f>
        <v>4047.3</v>
      </c>
      <c r="E298" s="35">
        <f t="array" aca="1" ref="E298" ca="1">_FV(A298,"Low")</f>
        <v>4030.2</v>
      </c>
      <c r="F298" s="35">
        <f t="array" aca="1" ref="F298" ca="1">_FV(A298,"High")</f>
        <v>4061.5</v>
      </c>
      <c r="G298" s="35">
        <f t="array" aca="1" ref="G298" ca="1">_FV(A298,"52 week low",TRUE)</f>
        <v>2965.3</v>
      </c>
      <c r="H298" s="36">
        <f t="array" aca="1" ref="H298" ca="1">_FV(A298,"52 week high",TRUE)</f>
        <v>4140</v>
      </c>
      <c r="I298" s="40">
        <f t="shared" ca="1" si="16"/>
        <v>2.2391304347826044</v>
      </c>
      <c r="J298" s="39" t="str">
        <f t="shared" ca="1" si="17"/>
        <v>WATCH</v>
      </c>
      <c r="K298" s="54">
        <f t="shared" ca="1" si="18"/>
        <v>-36.488719522476643</v>
      </c>
      <c r="L298" s="20">
        <f t="array" aca="1" ref="L298" ca="1">_FV(A298,"Market cap",TRUE)/10000000</f>
        <v>556738.9</v>
      </c>
      <c r="M298" s="21" t="str">
        <f t="shared" ca="1" si="19"/>
        <v>HLC</v>
      </c>
      <c r="N298" s="37" t="str">
        <f t="array" aca="1" ref="N298" ca="1">_FV(A298,"Industry")</f>
        <v>Construction &amp; Engineering</v>
      </c>
    </row>
    <row r="299" spans="1:14">
      <c r="A299" s="107" t="e" vm="73">
        <v>#VALUE!</v>
      </c>
      <c r="B299" s="33">
        <f t="array" aca="1" ref="B299" ca="1">_FV(A299,"Change (%)",TRUE)</f>
        <v>-6.038E-3</v>
      </c>
      <c r="C299" s="35">
        <f t="array" aca="1" ref="C299" ca="1">_FV(A299,"Previous close",TRUE)</f>
        <v>463.75</v>
      </c>
      <c r="D299" s="35">
        <f t="array" aca="1" ref="D299" ca="1">_FV(A299,"Price")</f>
        <v>460.95</v>
      </c>
      <c r="E299" s="35">
        <f t="array" aca="1" ref="E299" ca="1">_FV(A299,"Low")</f>
        <v>459.4</v>
      </c>
      <c r="F299" s="35">
        <f t="array" aca="1" ref="F299" ca="1">_FV(A299,"High")</f>
        <v>469.8</v>
      </c>
      <c r="G299" s="35">
        <f t="array" aca="1" ref="G299" ca="1">_FV(A299,"52 week low",TRUE)</f>
        <v>341.2</v>
      </c>
      <c r="H299" s="36">
        <f t="array" aca="1" ref="H299" ca="1">_FV(A299,"52 week high",TRUE)</f>
        <v>517.5</v>
      </c>
      <c r="I299" s="40">
        <f t="shared" ca="1" si="16"/>
        <v>10.92753623188406</v>
      </c>
      <c r="J299" s="39" t="str">
        <f t="shared" ca="1" si="17"/>
        <v>WATCH</v>
      </c>
      <c r="K299" s="54">
        <f t="shared" ca="1" si="18"/>
        <v>-35.096717467760847</v>
      </c>
      <c r="L299" s="20">
        <f t="array" aca="1" ref="L299" ca="1">_FV(A299,"Market cap",TRUE)/10000000</f>
        <v>9596.1460000000006</v>
      </c>
      <c r="M299" s="21" t="str">
        <f t="shared" ca="1" si="19"/>
        <v>HSC</v>
      </c>
      <c r="N299" s="37" t="str">
        <f t="array" aca="1" ref="N299" ca="1">_FV(A299,"Industry")</f>
        <v>Software &amp; IT Services</v>
      </c>
    </row>
    <row r="300" spans="1:14">
      <c r="A300" s="107" t="e" vm="400">
        <v>#VALUE!</v>
      </c>
      <c r="B300" s="33">
        <f t="array" aca="1" ref="B300" ca="1">_FV(A300,"Change (%)",TRUE)</f>
        <v>1.8440000000000001E-4</v>
      </c>
      <c r="C300" s="35">
        <f t="array" aca="1" ref="C300" ca="1">_FV(A300,"Previous close",TRUE)</f>
        <v>1084.8</v>
      </c>
      <c r="D300" s="35">
        <f t="array" aca="1" ref="D300" ca="1">_FV(A300,"Price")</f>
        <v>1085</v>
      </c>
      <c r="E300" s="35">
        <f t="array" aca="1" ref="E300" ca="1">_FV(A300,"Low")</f>
        <v>1078.9000000000001</v>
      </c>
      <c r="F300" s="35">
        <f t="array" aca="1" ref="F300" ca="1">_FV(A300,"High")</f>
        <v>1089.0999999999999</v>
      </c>
      <c r="G300" s="35">
        <f t="array" aca="1" ref="G300" ca="1">_FV(A300,"52 week low",TRUE)</f>
        <v>501.15</v>
      </c>
      <c r="H300" s="36">
        <f t="array" aca="1" ref="H300" ca="1">_FV(A300,"52 week high",TRUE)</f>
        <v>1092.5999999999999</v>
      </c>
      <c r="I300" s="40">
        <f t="shared" ca="1" si="16"/>
        <v>0.6955885044847071</v>
      </c>
      <c r="J300" s="39" t="str">
        <f t="shared" ca="1" si="17"/>
        <v>WATCH</v>
      </c>
      <c r="K300" s="54">
        <f t="shared" ca="1" si="18"/>
        <v>-116.50204529581961</v>
      </c>
      <c r="L300" s="20">
        <f t="array" aca="1" ref="L300" ca="1">_FV(A300,"Market cap",TRUE)/10000000</f>
        <v>58574.44</v>
      </c>
      <c r="M300" s="21" t="str">
        <f t="shared" ca="1" si="19"/>
        <v>HMC</v>
      </c>
      <c r="N300" s="37" t="str">
        <f t="array" aca="1" ref="N300" ca="1">_FV(A300,"Industry")</f>
        <v>Pharmaceuticals</v>
      </c>
    </row>
    <row r="301" spans="1:14">
      <c r="A301" s="107" t="e" vm="401">
        <v>#VALUE!</v>
      </c>
      <c r="B301" s="33">
        <f t="array" aca="1" ref="B301" ca="1">_FV(A301,"Change (%)",TRUE)</f>
        <v>3.2663999999999999E-2</v>
      </c>
      <c r="C301" s="35">
        <f t="array" aca="1" ref="C301" ca="1">_FV(A301,"Previous close",TRUE)</f>
        <v>420.95</v>
      </c>
      <c r="D301" s="35">
        <f t="array" aca="1" ref="D301" ca="1">_FV(A301,"Price")</f>
        <v>434.7</v>
      </c>
      <c r="E301" s="35">
        <f t="array" aca="1" ref="E301" ca="1">_FV(A301,"Low")</f>
        <v>419.2</v>
      </c>
      <c r="F301" s="35">
        <f t="array" aca="1" ref="F301" ca="1">_FV(A301,"High")</f>
        <v>442.3</v>
      </c>
      <c r="G301" s="35">
        <f t="array" aca="1" ref="G301" ca="1">_FV(A301,"52 week low",TRUE)</f>
        <v>382.5</v>
      </c>
      <c r="H301" s="36">
        <f t="array" aca="1" ref="H301" ca="1">_FV(A301,"52 week high",TRUE)</f>
        <v>474.4</v>
      </c>
      <c r="I301" s="40">
        <f t="shared" ca="1" si="16"/>
        <v>8.3684654300168617</v>
      </c>
      <c r="J301" s="39" t="str">
        <f t="shared" ca="1" si="17"/>
        <v>WATCH</v>
      </c>
      <c r="K301" s="54">
        <f t="shared" ca="1" si="18"/>
        <v>-13.647058823529409</v>
      </c>
      <c r="L301" s="20">
        <f t="array" aca="1" ref="L301" ca="1">_FV(A301,"Market cap",TRUE)/10000000</f>
        <v>14057.96</v>
      </c>
      <c r="M301" s="21" t="str">
        <f t="shared" ca="1" si="19"/>
        <v>MC</v>
      </c>
      <c r="N301" s="37" t="str">
        <f t="array" aca="1" ref="N301" ca="1">_FV(A301,"Industry")</f>
        <v>Hotels &amp; Entertainment Services</v>
      </c>
    </row>
    <row r="302" spans="1:14">
      <c r="A302" s="107" t="e" vm="402">
        <v>#VALUE!</v>
      </c>
      <c r="B302" s="33">
        <f t="array" aca="1" ref="B302" ca="1">_FV(A302,"Change (%)",TRUE)</f>
        <v>-7.7380000000000001E-3</v>
      </c>
      <c r="C302" s="35">
        <f t="array" aca="1" ref="C302" ca="1">_FV(A302,"Previous close",TRUE)</f>
        <v>162.84</v>
      </c>
      <c r="D302" s="35">
        <f t="array" aca="1" ref="D302" ca="1">_FV(A302,"Price")</f>
        <v>161.58000000000001</v>
      </c>
      <c r="E302" s="35">
        <f t="array" aca="1" ref="E302" ca="1">_FV(A302,"Low")</f>
        <v>161.18</v>
      </c>
      <c r="F302" s="35">
        <f t="array" aca="1" ref="F302" ca="1">_FV(A302,"High")</f>
        <v>163.44999999999999</v>
      </c>
      <c r="G302" s="35">
        <f t="array" aca="1" ref="G302" ca="1">_FV(A302,"52 week low",TRUE)</f>
        <v>117.51</v>
      </c>
      <c r="H302" s="36">
        <f t="array" aca="1" ref="H302" ca="1">_FV(A302,"52 week high",TRUE)</f>
        <v>180.68</v>
      </c>
      <c r="I302" s="40">
        <f t="shared" ca="1" si="16"/>
        <v>10.571175558999332</v>
      </c>
      <c r="J302" s="39" t="str">
        <f t="shared" ca="1" si="17"/>
        <v>WATCH</v>
      </c>
      <c r="K302" s="54">
        <f t="shared" ca="1" si="18"/>
        <v>-37.503191217768709</v>
      </c>
      <c r="L302" s="20">
        <f t="array" aca="1" ref="L302" ca="1">_FV(A302,"Market cap",TRUE)/10000000</f>
        <v>12894.45</v>
      </c>
      <c r="M302" s="21" t="str">
        <f t="shared" ca="1" si="19"/>
        <v>MC</v>
      </c>
      <c r="N302" s="37" t="str">
        <f t="array" aca="1" ref="N302" ca="1">_FV(A302,"Industry")</f>
        <v>Hotels &amp; Entertainment Services</v>
      </c>
    </row>
    <row r="303" spans="1:14">
      <c r="A303" s="107" t="e" vm="74">
        <v>#VALUE!</v>
      </c>
      <c r="B303" s="33">
        <f t="array" aca="1" ref="B303" ca="1">_FV(A303,"Change (%)",TRUE)</f>
        <v>-4.8599999999999997E-3</v>
      </c>
      <c r="C303" s="35">
        <f t="array" aca="1" ref="C303" ca="1">_FV(A303,"Previous close",TRUE)</f>
        <v>853.9</v>
      </c>
      <c r="D303" s="35">
        <f t="array" aca="1" ref="D303" ca="1">_FV(A303,"Price")</f>
        <v>849.75</v>
      </c>
      <c r="E303" s="35">
        <f t="array" aca="1" ref="E303" ca="1">_FV(A303,"Low")</f>
        <v>844.8</v>
      </c>
      <c r="F303" s="35">
        <f t="array" aca="1" ref="F303" ca="1">_FV(A303,"High")</f>
        <v>851.4</v>
      </c>
      <c r="G303" s="35">
        <f t="array" aca="1" ref="G303" ca="1">_FV(A303,"52 week low",TRUE)</f>
        <v>715.3</v>
      </c>
      <c r="H303" s="36">
        <f t="array" aca="1" ref="H303" ca="1">_FV(A303,"52 week high",TRUE)</f>
        <v>980</v>
      </c>
      <c r="I303" s="40">
        <f t="shared" ca="1" si="16"/>
        <v>13.290816326530612</v>
      </c>
      <c r="J303" s="39" t="str">
        <f t="shared" ca="1" si="17"/>
        <v>SURE HLC BUY</v>
      </c>
      <c r="K303" s="54">
        <f t="shared" ca="1" si="18"/>
        <v>-18.79630924087796</v>
      </c>
      <c r="L303" s="20">
        <f t="array" aca="1" ref="L303" ca="1">_FV(A303,"Market cap",TRUE)/10000000</f>
        <v>540091.6</v>
      </c>
      <c r="M303" s="21" t="str">
        <f t="shared" ca="1" si="19"/>
        <v>HLC</v>
      </c>
      <c r="N303" s="37" t="str">
        <f t="array" aca="1" ref="N303" ca="1">_FV(A303,"Industry")</f>
        <v>Insurance</v>
      </c>
    </row>
    <row r="304" spans="1:14">
      <c r="A304" s="107" t="e" vm="403">
        <v>#VALUE!</v>
      </c>
      <c r="B304" s="33">
        <f t="array" aca="1" ref="B304" ca="1">_FV(A304,"Change (%)",TRUE)</f>
        <v>2.1086999999999998E-2</v>
      </c>
      <c r="C304" s="35">
        <f t="array" aca="1" ref="C304" ca="1">_FV(A304,"Previous close",TRUE)</f>
        <v>5833</v>
      </c>
      <c r="D304" s="35">
        <f t="array" aca="1" ref="D304" ca="1">_FV(A304,"Price")</f>
        <v>5956</v>
      </c>
      <c r="E304" s="35">
        <f t="array" aca="1" ref="E304" ca="1">_FV(A304,"Low")</f>
        <v>5803.5</v>
      </c>
      <c r="F304" s="35">
        <f t="array" aca="1" ref="F304" ca="1">_FV(A304,"High")</f>
        <v>6000</v>
      </c>
      <c r="G304" s="35">
        <f t="array" aca="1" ref="G304" ca="1">_FV(A304,"52 week low",TRUE)</f>
        <v>5236.32</v>
      </c>
      <c r="H304" s="36">
        <f t="array" aca="1" ref="H304" ca="1">_FV(A304,"52 week high",TRUE)</f>
        <v>7860.87</v>
      </c>
      <c r="I304" s="40">
        <f t="shared" ca="1" si="16"/>
        <v>24.232305075646842</v>
      </c>
      <c r="J304" s="39" t="str">
        <f t="shared" ca="1" si="17"/>
        <v>HMC BUY</v>
      </c>
      <c r="K304" s="54">
        <f t="shared" ca="1" si="18"/>
        <v>-13.744003422250747</v>
      </c>
      <c r="L304" s="20">
        <f t="array" aca="1" ref="L304" ca="1">_FV(A304,"Market cap",TRUE)/10000000</f>
        <v>49746.29</v>
      </c>
      <c r="M304" s="21" t="str">
        <f t="shared" ca="1" si="19"/>
        <v>HMC</v>
      </c>
      <c r="N304" s="37" t="str">
        <f t="array" aca="1" ref="N304" ca="1">_FV(A304,"Industry")</f>
        <v>Chemicals</v>
      </c>
    </row>
    <row r="305" spans="1:14">
      <c r="A305" s="107" t="e" vm="404">
        <v>#VALUE!</v>
      </c>
      <c r="B305" s="33">
        <f t="array" aca="1" ref="B305" ca="1">_FV(A305,"Change (%)",TRUE)</f>
        <v>-3.9269999999999999E-3</v>
      </c>
      <c r="C305" s="35">
        <f t="array" aca="1" ref="C305" ca="1">_FV(A305,"Previous close",TRUE)</f>
        <v>1375.2</v>
      </c>
      <c r="D305" s="35">
        <f t="array" aca="1" ref="D305" ca="1">_FV(A305,"Price")</f>
        <v>1369.8</v>
      </c>
      <c r="E305" s="35">
        <f t="array" aca="1" ref="E305" ca="1">_FV(A305,"Low")</f>
        <v>1359.8</v>
      </c>
      <c r="F305" s="35">
        <f t="array" aca="1" ref="F305" ca="1">_FV(A305,"High")</f>
        <v>1384</v>
      </c>
      <c r="G305" s="35">
        <f t="array" aca="1" ref="G305" ca="1">_FV(A305,"52 week low",TRUE)</f>
        <v>942.15</v>
      </c>
      <c r="H305" s="36">
        <f t="array" aca="1" ref="H305" ca="1">_FV(A305,"52 week high",TRUE)</f>
        <v>1612</v>
      </c>
      <c r="I305" s="40">
        <f t="shared" ca="1" si="16"/>
        <v>15.024813895781641</v>
      </c>
      <c r="J305" s="39" t="str">
        <f t="shared" ca="1" si="17"/>
        <v>FIRST HMC BUY</v>
      </c>
      <c r="K305" s="54">
        <f t="shared" ca="1" si="18"/>
        <v>-45.390861327814044</v>
      </c>
      <c r="L305" s="20">
        <f t="array" aca="1" ref="L305" ca="1">_FV(A305,"Market cap",TRUE)/10000000</f>
        <v>72665.03</v>
      </c>
      <c r="M305" s="21" t="str">
        <f t="shared" ca="1" si="19"/>
        <v>HMC</v>
      </c>
      <c r="N305" s="37" t="str">
        <f t="array" aca="1" ref="N305" ca="1">_FV(A305,"Industry")</f>
        <v>Metals &amp; Mining</v>
      </c>
    </row>
    <row r="306" spans="1:14">
      <c r="A306" s="107" t="e" vm="75">
        <v>#VALUE!</v>
      </c>
      <c r="B306" s="33">
        <f t="array" aca="1" ref="B306" ca="1">_FV(A306,"Change (%)",TRUE)</f>
        <v>-6.1110000000000001E-3</v>
      </c>
      <c r="C306" s="35">
        <f t="array" aca="1" ref="C306" ca="1">_FV(A306,"Previous close",TRUE)</f>
        <v>1080.0999999999999</v>
      </c>
      <c r="D306" s="35">
        <f t="array" aca="1" ref="D306" ca="1">_FV(A306,"Price")</f>
        <v>1073.5</v>
      </c>
      <c r="E306" s="35">
        <f t="array" aca="1" ref="E306" ca="1">_FV(A306,"Low")</f>
        <v>1069.7</v>
      </c>
      <c r="F306" s="35">
        <f t="array" aca="1" ref="F306" ca="1">_FV(A306,"High")</f>
        <v>1085</v>
      </c>
      <c r="G306" s="35">
        <f t="array" aca="1" ref="G306" ca="1">_FV(A306,"52 week low",TRUE)</f>
        <v>1035.1500000000001</v>
      </c>
      <c r="H306" s="36">
        <f t="array" aca="1" ref="H306" ca="1">_FV(A306,"52 week high",TRUE)</f>
        <v>1531</v>
      </c>
      <c r="I306" s="40">
        <f t="shared" ca="1" si="16"/>
        <v>29.882429784454605</v>
      </c>
      <c r="J306" s="39" t="str">
        <f t="shared" ca="1" si="17"/>
        <v>SURE LC BUY</v>
      </c>
      <c r="K306" s="54">
        <f t="shared" ca="1" si="18"/>
        <v>-3.7047770854465445</v>
      </c>
      <c r="L306" s="20">
        <f t="array" aca="1" ref="L306" ca="1">_FV(A306,"Market cap",TRUE)/10000000</f>
        <v>107874.7</v>
      </c>
      <c r="M306" s="21" t="str">
        <f t="shared" ca="1" si="19"/>
        <v>LC</v>
      </c>
      <c r="N306" s="37" t="str">
        <f t="array" aca="1" ref="N306" ca="1">_FV(A306,"Industry")</f>
        <v>Real Estate Operations</v>
      </c>
    </row>
    <row r="307" spans="1:14">
      <c r="A307" s="107" t="e" vm="405">
        <v>#VALUE!</v>
      </c>
      <c r="B307" s="33">
        <f t="array" aca="1" ref="B307" ca="1">_FV(A307,"Change (%)",TRUE)</f>
        <v>2.5629999999999997E-3</v>
      </c>
      <c r="C307" s="35">
        <f t="array" aca="1" ref="C307" ca="1">_FV(A307,"Previous close",TRUE)</f>
        <v>2107</v>
      </c>
      <c r="D307" s="35">
        <f t="array" aca="1" ref="D307" ca="1">_FV(A307,"Price")</f>
        <v>2112.4</v>
      </c>
      <c r="E307" s="35">
        <f t="array" aca="1" ref="E307" ca="1">_FV(A307,"Low")</f>
        <v>2095.6999999999998</v>
      </c>
      <c r="F307" s="35">
        <f t="array" aca="1" ref="F307" ca="1">_FV(A307,"High")</f>
        <v>2117</v>
      </c>
      <c r="G307" s="35">
        <f t="array" aca="1" ref="G307" ca="1">_FV(A307,"52 week low",TRUE)</f>
        <v>1795.2</v>
      </c>
      <c r="H307" s="36">
        <f t="array" aca="1" ref="H307" ca="1">_FV(A307,"52 week high",TRUE)</f>
        <v>2402.9</v>
      </c>
      <c r="I307" s="40">
        <f t="shared" ca="1" si="16"/>
        <v>12.089558450206001</v>
      </c>
      <c r="J307" s="39" t="str">
        <f t="shared" ca="1" si="17"/>
        <v>WATCH</v>
      </c>
      <c r="K307" s="54">
        <f t="shared" ca="1" si="18"/>
        <v>-17.669340463458113</v>
      </c>
      <c r="L307" s="20">
        <f t="array" aca="1" ref="L307" ca="1">_FV(A307,"Market cap",TRUE)/10000000</f>
        <v>96247.51</v>
      </c>
      <c r="M307" s="21" t="str">
        <f t="shared" ca="1" si="19"/>
        <v>HMC</v>
      </c>
      <c r="N307" s="37" t="str">
        <f t="array" aca="1" ref="N307" ca="1">_FV(A307,"Industry")</f>
        <v>Pharmaceuticals</v>
      </c>
    </row>
    <row r="308" spans="1:14">
      <c r="A308" s="107" t="e" vm="406">
        <v>#VALUE!</v>
      </c>
      <c r="B308" s="33">
        <f t="array" aca="1" ref="B308" ca="1">_FV(A308,"Change (%)",TRUE)</f>
        <v>0.116635</v>
      </c>
      <c r="C308" s="35">
        <f t="array" aca="1" ref="C308" ca="1">_FV(A308,"Previous close",TRUE)</f>
        <v>57.53</v>
      </c>
      <c r="D308" s="35">
        <f t="array" aca="1" ref="D308" ca="1">_FV(A308,"Price")</f>
        <v>64.239999999999995</v>
      </c>
      <c r="E308" s="35">
        <f t="array" aca="1" ref="E308" ca="1">_FV(A308,"Low")</f>
        <v>57.25</v>
      </c>
      <c r="F308" s="35">
        <f t="array" aca="1" ref="F308" ca="1">_FV(A308,"High")</f>
        <v>65.400000000000006</v>
      </c>
      <c r="G308" s="35">
        <f t="array" aca="1" ref="G308" ca="1">_FV(A308,"52 week low",TRUE)</f>
        <v>44.5</v>
      </c>
      <c r="H308" s="36">
        <f t="array" aca="1" ref="H308" ca="1">_FV(A308,"52 week high",TRUE)</f>
        <v>88.19</v>
      </c>
      <c r="I308" s="40">
        <f t="shared" ca="1" si="16"/>
        <v>27.157274067354582</v>
      </c>
      <c r="J308" s="39" t="str">
        <f t="shared" ca="1" si="17"/>
        <v>WATCH</v>
      </c>
      <c r="K308" s="54">
        <f t="shared" ca="1" si="18"/>
        <v>-44.359550561797739</v>
      </c>
      <c r="L308" s="20">
        <f t="array" aca="1" ref="L308" ca="1">_FV(A308,"Market cap",TRUE)/10000000</f>
        <v>8629.5</v>
      </c>
      <c r="M308" s="21" t="str">
        <f t="shared" ca="1" si="19"/>
        <v>HSC</v>
      </c>
      <c r="N308" s="37" t="str">
        <f t="array" aca="1" ref="N308" ca="1">_FV(A308,"Industry")</f>
        <v>Metals &amp; Mining</v>
      </c>
    </row>
    <row r="309" spans="1:14">
      <c r="A309" s="107" t="e" vm="407">
        <v>#VALUE!</v>
      </c>
      <c r="B309" s="33">
        <f t="array" aca="1" ref="B309" ca="1">_FV(A309,"Change (%)",TRUE)</f>
        <v>-8.1220000000000007E-3</v>
      </c>
      <c r="C309" s="35">
        <f t="array" aca="1" ref="C309" ca="1">_FV(A309,"Previous close",TRUE)</f>
        <v>151435</v>
      </c>
      <c r="D309" s="35">
        <f t="array" aca="1" ref="D309" ca="1">_FV(A309,"Price")</f>
        <v>150205</v>
      </c>
      <c r="E309" s="35">
        <f t="array" aca="1" ref="E309" ca="1">_FV(A309,"Low")</f>
        <v>150000</v>
      </c>
      <c r="F309" s="35">
        <f t="array" aca="1" ref="F309" ca="1">_FV(A309,"High")</f>
        <v>152295</v>
      </c>
      <c r="G309" s="35">
        <f t="array" aca="1" ref="G309" ca="1">_FV(A309,"52 week low",TRUE)</f>
        <v>102124.05</v>
      </c>
      <c r="H309" s="36">
        <f t="array" aca="1" ref="H309" ca="1">_FV(A309,"52 week high",TRUE)</f>
        <v>163600</v>
      </c>
      <c r="I309" s="40">
        <f t="shared" ca="1" si="16"/>
        <v>8.1876528117359406</v>
      </c>
      <c r="J309" s="39" t="str">
        <f t="shared" ca="1" si="17"/>
        <v>WATCH</v>
      </c>
      <c r="K309" s="54">
        <f t="shared" ca="1" si="18"/>
        <v>-47.080927558200052</v>
      </c>
      <c r="L309" s="20">
        <f t="array" aca="1" ref="L309" ca="1">_FV(A309,"Market cap",TRUE)/10000000</f>
        <v>63704.09</v>
      </c>
      <c r="M309" s="21" t="str">
        <f t="shared" ca="1" si="19"/>
        <v>HMC</v>
      </c>
      <c r="N309" s="37" t="str">
        <f t="array" aca="1" ref="N309" ca="1">_FV(A309,"Industry")</f>
        <v>Automobiles &amp; Auto Parts</v>
      </c>
    </row>
    <row r="310" spans="1:14">
      <c r="A310" s="107" t="e" vm="408">
        <v>#VALUE!</v>
      </c>
      <c r="B310" s="33">
        <f t="array" aca="1" ref="B310" ca="1">_FV(A310,"Change (%)",TRUE)</f>
        <v>5.7520000000000002E-3</v>
      </c>
      <c r="C310" s="35">
        <f t="array" aca="1" ref="C310" ca="1">_FV(A310,"Previous close",TRUE)</f>
        <v>1130.0999999999999</v>
      </c>
      <c r="D310" s="35">
        <f t="array" aca="1" ref="D310" ca="1">_FV(A310,"Price")</f>
        <v>1136.5999999999999</v>
      </c>
      <c r="E310" s="35">
        <f t="array" aca="1" ref="E310" ca="1">_FV(A310,"Low")</f>
        <v>1126.0999999999999</v>
      </c>
      <c r="F310" s="35">
        <f t="array" aca="1" ref="F310" ca="1">_FV(A310,"High")</f>
        <v>1142.8</v>
      </c>
      <c r="G310" s="35">
        <f t="array" aca="1" ref="G310" ca="1">_FV(A310,"52 week low",TRUE)</f>
        <v>1092.3</v>
      </c>
      <c r="H310" s="36">
        <f t="array" aca="1" ref="H310" ca="1">_FV(A310,"52 week high",TRUE)</f>
        <v>1586.9</v>
      </c>
      <c r="I310" s="40">
        <f t="shared" ca="1" si="16"/>
        <v>28.376079148024459</v>
      </c>
      <c r="J310" s="39" t="str">
        <f t="shared" ca="1" si="17"/>
        <v>FIRST MC BUY</v>
      </c>
      <c r="K310" s="54">
        <f t="shared" ca="1" si="18"/>
        <v>-4.0556623638194598</v>
      </c>
      <c r="L310" s="20">
        <f t="array" aca="1" ref="L310" ca="1">_FV(A310,"Market cap",TRUE)/10000000</f>
        <v>11162.88</v>
      </c>
      <c r="M310" s="21" t="str">
        <f t="shared" ca="1" si="19"/>
        <v>MC</v>
      </c>
      <c r="N310" s="37" t="str">
        <f t="array" aca="1" ref="N310" ca="1">_FV(A310,"Industry")</f>
        <v>Natural Gas Utilities</v>
      </c>
    </row>
    <row r="311" spans="1:14">
      <c r="A311" s="107" t="e" vm="409">
        <v>#VALUE!</v>
      </c>
      <c r="B311" s="33">
        <f t="array" aca="1" ref="B311" ca="1">_FV(A311,"Change (%)",TRUE)</f>
        <v>2.055E-3</v>
      </c>
      <c r="C311" s="35">
        <f t="array" aca="1" ref="C311" ca="1">_FV(A311,"Previous close",TRUE)</f>
        <v>14113</v>
      </c>
      <c r="D311" s="35">
        <f t="array" aca="1" ref="D311" ca="1">_FV(A311,"Price")</f>
        <v>14142</v>
      </c>
      <c r="E311" s="35">
        <f t="array" aca="1" ref="E311" ca="1">_FV(A311,"Low")</f>
        <v>14003</v>
      </c>
      <c r="F311" s="35">
        <f t="array" aca="1" ref="F311" ca="1">_FV(A311,"High")</f>
        <v>14190</v>
      </c>
      <c r="G311" s="35">
        <f t="array" aca="1" ref="G311" ca="1">_FV(A311,"52 week low",TRUE)</f>
        <v>8803.35</v>
      </c>
      <c r="H311" s="36">
        <f t="array" aca="1" ref="H311" ca="1">_FV(A311,"52 week high",TRUE)</f>
        <v>18538</v>
      </c>
      <c r="I311" s="40">
        <f t="shared" ca="1" si="16"/>
        <v>23.713453446973784</v>
      </c>
      <c r="J311" s="39" t="str">
        <f t="shared" ca="1" si="17"/>
        <v>FIRST MC BUY</v>
      </c>
      <c r="K311" s="54">
        <f t="shared" ca="1" si="18"/>
        <v>-60.643391436214621</v>
      </c>
      <c r="L311" s="20">
        <f t="array" aca="1" ref="L311" ca="1">_FV(A311,"Market cap",TRUE)/10000000</f>
        <v>16129.14</v>
      </c>
      <c r="M311" s="21" t="str">
        <f t="shared" ca="1" si="19"/>
        <v>MC</v>
      </c>
      <c r="N311" s="37" t="str">
        <f t="array" aca="1" ref="N311" ca="1">_FV(A311,"Industry")</f>
        <v>Holding Companies</v>
      </c>
    </row>
    <row r="312" spans="1:14">
      <c r="A312" s="107" t="e" vm="410">
        <v>#VALUE!</v>
      </c>
      <c r="B312" s="33">
        <f t="array" aca="1" ref="B312" ca="1">_FV(A312,"Change (%)",TRUE)</f>
        <v>-2.721E-4</v>
      </c>
      <c r="C312" s="35">
        <f t="array" aca="1" ref="C312" ca="1">_FV(A312,"Previous close",TRUE)</f>
        <v>551.35</v>
      </c>
      <c r="D312" s="35">
        <f t="array" aca="1" ref="D312" ca="1">_FV(A312,"Price")</f>
        <v>551.20000000000005</v>
      </c>
      <c r="E312" s="35">
        <f t="array" aca="1" ref="E312" ca="1">_FV(A312,"Low")</f>
        <v>548.45000000000005</v>
      </c>
      <c r="F312" s="35">
        <f t="array" aca="1" ref="F312" ca="1">_FV(A312,"High")</f>
        <v>557.70000000000005</v>
      </c>
      <c r="G312" s="35">
        <f t="array" aca="1" ref="G312" ca="1">_FV(A312,"52 week low",TRUE)</f>
        <v>540.5</v>
      </c>
      <c r="H312" s="36">
        <f t="array" aca="1" ref="H312" ca="1">_FV(A312,"52 week high",TRUE)</f>
        <v>773.8</v>
      </c>
      <c r="I312" s="40">
        <f t="shared" ca="1" si="16"/>
        <v>28.767123287671225</v>
      </c>
      <c r="J312" s="39" t="str">
        <f t="shared" ca="1" si="17"/>
        <v>WATCH</v>
      </c>
      <c r="K312" s="54">
        <f t="shared" ca="1" si="18"/>
        <v>-1.9796484736355311</v>
      </c>
      <c r="L312" s="20">
        <f t="array" aca="1" ref="L312" ca="1">_FV(A312,"Market cap",TRUE)/10000000</f>
        <v>7388.0479999999998</v>
      </c>
      <c r="M312" s="21" t="str">
        <f t="shared" ca="1" si="19"/>
        <v>HSC</v>
      </c>
      <c r="N312" s="37" t="str">
        <f t="array" aca="1" ref="N312" ca="1">_FV(A312,"Industry")</f>
        <v>Metals &amp; Mining</v>
      </c>
    </row>
    <row r="313" spans="1:14">
      <c r="A313" s="107" t="e" vm="411">
        <v>#VALUE!</v>
      </c>
      <c r="B313" s="33">
        <f t="array" aca="1" ref="B313" ca="1">_FV(A313,"Change (%)",TRUE)</f>
        <v>1.1549E-2</v>
      </c>
      <c r="C313" s="35">
        <f t="array" aca="1" ref="C313" ca="1">_FV(A313,"Previous close",TRUE)</f>
        <v>389.65</v>
      </c>
      <c r="D313" s="35">
        <f t="array" aca="1" ref="D313" ca="1">_FV(A313,"Price")</f>
        <v>394.15</v>
      </c>
      <c r="E313" s="35">
        <f t="array" aca="1" ref="E313" ca="1">_FV(A313,"Low")</f>
        <v>387.25</v>
      </c>
      <c r="F313" s="35">
        <f t="array" aca="1" ref="F313" ca="1">_FV(A313,"High")</f>
        <v>397.4</v>
      </c>
      <c r="G313" s="35">
        <f t="array" aca="1" ref="G313" ca="1">_FV(A313,"52 week low",TRUE)</f>
        <v>231.52</v>
      </c>
      <c r="H313" s="36">
        <f t="array" aca="1" ref="H313" ca="1">_FV(A313,"52 week high",TRUE)</f>
        <v>412.2</v>
      </c>
      <c r="I313" s="40">
        <f t="shared" ca="1" si="16"/>
        <v>4.3789422610383335</v>
      </c>
      <c r="J313" s="39" t="str">
        <f t="shared" ca="1" si="17"/>
        <v>WATCH</v>
      </c>
      <c r="K313" s="54">
        <f t="shared" ca="1" si="18"/>
        <v>-70.244471319972334</v>
      </c>
      <c r="L313" s="20">
        <f t="array" aca="1" ref="L313" ca="1">_FV(A313,"Market cap",TRUE)/10000000</f>
        <v>54762.89</v>
      </c>
      <c r="M313" s="21" t="str">
        <f t="shared" ca="1" si="19"/>
        <v>HMC</v>
      </c>
      <c r="N313" s="37" t="str">
        <f t="array" aca="1" ref="N313" ca="1">_FV(A313,"Industry")</f>
        <v>Banking Services</v>
      </c>
    </row>
    <row r="314" spans="1:14">
      <c r="A314" s="107" t="e" vm="81">
        <v>#VALUE!</v>
      </c>
      <c r="B314" s="33">
        <f t="array" aca="1" ref="B314" ca="1">_FV(A314,"Change (%)",TRUE)</f>
        <v>-3.7399999999999998E-3</v>
      </c>
      <c r="C314" s="35">
        <f t="array" aca="1" ref="C314" ca="1">_FV(A314,"Previous close",TRUE)</f>
        <v>3636.7</v>
      </c>
      <c r="D314" s="35">
        <f t="array" aca="1" ref="D314" ca="1">_FV(A314,"Price")</f>
        <v>3623.1</v>
      </c>
      <c r="E314" s="35">
        <f t="array" aca="1" ref="E314" ca="1">_FV(A314,"Low")</f>
        <v>3614.6</v>
      </c>
      <c r="F314" s="35">
        <f t="array" aca="1" ref="F314" ca="1">_FV(A314,"High")</f>
        <v>3647</v>
      </c>
      <c r="G314" s="35">
        <f t="array" aca="1" ref="G314" ca="1">_FV(A314,"52 week low",TRUE)</f>
        <v>2425</v>
      </c>
      <c r="H314" s="36">
        <f t="array" aca="1" ref="H314" ca="1">_FV(A314,"52 week high",TRUE)</f>
        <v>3795</v>
      </c>
      <c r="I314" s="40">
        <f t="shared" ca="1" si="16"/>
        <v>4.5296442687747058</v>
      </c>
      <c r="J314" s="39" t="str">
        <f t="shared" ca="1" si="17"/>
        <v>WATCH</v>
      </c>
      <c r="K314" s="54">
        <f t="shared" ca="1" si="18"/>
        <v>-49.406185567010304</v>
      </c>
      <c r="L314" s="20">
        <f t="array" aca="1" ref="L314" ca="1">_FV(A314,"Market cap",TRUE)/10000000</f>
        <v>436420.9</v>
      </c>
      <c r="M314" s="21" t="str">
        <f t="shared" ca="1" si="19"/>
        <v>LC</v>
      </c>
      <c r="N314" s="37" t="str">
        <f t="array" aca="1" ref="N314" ca="1">_FV(A314,"Industry")</f>
        <v>Automobiles &amp; Auto Parts</v>
      </c>
    </row>
    <row r="315" spans="1:14">
      <c r="A315" s="107" t="e" vm="412">
        <v>#VALUE!</v>
      </c>
      <c r="B315" s="33">
        <f t="array" aca="1" ref="B315" ca="1">_FV(A315,"Change (%)",TRUE)</f>
        <v>-3.8150000000000002E-3</v>
      </c>
      <c r="C315" s="35">
        <f t="array" aca="1" ref="C315" ca="1">_FV(A315,"Previous close",TRUE)</f>
        <v>314.55</v>
      </c>
      <c r="D315" s="35">
        <f t="array" aca="1" ref="D315" ca="1">_FV(A315,"Price")</f>
        <v>313.35000000000002</v>
      </c>
      <c r="E315" s="35">
        <f t="array" aca="1" ref="E315" ca="1">_FV(A315,"Low")</f>
        <v>309.95</v>
      </c>
      <c r="F315" s="35">
        <f t="array" aca="1" ref="F315" ca="1">_FV(A315,"High")</f>
        <v>318.89999999999998</v>
      </c>
      <c r="G315" s="35">
        <f t="array" aca="1" ref="G315" ca="1">_FV(A315,"52 week low",TRUE)</f>
        <v>168.83</v>
      </c>
      <c r="H315" s="36">
        <f t="array" aca="1" ref="H315" ca="1">_FV(A315,"52 week high",TRUE)</f>
        <v>318.89999999999998</v>
      </c>
      <c r="I315" s="40">
        <f t="shared" ca="1" si="16"/>
        <v>1.7403574788334759</v>
      </c>
      <c r="J315" s="39" t="str">
        <f t="shared" ca="1" si="17"/>
        <v>WATCH</v>
      </c>
      <c r="K315" s="54">
        <f t="shared" ca="1" si="18"/>
        <v>-85.600900313925251</v>
      </c>
      <c r="L315" s="20">
        <f t="array" aca="1" ref="L315" ca="1">_FV(A315,"Market cap",TRUE)/10000000</f>
        <v>26624.6</v>
      </c>
      <c r="M315" s="21" t="str">
        <f t="shared" ca="1" si="19"/>
        <v>MC</v>
      </c>
      <c r="N315" s="37" t="str">
        <f t="array" aca="1" ref="N315" ca="1">_FV(A315,"Industry")</f>
        <v>Banking Services</v>
      </c>
    </row>
    <row r="316" spans="1:14">
      <c r="A316" s="107" t="e" vm="413">
        <v>#VALUE!</v>
      </c>
      <c r="B316" s="33">
        <f t="array" aca="1" ref="B316" ca="1">_FV(A316,"Change (%)",TRUE)</f>
        <v>-7.1209999999999997E-3</v>
      </c>
      <c r="C316" s="35">
        <f t="array" aca="1" ref="C316" ca="1">_FV(A316,"Previous close",TRUE)</f>
        <v>146.05000000000001</v>
      </c>
      <c r="D316" s="35">
        <f t="array" aca="1" ref="D316" ca="1">_FV(A316,"Price")</f>
        <v>145.01</v>
      </c>
      <c r="E316" s="35">
        <f t="array" aca="1" ref="E316" ca="1">_FV(A316,"Low")</f>
        <v>144.41</v>
      </c>
      <c r="F316" s="35">
        <f t="array" aca="1" ref="F316" ca="1">_FV(A316,"High")</f>
        <v>146.94999999999999</v>
      </c>
      <c r="G316" s="35">
        <f t="array" aca="1" ref="G316" ca="1">_FV(A316,"52 week low",TRUE)</f>
        <v>98.92</v>
      </c>
      <c r="H316" s="36">
        <f t="array" aca="1" ref="H316" ca="1">_FV(A316,"52 week high",TRUE)</f>
        <v>185</v>
      </c>
      <c r="I316" s="40">
        <f t="shared" ca="1" si="16"/>
        <v>21.61621621621622</v>
      </c>
      <c r="J316" s="39" t="str">
        <f t="shared" ca="1" si="17"/>
        <v>FIRST MC BUY</v>
      </c>
      <c r="K316" s="54">
        <f t="shared" ca="1" si="18"/>
        <v>-46.593206631621506</v>
      </c>
      <c r="L316" s="20">
        <f t="array" aca="1" ref="L316" ca="1">_FV(A316,"Market cap",TRUE)/10000000</f>
        <v>25596.7</v>
      </c>
      <c r="M316" s="21" t="str">
        <f t="shared" ca="1" si="19"/>
        <v>MC</v>
      </c>
      <c r="N316" s="37" t="str">
        <f t="array" aca="1" ref="N316" ca="1">_FV(A316,"Industry")</f>
        <v>Oil &amp; Gas</v>
      </c>
    </row>
    <row r="317" spans="1:14">
      <c r="A317" s="107" t="e" vm="414">
        <v>#VALUE!</v>
      </c>
      <c r="B317" s="33">
        <f t="array" aca="1" ref="B317" ca="1">_FV(A317,"Change (%)",TRUE)</f>
        <v>-1.3679999999999999E-4</v>
      </c>
      <c r="C317" s="35">
        <f t="array" aca="1" ref="C317" ca="1">_FV(A317,"Previous close",TRUE)</f>
        <v>2193.3000000000002</v>
      </c>
      <c r="D317" s="35">
        <f t="array" aca="1" ref="D317" ca="1">_FV(A317,"Price")</f>
        <v>2193</v>
      </c>
      <c r="E317" s="35">
        <f t="array" aca="1" ref="E317" ca="1">_FV(A317,"Low")</f>
        <v>2171</v>
      </c>
      <c r="F317" s="35">
        <f t="array" aca="1" ref="F317" ca="1">_FV(A317,"High")</f>
        <v>2211.4</v>
      </c>
      <c r="G317" s="35">
        <f t="array" aca="1" ref="G317" ca="1">_FV(A317,"52 week low",TRUE)</f>
        <v>2090</v>
      </c>
      <c r="H317" s="36">
        <f t="array" aca="1" ref="H317" ca="1">_FV(A317,"52 week high",TRUE)</f>
        <v>3054.8</v>
      </c>
      <c r="I317" s="40">
        <f t="shared" ca="1" si="16"/>
        <v>28.211339531229545</v>
      </c>
      <c r="J317" s="39" t="str">
        <f t="shared" ca="1" si="17"/>
        <v>HMC BUY</v>
      </c>
      <c r="K317" s="54">
        <f t="shared" ca="1" si="18"/>
        <v>-4.9282296650717701</v>
      </c>
      <c r="L317" s="20">
        <f t="array" aca="1" ref="L317" ca="1">_FV(A317,"Market cap",TRUE)/10000000</f>
        <v>90540.54</v>
      </c>
      <c r="M317" s="21" t="str">
        <f t="shared" ca="1" si="19"/>
        <v>HMC</v>
      </c>
      <c r="N317" s="37" t="str">
        <f t="array" aca="1" ref="N317" ca="1">_FV(A317,"Industry")</f>
        <v>Pharmaceuticals</v>
      </c>
    </row>
    <row r="318" spans="1:14">
      <c r="A318" s="107" t="e" vm="415">
        <v>#VALUE!</v>
      </c>
      <c r="B318" s="33">
        <f t="array" aca="1" ref="B318" ca="1">_FV(A318,"Change (%)",TRUE)</f>
        <v>1.1637E-2</v>
      </c>
      <c r="C318" s="35">
        <f t="array" aca="1" ref="C318" ca="1">_FV(A318,"Previous close",TRUE)</f>
        <v>734.75</v>
      </c>
      <c r="D318" s="35">
        <f t="array" aca="1" ref="D318" ca="1">_FV(A318,"Price")</f>
        <v>743.3</v>
      </c>
      <c r="E318" s="35">
        <f t="array" aca="1" ref="E318" ca="1">_FV(A318,"Low")</f>
        <v>732.7</v>
      </c>
      <c r="F318" s="35">
        <f t="array" aca="1" ref="F318" ca="1">_FV(A318,"High")</f>
        <v>746.5</v>
      </c>
      <c r="G318" s="35">
        <f t="array" aca="1" ref="G318" ca="1">_FV(A318,"52 week low",TRUE)</f>
        <v>577.85</v>
      </c>
      <c r="H318" s="36">
        <f t="array" aca="1" ref="H318" ca="1">_FV(A318,"52 week high",TRUE)</f>
        <v>765.3</v>
      </c>
      <c r="I318" s="40">
        <f t="shared" ca="1" si="16"/>
        <v>2.8746896641839803</v>
      </c>
      <c r="J318" s="39" t="str">
        <f t="shared" ca="1" si="17"/>
        <v>WATCH</v>
      </c>
      <c r="K318" s="54">
        <f t="shared" ca="1" si="18"/>
        <v>-28.631997923336492</v>
      </c>
      <c r="L318" s="20">
        <f t="array" aca="1" ref="L318" ca="1">_FV(A318,"Market cap",TRUE)/10000000</f>
        <v>95128.78</v>
      </c>
      <c r="M318" s="21" t="str">
        <f t="shared" ca="1" si="19"/>
        <v>HMC</v>
      </c>
      <c r="N318" s="37" t="str">
        <f t="array" aca="1" ref="N318" ca="1">_FV(A318,"Industry")</f>
        <v>Food &amp; Tobacco</v>
      </c>
    </row>
    <row r="319" spans="1:14">
      <c r="A319" s="107" t="e" vm="79">
        <v>#VALUE!</v>
      </c>
      <c r="B319" s="33">
        <f t="array" aca="1" ref="B319" ca="1">_FV(A319,"Change (%)",TRUE)</f>
        <v>-6.4059999999999994E-3</v>
      </c>
      <c r="C319" s="35">
        <f t="array" aca="1" ref="C319" ca="1">_FV(A319,"Previous close",TRUE)</f>
        <v>16703</v>
      </c>
      <c r="D319" s="35">
        <f t="array" aca="1" ref="D319" ca="1">_FV(A319,"Price")</f>
        <v>16596</v>
      </c>
      <c r="E319" s="35">
        <f t="array" aca="1" ref="E319" ca="1">_FV(A319,"Low")</f>
        <v>16516</v>
      </c>
      <c r="F319" s="35">
        <f t="array" aca="1" ref="F319" ca="1">_FV(A319,"High")</f>
        <v>16703</v>
      </c>
      <c r="G319" s="35">
        <f t="array" aca="1" ref="G319" ca="1">_FV(A319,"52 week low",TRUE)</f>
        <v>10725</v>
      </c>
      <c r="H319" s="36">
        <f t="array" aca="1" ref="H319" ca="1">_FV(A319,"52 week high",TRUE)</f>
        <v>16720</v>
      </c>
      <c r="I319" s="40">
        <f t="shared" ca="1" si="16"/>
        <v>0.74162679425837319</v>
      </c>
      <c r="J319" s="39" t="str">
        <f t="shared" ca="1" si="17"/>
        <v>WATCH</v>
      </c>
      <c r="K319" s="54">
        <f t="shared" ca="1" si="18"/>
        <v>-54.74125874125874</v>
      </c>
      <c r="L319" s="20">
        <f t="array" aca="1" ref="L319" ca="1">_FV(A319,"Market cap",TRUE)/10000000</f>
        <v>521782.5</v>
      </c>
      <c r="M319" s="21" t="str">
        <f t="shared" ca="1" si="19"/>
        <v>HLC</v>
      </c>
      <c r="N319" s="37" t="str">
        <f t="array" aca="1" ref="N319" ca="1">_FV(A319,"Industry")</f>
        <v>Automobiles &amp; Auto Parts</v>
      </c>
    </row>
    <row r="320" spans="1:14">
      <c r="A320" s="107" t="e" vm="416">
        <v>#VALUE!</v>
      </c>
      <c r="B320" s="33">
        <f t="array" aca="1" ref="B320" ca="1">_FV(A320,"Change (%)",TRUE)</f>
        <v>-3.8729999999999997E-3</v>
      </c>
      <c r="C320" s="35">
        <f t="array" aca="1" ref="C320" ca="1">_FV(A320,"Previous close",TRUE)</f>
        <v>1678.5</v>
      </c>
      <c r="D320" s="35">
        <f t="array" aca="1" ref="D320" ca="1">_FV(A320,"Price")</f>
        <v>1672</v>
      </c>
      <c r="E320" s="35">
        <f t="array" aca="1" ref="E320" ca="1">_FV(A320,"Low")</f>
        <v>1661.9</v>
      </c>
      <c r="F320" s="35">
        <f t="array" aca="1" ref="F320" ca="1">_FV(A320,"High")</f>
        <v>1680</v>
      </c>
      <c r="G320" s="35">
        <f t="array" aca="1" ref="G320" ca="1">_FV(A320,"52 week low",TRUE)</f>
        <v>950</v>
      </c>
      <c r="H320" s="36">
        <f t="array" aca="1" ref="H320" ca="1">_FV(A320,"52 week high",TRUE)</f>
        <v>1751.4</v>
      </c>
      <c r="I320" s="40">
        <f t="shared" ref="I320:I383" ca="1" si="20">(H320-D320)*100/H320</f>
        <v>4.5335160443074161</v>
      </c>
      <c r="J320" s="39" t="str">
        <f t="shared" ref="J320:J383" ca="1" si="21">IF(AND(M320="HLC", I320&gt;12), "SURE HLC BUY",IF(AND(M320="HLC", I320&gt;7), "FIRST HLC BUY",IF(AND(M320="LC", I320&gt;20), "SURE LC BUY",IF(AND(M320="LC", I320&gt;10), "LC BUY",IF(AND(M320="HMC", I320&gt;30), "SURE HMC BUY",IF(AND(M320="HMC", I320&gt;20), "HMC BUY",IF(AND(M320="HMC", I320&gt;15), "FIRST HMC BUY",IF(AND(M320="MC", I320&gt;40), "SURE MC BUY",IF(AND(M320="MC", I320&gt;30), "MC BUY",IF(AND(M320="MC", I320&gt;20), "FIRST MC BUY",IF(AND(M320="HSC", I320&gt;60), "SURE HSC BUY",IF(AND(M320="HSC", I320&gt;50), "HSC BUY",IF(AND(M320="HSC", I320&gt;40), "FIRST HSC BUY",IF(AND(M320="SC", I320&gt;70), "SURE SC BUY",IF(AND(M320="SC", I320&gt;60), "SC BUY",IF(AND(M320="SC", I320&gt;50), "FIRST SC BUY",IF(AND(M320="VSC", I320&gt;80), "SURE VSC BUY",IF(AND(M320="VSC", I320&gt;70), "VSC BUY",IF(AND(M320="VSC", I320&gt;60), "FIRST VSC BUY","WATCH")))))))))))))))))))</f>
        <v>WATCH</v>
      </c>
      <c r="K320" s="54">
        <f t="shared" ref="K320:K383" ca="1" si="22">(G320-D320)*100/G320</f>
        <v>-76</v>
      </c>
      <c r="L320" s="20">
        <f t="array" aca="1" ref="L320" ca="1">_FV(A320,"Market cap",TRUE)/10000000</f>
        <v>57703.19</v>
      </c>
      <c r="M320" s="21" t="str">
        <f t="shared" ref="M320:M383" ca="1" si="23">IF(L320&gt;500000,"HLC",IF(L320 &gt;100000,"LC",IF(L320 &gt;40000,"HMC",IF(L320 &gt;10000,"MC",IF(L320 &gt;=5000,"HSC",IF(L320 &gt;1000,"SC","VSC"))))))</f>
        <v>HMC</v>
      </c>
      <c r="N320" s="37" t="str">
        <f t="array" aca="1" ref="N320" ca="1">_FV(A320,"Industry")</f>
        <v>Insurance</v>
      </c>
    </row>
    <row r="321" spans="1:14">
      <c r="A321" s="107" t="e" vm="154">
        <v>#VALUE!</v>
      </c>
      <c r="B321" s="33">
        <f t="array" aca="1" ref="B321" ca="1">_FV(A321,"Change (%)",TRUE)</f>
        <v>-6.5659999999999998E-3</v>
      </c>
      <c r="C321" s="35">
        <f t="array" aca="1" ref="C321" ca="1">_FV(A321,"Previous close",TRUE)</f>
        <v>1081.4000000000001</v>
      </c>
      <c r="D321" s="35">
        <f t="array" aca="1" ref="D321" ca="1">_FV(A321,"Price")</f>
        <v>1074.3</v>
      </c>
      <c r="E321" s="35">
        <f t="array" aca="1" ref="E321" ca="1">_FV(A321,"Low")</f>
        <v>1068.4000000000001</v>
      </c>
      <c r="F321" s="35">
        <f t="array" aca="1" ref="F321" ca="1">_FV(A321,"High")</f>
        <v>1083.3</v>
      </c>
      <c r="G321" s="35">
        <f t="array" aca="1" ref="G321" ca="1">_FV(A321,"52 week low",TRUE)</f>
        <v>940.05</v>
      </c>
      <c r="H321" s="36">
        <f t="array" aca="1" ref="H321" ca="1">_FV(A321,"52 week high",TRUE)</f>
        <v>1314.3</v>
      </c>
      <c r="I321" s="40">
        <f t="shared" ca="1" si="20"/>
        <v>18.260671079662178</v>
      </c>
      <c r="J321" s="39" t="str">
        <f t="shared" ca="1" si="21"/>
        <v>LC BUY</v>
      </c>
      <c r="K321" s="54">
        <f t="shared" ca="1" si="22"/>
        <v>-14.281155257699059</v>
      </c>
      <c r="L321" s="20">
        <f t="array" aca="1" ref="L321" ca="1">_FV(A321,"Market cap",TRUE)/10000000</f>
        <v>105195.3</v>
      </c>
      <c r="M321" s="21" t="str">
        <f t="shared" ca="1" si="23"/>
        <v>LC</v>
      </c>
      <c r="N321" s="37" t="str">
        <f t="array" aca="1" ref="N321" ca="1">_FV(A321,"Industry")</f>
        <v>Healthcare Providers &amp; Services</v>
      </c>
    </row>
    <row r="322" spans="1:14">
      <c r="A322" s="107" t="e" vm="172">
        <v>#VALUE!</v>
      </c>
      <c r="B322" s="33">
        <f t="array" aca="1" ref="B322" ca="1">_FV(A322,"Change (%)",TRUE)</f>
        <v>4.3300000000000001E-4</v>
      </c>
      <c r="C322" s="35">
        <f t="array" aca="1" ref="C322" ca="1">_FV(A322,"Previous close",TRUE)</f>
        <v>2540.3000000000002</v>
      </c>
      <c r="D322" s="35">
        <f t="array" aca="1" ref="D322" ca="1">_FV(A322,"Price")</f>
        <v>2541.4</v>
      </c>
      <c r="E322" s="35">
        <f t="array" aca="1" ref="E322" ca="1">_FV(A322,"Low")</f>
        <v>2526.1999999999998</v>
      </c>
      <c r="F322" s="35">
        <f t="array" aca="1" ref="F322" ca="1">_FV(A322,"High")</f>
        <v>2628.7</v>
      </c>
      <c r="G322" s="35">
        <f t="array" aca="1" ref="G322" ca="1">_FV(A322,"52 week low",TRUE)</f>
        <v>1918.05</v>
      </c>
      <c r="H322" s="36">
        <f t="array" aca="1" ref="H322" ca="1">_FV(A322,"52 week high",TRUE)</f>
        <v>3775</v>
      </c>
      <c r="I322" s="40">
        <f t="shared" ca="1" si="20"/>
        <v>32.678145695364236</v>
      </c>
      <c r="J322" s="39" t="str">
        <f t="shared" ca="1" si="21"/>
        <v>SURE LC BUY</v>
      </c>
      <c r="K322" s="54">
        <f t="shared" ca="1" si="22"/>
        <v>-32.499152785380993</v>
      </c>
      <c r="L322" s="20">
        <f t="array" aca="1" ref="L322" ca="1">_FV(A322,"Market cap",TRUE)/10000000</f>
        <v>102470.6</v>
      </c>
      <c r="M322" s="21" t="str">
        <f t="shared" ca="1" si="23"/>
        <v>LC</v>
      </c>
      <c r="N322" s="37" t="str">
        <f t="array" aca="1" ref="N322" ca="1">_FV(A322,"Industry")</f>
        <v>Aerospace &amp; Defense</v>
      </c>
    </row>
    <row r="323" spans="1:14">
      <c r="A323" s="107" t="e" vm="417">
        <v>#VALUE!</v>
      </c>
      <c r="B323" s="33">
        <f t="array" aca="1" ref="B323" ca="1">_FV(A323,"Change (%)",TRUE)</f>
        <v>1.6532000000000002E-2</v>
      </c>
      <c r="C323" s="35">
        <f t="array" aca="1" ref="C323" ca="1">_FV(A323,"Previous close",TRUE)</f>
        <v>1887.3</v>
      </c>
      <c r="D323" s="35">
        <f t="array" aca="1" ref="D323" ca="1">_FV(A323,"Price")</f>
        <v>1918.5</v>
      </c>
      <c r="E323" s="35">
        <f t="array" aca="1" ref="E323" ca="1">_FV(A323,"Low")</f>
        <v>1878</v>
      </c>
      <c r="F323" s="35">
        <f t="array" aca="1" ref="F323" ca="1">_FV(A323,"High")</f>
        <v>1927</v>
      </c>
      <c r="G323" s="35">
        <f t="array" aca="1" ref="G323" ca="1">_FV(A323,"52 week low",TRUE)</f>
        <v>1315</v>
      </c>
      <c r="H323" s="36">
        <f t="array" aca="1" ref="H323" ca="1">_FV(A323,"52 week high",TRUE)</f>
        <v>2263</v>
      </c>
      <c r="I323" s="40">
        <f t="shared" ca="1" si="20"/>
        <v>15.223155103844455</v>
      </c>
      <c r="J323" s="39" t="str">
        <f t="shared" ca="1" si="21"/>
        <v>WATCH</v>
      </c>
      <c r="K323" s="54">
        <f t="shared" ca="1" si="22"/>
        <v>-45.893536121673002</v>
      </c>
      <c r="L323" s="20">
        <f t="array" aca="1" ref="L323" ca="1">_FV(A323,"Market cap",TRUE)/10000000</f>
        <v>9942.0470000000005</v>
      </c>
      <c r="M323" s="21" t="str">
        <f t="shared" ca="1" si="23"/>
        <v>HSC</v>
      </c>
      <c r="N323" s="37" t="str">
        <f t="array" aca="1" ref="N323" ca="1">_FV(A323,"Industry")</f>
        <v>Healthcare Providers &amp; Services</v>
      </c>
    </row>
    <row r="324" spans="1:14">
      <c r="A324" s="107" t="e" vm="80">
        <v>#VALUE!</v>
      </c>
      <c r="B324" s="33">
        <f t="array" aca="1" ref="B324" ca="1">_FV(A324,"Change (%)",TRUE)</f>
        <v>-1.0300999999999999E-2</v>
      </c>
      <c r="C324" s="35">
        <f t="array" aca="1" ref="C324" ca="1">_FV(A324,"Previous close",TRUE)</f>
        <v>587.35</v>
      </c>
      <c r="D324" s="35">
        <f t="array" aca="1" ref="D324" ca="1">_FV(A324,"Price")</f>
        <v>581.29999999999995</v>
      </c>
      <c r="E324" s="35">
        <f t="array" aca="1" ref="E324" ca="1">_FV(A324,"Low")</f>
        <v>578.04999999999995</v>
      </c>
      <c r="F324" s="35">
        <f t="array" aca="1" ref="F324" ca="1">_FV(A324,"High")</f>
        <v>589.75</v>
      </c>
      <c r="G324" s="35">
        <f t="array" aca="1" ref="G324" ca="1">_FV(A324,"52 week low",TRUE)</f>
        <v>445.05</v>
      </c>
      <c r="H324" s="36">
        <f t="array" aca="1" ref="H324" ca="1">_FV(A324,"52 week high",TRUE)</f>
        <v>619.95000000000005</v>
      </c>
      <c r="I324" s="40">
        <f t="shared" ca="1" si="20"/>
        <v>6.234373739817741</v>
      </c>
      <c r="J324" s="39" t="str">
        <f t="shared" ca="1" si="21"/>
        <v>WATCH</v>
      </c>
      <c r="K324" s="54">
        <f t="shared" ca="1" si="22"/>
        <v>-30.614537692394101</v>
      </c>
      <c r="L324" s="20">
        <f t="array" aca="1" ref="L324" ca="1">_FV(A324,"Market cap",TRUE)/10000000</f>
        <v>13823.92</v>
      </c>
      <c r="M324" s="21" t="str">
        <f t="shared" ca="1" si="23"/>
        <v>MC</v>
      </c>
      <c r="N324" s="37" t="str">
        <f t="array" aca="1" ref="N324" ca="1">_FV(A324,"Industry")</f>
        <v>Automobiles &amp; Auto Parts</v>
      </c>
    </row>
    <row r="325" spans="1:14">
      <c r="A325" s="107" t="e" vm="418">
        <v>#VALUE!</v>
      </c>
      <c r="B325" s="33">
        <f t="array" aca="1" ref="B325" ca="1">_FV(A325,"Change (%)",TRUE)</f>
        <v>-3.313E-3</v>
      </c>
      <c r="C325" s="35">
        <f t="array" aca="1" ref="C325" ca="1">_FV(A325,"Previous close",TRUE)</f>
        <v>45.28</v>
      </c>
      <c r="D325" s="35">
        <f t="array" aca="1" ref="D325" ca="1">_FV(A325,"Price")</f>
        <v>45.13</v>
      </c>
      <c r="E325" s="35">
        <f t="array" aca="1" ref="E325" ca="1">_FV(A325,"Low")</f>
        <v>45</v>
      </c>
      <c r="F325" s="35">
        <f t="array" aca="1" ref="F325" ca="1">_FV(A325,"High")</f>
        <v>45.39</v>
      </c>
      <c r="G325" s="35">
        <f t="array" aca="1" ref="G325" ca="1">_FV(A325,"52 week low",TRUE)</f>
        <v>30.72</v>
      </c>
      <c r="H325" s="36">
        <f t="array" aca="1" ref="H325" ca="1">_FV(A325,"52 week high",TRUE)</f>
        <v>50.54</v>
      </c>
      <c r="I325" s="40">
        <f t="shared" ca="1" si="20"/>
        <v>10.704392560348232</v>
      </c>
      <c r="J325" s="39" t="str">
        <f t="shared" ca="1" si="21"/>
        <v>WATCH</v>
      </c>
      <c r="K325" s="54">
        <f t="shared" ca="1" si="22"/>
        <v>-46.90755208333335</v>
      </c>
      <c r="L325" s="20">
        <f t="array" aca="1" ref="L325" ca="1">_FV(A325,"Market cap",TRUE)/10000000</f>
        <v>30028.17</v>
      </c>
      <c r="M325" s="21" t="str">
        <f t="shared" ca="1" si="23"/>
        <v>MC</v>
      </c>
      <c r="N325" s="37" t="str">
        <f t="array" aca="1" ref="N325" ca="1">_FV(A325,"Industry")</f>
        <v>Automobiles &amp; Auto Parts</v>
      </c>
    </row>
    <row r="326" spans="1:14">
      <c r="A326" s="107" t="e" vm="419">
        <v>#VALUE!</v>
      </c>
      <c r="B326" s="33">
        <f t="array" aca="1" ref="B326" ca="1">_FV(A326,"Change (%)",TRUE)</f>
        <v>-3.3852E-2</v>
      </c>
      <c r="C326" s="35">
        <f t="array" aca="1" ref="C326" ca="1">_FV(A326,"Previous close",TRUE)</f>
        <v>893.6</v>
      </c>
      <c r="D326" s="35">
        <f t="array" aca="1" ref="D326" ca="1">_FV(A326,"Price")</f>
        <v>863.35</v>
      </c>
      <c r="E326" s="35">
        <f t="array" aca="1" ref="E326" ca="1">_FV(A326,"Low")</f>
        <v>858.95</v>
      </c>
      <c r="F326" s="35">
        <f t="array" aca="1" ref="F326" ca="1">_FV(A326,"High")</f>
        <v>893.6</v>
      </c>
      <c r="G326" s="35">
        <f t="array" aca="1" ref="G326" ca="1">_FV(A326,"52 week low",TRUE)</f>
        <v>513</v>
      </c>
      <c r="H326" s="36">
        <f t="array" aca="1" ref="H326" ca="1">_FV(A326,"52 week high",TRUE)</f>
        <v>1097.0999999999999</v>
      </c>
      <c r="I326" s="40">
        <f t="shared" ca="1" si="20"/>
        <v>21.30617081396408</v>
      </c>
      <c r="J326" s="39" t="str">
        <f t="shared" ca="1" si="21"/>
        <v>HMC BUY</v>
      </c>
      <c r="K326" s="54">
        <f t="shared" ca="1" si="22"/>
        <v>-68.294346978557499</v>
      </c>
      <c r="L326" s="20">
        <f t="array" aca="1" ref="L326" ca="1">_FV(A326,"Market cap",TRUE)/10000000</f>
        <v>53717.08</v>
      </c>
      <c r="M326" s="21" t="str">
        <f t="shared" ca="1" si="23"/>
        <v>HMC</v>
      </c>
      <c r="N326" s="37" t="str">
        <f t="array" aca="1" ref="N326" ca="1">_FV(A326,"Industry")</f>
        <v>Investment Banking &amp; Investment Services</v>
      </c>
    </row>
    <row r="327" spans="1:14">
      <c r="A327" s="107" t="e" vm="145">
        <v>#VALUE!</v>
      </c>
      <c r="B327" s="33">
        <f t="array" aca="1" ref="B327" ca="1">_FV(A327,"Change (%)",TRUE)</f>
        <v>-1.4280999999999999E-2</v>
      </c>
      <c r="C327" s="35">
        <f t="array" aca="1" ref="C327" ca="1">_FV(A327,"Previous close",TRUE)</f>
        <v>2891.9</v>
      </c>
      <c r="D327" s="35">
        <f t="array" aca="1" ref="D327" ca="1">_FV(A327,"Price")</f>
        <v>2850.6</v>
      </c>
      <c r="E327" s="35">
        <f t="array" aca="1" ref="E327" ca="1">_FV(A327,"Low")</f>
        <v>2843.8</v>
      </c>
      <c r="F327" s="35">
        <f t="array" aca="1" ref="F327" ca="1">_FV(A327,"High")</f>
        <v>2913</v>
      </c>
      <c r="G327" s="35">
        <f t="array" aca="1" ref="G327" ca="1">_FV(A327,"52 week low",TRUE)</f>
        <v>2044.55</v>
      </c>
      <c r="H327" s="36">
        <f t="array" aca="1" ref="H327" ca="1">_FV(A327,"52 week high",TRUE)</f>
        <v>3078.4</v>
      </c>
      <c r="I327" s="40">
        <f t="shared" ca="1" si="20"/>
        <v>7.3999480249480305</v>
      </c>
      <c r="J327" s="39" t="str">
        <f t="shared" ca="1" si="21"/>
        <v>WATCH</v>
      </c>
      <c r="K327" s="54">
        <f t="shared" ca="1" si="22"/>
        <v>-39.424323200704315</v>
      </c>
      <c r="L327" s="20">
        <f t="array" aca="1" ref="L327" ca="1">_FV(A327,"Market cap",TRUE)/10000000</f>
        <v>54319.71</v>
      </c>
      <c r="M327" s="21" t="str">
        <f t="shared" ca="1" si="23"/>
        <v>HMC</v>
      </c>
      <c r="N327" s="37" t="str">
        <f t="array" aca="1" ref="N327" ca="1">_FV(A327,"Industry")</f>
        <v>Software &amp; IT Services</v>
      </c>
    </row>
    <row r="328" spans="1:14">
      <c r="A328" s="107" t="e" vm="420">
        <v>#VALUE!</v>
      </c>
      <c r="B328" s="33">
        <f t="array" aca="1" ref="B328" ca="1">_FV(A328,"Change (%)",TRUE)</f>
        <v>2.0969999999999999E-2</v>
      </c>
      <c r="C328" s="35">
        <f t="array" aca="1" ref="C328" ca="1">_FV(A328,"Previous close",TRUE)</f>
        <v>10825</v>
      </c>
      <c r="D328" s="35">
        <f t="array" aca="1" ref="D328" ca="1">_FV(A328,"Price")</f>
        <v>11052</v>
      </c>
      <c r="E328" s="35">
        <f t="array" aca="1" ref="E328" ca="1">_FV(A328,"Low")</f>
        <v>10808</v>
      </c>
      <c r="F328" s="35">
        <f t="array" aca="1" ref="F328" ca="1">_FV(A328,"High")</f>
        <v>11110</v>
      </c>
      <c r="G328" s="35">
        <f t="array" aca="1" ref="G328" ca="1">_FV(A328,"52 week low",TRUE)</f>
        <v>4408.1499999999996</v>
      </c>
      <c r="H328" s="36">
        <f t="array" aca="1" ref="H328" ca="1">_FV(A328,"52 week high",TRUE)</f>
        <v>11110</v>
      </c>
      <c r="I328" s="40">
        <f t="shared" ca="1" si="20"/>
        <v>0.52205220522052209</v>
      </c>
      <c r="J328" s="39" t="str">
        <f t="shared" ca="1" si="21"/>
        <v>WATCH</v>
      </c>
      <c r="K328" s="54">
        <f t="shared" ca="1" si="22"/>
        <v>-150.7174211403877</v>
      </c>
      <c r="L328" s="20">
        <f t="array" aca="1" ref="L328" ca="1">_FV(A328,"Market cap",TRUE)/10000000</f>
        <v>55205.74</v>
      </c>
      <c r="M328" s="21" t="str">
        <f t="shared" ca="1" si="23"/>
        <v>HMC</v>
      </c>
      <c r="N328" s="37" t="str">
        <f t="array" aca="1" ref="N328" ca="1">_FV(A328,"Industry")</f>
        <v>Investment Banking &amp; Investment Services</v>
      </c>
    </row>
    <row r="329" spans="1:14">
      <c r="A329" s="107" t="e" vm="84">
        <v>#VALUE!</v>
      </c>
      <c r="B329" s="33">
        <f t="array" aca="1" ref="B329" ca="1">_FV(A329,"Change (%)",TRUE)</f>
        <v>-2.0239999999999998E-3</v>
      </c>
      <c r="C329" s="35">
        <f t="array" aca="1" ref="C329" ca="1">_FV(A329,"Previous close",TRUE)</f>
        <v>3804.7</v>
      </c>
      <c r="D329" s="35">
        <f t="array" aca="1" ref="D329" ca="1">_FV(A329,"Price")</f>
        <v>3797</v>
      </c>
      <c r="E329" s="35">
        <f t="array" aca="1" ref="E329" ca="1">_FV(A329,"Low")</f>
        <v>3785</v>
      </c>
      <c r="F329" s="35">
        <f t="array" aca="1" ref="F329" ca="1">_FV(A329,"High")</f>
        <v>3845</v>
      </c>
      <c r="G329" s="35">
        <f t="array" aca="1" ref="G329" ca="1">_FV(A329,"52 week low",TRUE)</f>
        <v>1965</v>
      </c>
      <c r="H329" s="36">
        <f t="array" aca="1" ref="H329" ca="1">_FV(A329,"52 week high",TRUE)</f>
        <v>3890</v>
      </c>
      <c r="I329" s="40">
        <f t="shared" ca="1" si="20"/>
        <v>2.3907455012853469</v>
      </c>
      <c r="J329" s="39" t="str">
        <f t="shared" ca="1" si="21"/>
        <v>WATCH</v>
      </c>
      <c r="K329" s="54">
        <f t="shared" ca="1" si="22"/>
        <v>-93.231552162849866</v>
      </c>
      <c r="L329" s="20">
        <f t="array" aca="1" ref="L329" ca="1">_FV(A329,"Market cap",TRUE)/10000000</f>
        <v>152746.70000000001</v>
      </c>
      <c r="M329" s="21" t="str">
        <f t="shared" ca="1" si="23"/>
        <v>LC</v>
      </c>
      <c r="N329" s="37" t="str">
        <f t="array" aca="1" ref="N329" ca="1">_FV(A329,"Industry")</f>
        <v>Banking Services</v>
      </c>
    </row>
    <row r="330" spans="1:14">
      <c r="A330" s="107" t="e" vm="421">
        <v>#VALUE!</v>
      </c>
      <c r="B330" s="33">
        <f t="array" aca="1" ref="B330" ca="1">_FV(A330,"Change (%)",TRUE)</f>
        <v>-8.4580000000000002E-3</v>
      </c>
      <c r="C330" s="35">
        <f t="array" aca="1" ref="C330" ca="1">_FV(A330,"Previous close",TRUE)</f>
        <v>916.25</v>
      </c>
      <c r="D330" s="35">
        <f t="array" aca="1" ref="D330" ca="1">_FV(A330,"Price")</f>
        <v>908.5</v>
      </c>
      <c r="E330" s="35">
        <f t="array" aca="1" ref="E330" ca="1">_FV(A330,"Low")</f>
        <v>906.2</v>
      </c>
      <c r="F330" s="35">
        <f t="array" aca="1" ref="F330" ca="1">_FV(A330,"High")</f>
        <v>920.9</v>
      </c>
      <c r="G330" s="35">
        <f t="array" aca="1" ref="G330" ca="1">_FV(A330,"52 week low",TRUE)</f>
        <v>726.8</v>
      </c>
      <c r="H330" s="36">
        <f t="array" aca="1" ref="H330" ca="1">_FV(A330,"52 week high",TRUE)</f>
        <v>1445.85</v>
      </c>
      <c r="I330" s="40">
        <f t="shared" ca="1" si="20"/>
        <v>37.164989452571149</v>
      </c>
      <c r="J330" s="39" t="str">
        <f t="shared" ca="1" si="21"/>
        <v>MC BUY</v>
      </c>
      <c r="K330" s="54">
        <f t="shared" ca="1" si="22"/>
        <v>-25.000000000000007</v>
      </c>
      <c r="L330" s="20">
        <f t="array" aca="1" ref="L330" ca="1">_FV(A330,"Market cap",TRUE)/10000000</f>
        <v>16272.13</v>
      </c>
      <c r="M330" s="21" t="str">
        <f t="shared" ca="1" si="23"/>
        <v>MC</v>
      </c>
      <c r="N330" s="37" t="str">
        <f t="array" aca="1" ref="N330" ca="1">_FV(A330,"Industry")</f>
        <v>Pharmaceuticals</v>
      </c>
    </row>
    <row r="331" spans="1:14">
      <c r="A331" s="107" t="e" vm="422">
        <v>#VALUE!</v>
      </c>
      <c r="B331" s="33">
        <f t="array" aca="1" ref="B331" ca="1">_FV(A331,"Change (%)",TRUE)</f>
        <v>5.0792000000000004E-2</v>
      </c>
      <c r="C331" s="35">
        <f t="array" aca="1" ref="C331" ca="1">_FV(A331,"Previous close",TRUE)</f>
        <v>116.16</v>
      </c>
      <c r="D331" s="35">
        <f t="array" aca="1" ref="D331" ca="1">_FV(A331,"Price")</f>
        <v>122.06</v>
      </c>
      <c r="E331" s="35">
        <f t="array" aca="1" ref="E331" ca="1">_FV(A331,"Low")</f>
        <v>116.16</v>
      </c>
      <c r="F331" s="35">
        <f t="array" aca="1" ref="F331" ca="1">_FV(A331,"High")</f>
        <v>122.5</v>
      </c>
      <c r="G331" s="35">
        <f t="array" aca="1" ref="G331" ca="1">_FV(A331,"52 week low",TRUE)</f>
        <v>70.8</v>
      </c>
      <c r="H331" s="36">
        <f t="array" aca="1" ref="H331" ca="1">_FV(A331,"52 week high",TRUE)</f>
        <v>130.69999999999999</v>
      </c>
      <c r="I331" s="40">
        <f t="shared" ca="1" si="20"/>
        <v>6.6105585309869834</v>
      </c>
      <c r="J331" s="39" t="str">
        <f t="shared" ca="1" si="21"/>
        <v>WATCH</v>
      </c>
      <c r="K331" s="54">
        <f t="shared" ca="1" si="22"/>
        <v>-72.401129943502838</v>
      </c>
      <c r="L331" s="20">
        <f t="array" aca="1" ref="L331" ca="1">_FV(A331,"Market cap",TRUE)/10000000</f>
        <v>31363.200000000001</v>
      </c>
      <c r="M331" s="21" t="str">
        <f t="shared" ca="1" si="23"/>
        <v>MC</v>
      </c>
      <c r="N331" s="37" t="str">
        <f t="array" aca="1" ref="N331" ca="1">_FV(A331,"Industry")</f>
        <v>Construction &amp; Engineering</v>
      </c>
    </row>
    <row r="332" spans="1:14">
      <c r="A332" s="107" t="e" vm="423">
        <v>#VALUE!</v>
      </c>
      <c r="B332" s="33">
        <f t="array" aca="1" ref="B332" ca="1">_FV(A332,"Change (%)",TRUE)</f>
        <v>-2.1173000000000001E-2</v>
      </c>
      <c r="C332" s="35">
        <f t="array" aca="1" ref="C332" ca="1">_FV(A332,"Previous close",TRUE)</f>
        <v>161.53</v>
      </c>
      <c r="D332" s="35">
        <f t="array" aca="1" ref="D332" ca="1">_FV(A332,"Price")</f>
        <v>158.11000000000001</v>
      </c>
      <c r="E332" s="35">
        <f t="array" aca="1" ref="E332" ca="1">_FV(A332,"Low")</f>
        <v>157.58000000000001</v>
      </c>
      <c r="F332" s="35">
        <f t="array" aca="1" ref="F332" ca="1">_FV(A332,"High")</f>
        <v>162.30000000000001</v>
      </c>
      <c r="G332" s="35">
        <f t="array" aca="1" ref="G332" ca="1">_FV(A332,"52 week low",TRUE)</f>
        <v>152.19999999999999</v>
      </c>
      <c r="H332" s="36">
        <f t="array" aca="1" ref="H332" ca="1">_FV(A332,"52 week high",TRUE)</f>
        <v>291.95</v>
      </c>
      <c r="I332" s="40">
        <f t="shared" ca="1" si="20"/>
        <v>45.843466346977216</v>
      </c>
      <c r="J332" s="39" t="str">
        <f t="shared" ca="1" si="21"/>
        <v>SURE MC BUY</v>
      </c>
      <c r="K332" s="54">
        <f t="shared" ca="1" si="22"/>
        <v>-3.8830486202365475</v>
      </c>
      <c r="L332" s="20">
        <f t="array" aca="1" ref="L332" ca="1">_FV(A332,"Market cap",TRUE)/10000000</f>
        <v>10141.61</v>
      </c>
      <c r="M332" s="21" t="str">
        <f t="shared" ca="1" si="23"/>
        <v>MC</v>
      </c>
      <c r="N332" s="37" t="str">
        <f t="array" aca="1" ref="N332" ca="1">_FV(A332,"Industry")</f>
        <v>Construction &amp; Engineering</v>
      </c>
    </row>
    <row r="333" spans="1:14">
      <c r="A333" s="107" t="e" vm="88">
        <v>#VALUE!</v>
      </c>
      <c r="B333" s="33">
        <f t="array" aca="1" ref="B333" ca="1">_FV(A333,"Change (%)",TRUE)</f>
        <v>7.0689999999999998E-3</v>
      </c>
      <c r="C333" s="35">
        <f t="array" aca="1" ref="C333" ca="1">_FV(A333,"Previous close",TRUE)</f>
        <v>77.81</v>
      </c>
      <c r="D333" s="35">
        <f t="array" aca="1" ref="D333" ca="1">_FV(A333,"Price")</f>
        <v>78.36</v>
      </c>
      <c r="E333" s="35">
        <f t="array" aca="1" ref="E333" ca="1">_FV(A333,"Low")</f>
        <v>77.28</v>
      </c>
      <c r="F333" s="35">
        <f t="array" aca="1" ref="F333" ca="1">_FV(A333,"High")</f>
        <v>79.17</v>
      </c>
      <c r="G333" s="35">
        <f t="array" aca="1" ref="G333" ca="1">_FV(A333,"52 week low",TRUE)</f>
        <v>71</v>
      </c>
      <c r="H333" s="36">
        <f t="array" aca="1" ref="H333" ca="1">_FV(A333,"52 week high",TRUE)</f>
        <v>92.34</v>
      </c>
      <c r="I333" s="40">
        <f t="shared" ca="1" si="20"/>
        <v>15.13970110461339</v>
      </c>
      <c r="J333" s="39" t="str">
        <f t="shared" ca="1" si="21"/>
        <v>FIRST HMC BUY</v>
      </c>
      <c r="K333" s="54">
        <f t="shared" ca="1" si="22"/>
        <v>-10.366197183098592</v>
      </c>
      <c r="L333" s="20">
        <f t="array" aca="1" ref="L333" ca="1">_FV(A333,"Market cap",TRUE)/10000000</f>
        <v>78160.42</v>
      </c>
      <c r="M333" s="21" t="str">
        <f t="shared" ca="1" si="23"/>
        <v>HMC</v>
      </c>
      <c r="N333" s="37" t="str">
        <f t="array" aca="1" ref="N333" ca="1">_FV(A333,"Industry")</f>
        <v>Electrical Utilities &amp; IPPs</v>
      </c>
    </row>
    <row r="334" spans="1:14">
      <c r="A334" s="107" t="e" vm="424">
        <v>#VALUE!</v>
      </c>
      <c r="B334" s="33">
        <f t="array" aca="1" ref="B334" ca="1">_FV(A334,"Change (%)",TRUE)</f>
        <v>6.4060000000000007E-4</v>
      </c>
      <c r="C334" s="35">
        <f t="array" aca="1" ref="C334" ca="1">_FV(A334,"Previous close",TRUE)</f>
        <v>249.77</v>
      </c>
      <c r="D334" s="35">
        <f t="array" aca="1" ref="D334" ca="1">_FV(A334,"Price")</f>
        <v>249.93</v>
      </c>
      <c r="E334" s="35">
        <f t="array" aca="1" ref="E334" ca="1">_FV(A334,"Low")</f>
        <v>247.23</v>
      </c>
      <c r="F334" s="35">
        <f t="array" aca="1" ref="F334" ca="1">_FV(A334,"High")</f>
        <v>257.2</v>
      </c>
      <c r="G334" s="35">
        <f t="array" aca="1" ref="G334" ca="1">_FV(A334,"52 week low",TRUE)</f>
        <v>186.03</v>
      </c>
      <c r="H334" s="36">
        <f t="array" aca="1" ref="H334" ca="1">_FV(A334,"52 week high",TRUE)</f>
        <v>292.2</v>
      </c>
      <c r="I334" s="40">
        <f t="shared" ca="1" si="20"/>
        <v>14.466119096509235</v>
      </c>
      <c r="J334" s="39" t="str">
        <f t="shared" ca="1" si="21"/>
        <v>WATCH</v>
      </c>
      <c r="K334" s="54">
        <f t="shared" ca="1" si="22"/>
        <v>-34.3492985002419</v>
      </c>
      <c r="L334" s="20">
        <f t="array" aca="1" ref="L334" ca="1">_FV(A334,"Market cap",TRUE)/10000000</f>
        <v>34634.019999999997</v>
      </c>
      <c r="M334" s="21" t="str">
        <f t="shared" ca="1" si="23"/>
        <v>MC</v>
      </c>
      <c r="N334" s="37" t="str">
        <f t="array" aca="1" ref="N334" ca="1">_FV(A334,"Industry")</f>
        <v>Electrical Utilities &amp; IPPs</v>
      </c>
    </row>
    <row r="335" spans="1:14">
      <c r="A335" s="107" t="e" vm="425">
        <v>#VALUE!</v>
      </c>
      <c r="B335" s="33">
        <f t="array" aca="1" ref="B335" ca="1">_FV(A335,"Change (%)",TRUE)</f>
        <v>1.4491E-2</v>
      </c>
      <c r="C335" s="35">
        <f t="array" aca="1" ref="C335" ca="1">_FV(A335,"Previous close",TRUE)</f>
        <v>81.430000000000007</v>
      </c>
      <c r="D335" s="35">
        <f t="array" aca="1" ref="D335" ca="1">_FV(A335,"Price")</f>
        <v>82.61</v>
      </c>
      <c r="E335" s="35">
        <f t="array" aca="1" ref="E335" ca="1">_FV(A335,"Low")</f>
        <v>81.37</v>
      </c>
      <c r="F335" s="35">
        <f t="array" aca="1" ref="F335" ca="1">_FV(A335,"High")</f>
        <v>83.25</v>
      </c>
      <c r="G335" s="35">
        <f t="array" aca="1" ref="G335" ca="1">_FV(A335,"52 week low",TRUE)</f>
        <v>59.53</v>
      </c>
      <c r="H335" s="36">
        <f t="array" aca="1" ref="H335" ca="1">_FV(A335,"52 week high",TRUE)</f>
        <v>83.25</v>
      </c>
      <c r="I335" s="40">
        <f t="shared" ca="1" si="20"/>
        <v>0.76876876876876943</v>
      </c>
      <c r="J335" s="39" t="str">
        <f t="shared" ca="1" si="21"/>
        <v>WATCH</v>
      </c>
      <c r="K335" s="54">
        <f t="shared" ca="1" si="22"/>
        <v>-38.770367881740299</v>
      </c>
      <c r="L335" s="20">
        <f t="array" aca="1" ref="L335" ca="1">_FV(A335,"Market cap",TRUE)/10000000</f>
        <v>71591.77</v>
      </c>
      <c r="M335" s="21" t="str">
        <f t="shared" ca="1" si="23"/>
        <v>HMC</v>
      </c>
      <c r="N335" s="37" t="str">
        <f t="array" aca="1" ref="N335" ca="1">_FV(A335,"Industry")</f>
        <v>Metals &amp; Mining</v>
      </c>
    </row>
    <row r="336" spans="1:14">
      <c r="A336" s="107" t="e" vm="426">
        <v>#VALUE!</v>
      </c>
      <c r="B336" s="33">
        <f t="array" aca="1" ref="B336" ca="1">_FV(A336,"Change (%)",TRUE)</f>
        <v>3.3729999999999997E-3</v>
      </c>
      <c r="C336" s="35">
        <f t="array" aca="1" ref="C336" ca="1">_FV(A336,"Previous close",TRUE)</f>
        <v>41.51</v>
      </c>
      <c r="D336" s="35">
        <f t="array" aca="1" ref="D336" ca="1">_FV(A336,"Price")</f>
        <v>41.65</v>
      </c>
      <c r="E336" s="35">
        <f t="array" aca="1" ref="E336" ca="1">_FV(A336,"Low")</f>
        <v>41.3</v>
      </c>
      <c r="F336" s="35">
        <f t="array" aca="1" ref="F336" ca="1">_FV(A336,"High")</f>
        <v>42.86</v>
      </c>
      <c r="G336" s="35">
        <f t="array" aca="1" ref="G336" ca="1">_FV(A336,"52 week low",TRUE)</f>
        <v>32.130000000000003</v>
      </c>
      <c r="H336" s="36">
        <f t="array" aca="1" ref="H336" ca="1">_FV(A336,"52 week high",TRUE)</f>
        <v>49.65</v>
      </c>
      <c r="I336" s="40">
        <f t="shared" ca="1" si="20"/>
        <v>16.112789526686807</v>
      </c>
      <c r="J336" s="39" t="str">
        <f t="shared" ca="1" si="21"/>
        <v>WATCH</v>
      </c>
      <c r="K336" s="54">
        <f t="shared" ca="1" si="22"/>
        <v>-29.629629629629612</v>
      </c>
      <c r="L336" s="20">
        <f t="array" aca="1" ref="L336" ca="1">_FV(A336,"Market cap",TRUE)/10000000</f>
        <v>12164.94</v>
      </c>
      <c r="M336" s="21" t="str">
        <f t="shared" ca="1" si="23"/>
        <v>MC</v>
      </c>
      <c r="N336" s="37" t="str">
        <f t="array" aca="1" ref="N336" ca="1">_FV(A336,"Industry")</f>
        <v>Metals &amp; Mining</v>
      </c>
    </row>
    <row r="337" spans="1:14">
      <c r="A337" s="107" t="e" vm="427">
        <v>#VALUE!</v>
      </c>
      <c r="B337" s="33">
        <f t="array" aca="1" ref="B337" ca="1">_FV(A337,"Change (%)",TRUE)</f>
        <v>-3.1090000000000002E-3</v>
      </c>
      <c r="C337" s="35">
        <f t="array" aca="1" ref="C337" ca="1">_FV(A337,"Previous close",TRUE)</f>
        <v>93.27</v>
      </c>
      <c r="D337" s="35">
        <f t="array" aca="1" ref="D337" ca="1">_FV(A337,"Price")</f>
        <v>92.98</v>
      </c>
      <c r="E337" s="35">
        <f t="array" aca="1" ref="E337" ca="1">_FV(A337,"Low")</f>
        <v>92.81</v>
      </c>
      <c r="F337" s="35">
        <f t="array" aca="1" ref="F337" ca="1">_FV(A337,"High")</f>
        <v>93.81</v>
      </c>
      <c r="G337" s="35">
        <f t="array" aca="1" ref="G337" ca="1">_FV(A337,"52 week low",TRUE)</f>
        <v>84.55</v>
      </c>
      <c r="H337" s="36">
        <f t="array" aca="1" ref="H337" ca="1">_FV(A337,"52 week high",TRUE)</f>
        <v>137.09</v>
      </c>
      <c r="I337" s="40">
        <f t="shared" ca="1" si="20"/>
        <v>32.175942811291854</v>
      </c>
      <c r="J337" s="39" t="str">
        <f t="shared" ca="1" si="21"/>
        <v>SURE HMC BUY</v>
      </c>
      <c r="K337" s="54">
        <f t="shared" ca="1" si="22"/>
        <v>-9.9704316972205884</v>
      </c>
      <c r="L337" s="20">
        <f t="array" aca="1" ref="L337" ca="1">_FV(A337,"Market cap",TRUE)/10000000</f>
        <v>78592.38</v>
      </c>
      <c r="M337" s="21" t="str">
        <f t="shared" ca="1" si="23"/>
        <v>HMC</v>
      </c>
      <c r="N337" s="37" t="str">
        <f t="array" aca="1" ref="N337" ca="1">_FV(A337,"Industry")</f>
        <v>Electrical Utilities &amp; IPPs</v>
      </c>
    </row>
    <row r="338" spans="1:14">
      <c r="A338" s="107" t="e" vm="157">
        <v>#VALUE!</v>
      </c>
      <c r="B338" s="33">
        <f t="array" aca="1" ref="B338" ca="1">_FV(A338,"Change (%)",TRUE)</f>
        <v>4.8050000000000002E-3</v>
      </c>
      <c r="C338" s="35">
        <f t="array" aca="1" ref="C338" ca="1">_FV(A338,"Previous close",TRUE)</f>
        <v>322.55</v>
      </c>
      <c r="D338" s="35">
        <f t="array" aca="1" ref="D338" ca="1">_FV(A338,"Price")</f>
        <v>324.10000000000002</v>
      </c>
      <c r="E338" s="35">
        <f t="array" aca="1" ref="E338" ca="1">_FV(A338,"Low")</f>
        <v>322.3</v>
      </c>
      <c r="F338" s="35">
        <f t="array" aca="1" ref="F338" ca="1">_FV(A338,"High")</f>
        <v>325.75</v>
      </c>
      <c r="G338" s="35">
        <f t="array" aca="1" ref="G338" ca="1">_FV(A338,"52 week low",TRUE)</f>
        <v>292.8</v>
      </c>
      <c r="H338" s="36">
        <f t="array" aca="1" ref="H338" ca="1">_FV(A338,"52 week high",TRUE)</f>
        <v>371.45</v>
      </c>
      <c r="I338" s="40">
        <f t="shared" ca="1" si="20"/>
        <v>12.747341499528863</v>
      </c>
      <c r="J338" s="39" t="str">
        <f t="shared" ca="1" si="21"/>
        <v>LC BUY</v>
      </c>
      <c r="K338" s="54">
        <f t="shared" ca="1" si="22"/>
        <v>-10.689890710382516</v>
      </c>
      <c r="L338" s="20">
        <f t="array" aca="1" ref="L338" ca="1">_FV(A338,"Market cap",TRUE)/10000000</f>
        <v>314269</v>
      </c>
      <c r="M338" s="21" t="str">
        <f t="shared" ca="1" si="23"/>
        <v>LC</v>
      </c>
      <c r="N338" s="37" t="str">
        <f t="array" aca="1" ref="N338" ca="1">_FV(A338,"Industry")</f>
        <v>Electrical Utilities &amp; IPPs</v>
      </c>
    </row>
    <row r="339" spans="1:14">
      <c r="A339" s="107" t="e" vm="428">
        <v>#VALUE!</v>
      </c>
      <c r="B339" s="33">
        <f t="array" aca="1" ref="B339" ca="1">_FV(A339,"Change (%)",TRUE)</f>
        <v>-8.9009999999999992E-3</v>
      </c>
      <c r="C339" s="35">
        <f t="array" aca="1" ref="C339" ca="1">_FV(A339,"Previous close",TRUE)</f>
        <v>1876.2</v>
      </c>
      <c r="D339" s="35">
        <f t="array" aca="1" ref="D339" ca="1">_FV(A339,"Price")</f>
        <v>1859.5</v>
      </c>
      <c r="E339" s="35">
        <f t="array" aca="1" ref="E339" ca="1">_FV(A339,"Low")</f>
        <v>1855.1</v>
      </c>
      <c r="F339" s="35">
        <f t="array" aca="1" ref="F339" ca="1">_FV(A339,"High")</f>
        <v>1886.8</v>
      </c>
      <c r="G339" s="35">
        <f t="array" aca="1" ref="G339" ca="1">_FV(A339,"52 week low",TRUE)</f>
        <v>1256.55</v>
      </c>
      <c r="H339" s="36">
        <f t="array" aca="1" ref="H339" ca="1">_FV(A339,"52 week high",TRUE)</f>
        <v>2370.1999999999998</v>
      </c>
      <c r="I339" s="40">
        <f t="shared" ca="1" si="20"/>
        <v>21.546704919416079</v>
      </c>
      <c r="J339" s="39" t="str">
        <f t="shared" ca="1" si="21"/>
        <v>FIRST MC BUY</v>
      </c>
      <c r="K339" s="54">
        <f t="shared" ca="1" si="22"/>
        <v>-47.984560900879401</v>
      </c>
      <c r="L339" s="20">
        <f t="array" aca="1" ref="L339" ca="1">_FV(A339,"Market cap",TRUE)/10000000</f>
        <v>37766.42</v>
      </c>
      <c r="M339" s="21" t="str">
        <f t="shared" ca="1" si="23"/>
        <v>MC</v>
      </c>
      <c r="N339" s="37" t="str">
        <f t="array" aca="1" ref="N339" ca="1">_FV(A339,"Industry")</f>
        <v>Healthcare Providers &amp; Services</v>
      </c>
    </row>
    <row r="340" spans="1:14">
      <c r="A340" s="107" t="e" vm="429">
        <v>#VALUE!</v>
      </c>
      <c r="B340" s="33">
        <f t="array" aca="1" ref="B340" ca="1">_FV(A340,"Change (%)",TRUE)</f>
        <v>3.9113000000000002E-2</v>
      </c>
      <c r="C340" s="35">
        <f t="array" aca="1" ref="C340" ca="1">_FV(A340,"Previous close",TRUE)</f>
        <v>295.3</v>
      </c>
      <c r="D340" s="35">
        <f t="array" aca="1" ref="D340" ca="1">_FV(A340,"Price")</f>
        <v>306.85000000000002</v>
      </c>
      <c r="E340" s="35">
        <f t="array" aca="1" ref="E340" ca="1">_FV(A340,"Low")</f>
        <v>296.5</v>
      </c>
      <c r="F340" s="35">
        <f t="array" aca="1" ref="F340" ca="1">_FV(A340,"High")</f>
        <v>309.2</v>
      </c>
      <c r="G340" s="35">
        <f t="array" aca="1" ref="G340" ca="1">_FV(A340,"52 week low",TRUE)</f>
        <v>137.75</v>
      </c>
      <c r="H340" s="36">
        <f t="array" aca="1" ref="H340" ca="1">_FV(A340,"52 week high",TRUE)</f>
        <v>309.2</v>
      </c>
      <c r="I340" s="40">
        <f t="shared" ca="1" si="20"/>
        <v>0.76002587322120507</v>
      </c>
      <c r="J340" s="39" t="str">
        <f t="shared" ca="1" si="21"/>
        <v>WATCH</v>
      </c>
      <c r="K340" s="54">
        <f t="shared" ca="1" si="22"/>
        <v>-122.7586206896552</v>
      </c>
      <c r="L340" s="20">
        <f t="array" aca="1" ref="L340" ca="1">_FV(A340,"Market cap",TRUE)/10000000</f>
        <v>54235.74</v>
      </c>
      <c r="M340" s="21" t="str">
        <f t="shared" ca="1" si="23"/>
        <v>HMC</v>
      </c>
      <c r="N340" s="37" t="str">
        <f t="array" aca="1" ref="N340" ca="1">_FV(A340,"Industry")</f>
        <v>Metals &amp; Mining</v>
      </c>
    </row>
    <row r="341" spans="1:14">
      <c r="A341" s="107" t="e" vm="430">
        <v>#VALUE!</v>
      </c>
      <c r="B341" s="33">
        <f t="array" aca="1" ref="B341" ca="1">_FV(A341,"Change (%)",TRUE)</f>
        <v>-1.3587999999999999E-2</v>
      </c>
      <c r="C341" s="35">
        <f t="array" aca="1" ref="C341" ca="1">_FV(A341,"Previous close",TRUE)</f>
        <v>563</v>
      </c>
      <c r="D341" s="35">
        <f t="array" aca="1" ref="D341" ca="1">_FV(A341,"Price")</f>
        <v>555.35</v>
      </c>
      <c r="E341" s="35">
        <f t="array" aca="1" ref="E341" ca="1">_FV(A341,"Low")</f>
        <v>552.1</v>
      </c>
      <c r="F341" s="35">
        <f t="array" aca="1" ref="F341" ca="1">_FV(A341,"High")</f>
        <v>567.85</v>
      </c>
      <c r="G341" s="35">
        <f t="array" aca="1" ref="G341" ca="1">_FV(A341,"52 week low",TRUE)</f>
        <v>356.05</v>
      </c>
      <c r="H341" s="36">
        <f t="array" aca="1" ref="H341" ca="1">_FV(A341,"52 week high",TRUE)</f>
        <v>735</v>
      </c>
      <c r="I341" s="40">
        <f t="shared" ca="1" si="20"/>
        <v>24.442176870748295</v>
      </c>
      <c r="J341" s="39" t="str">
        <f t="shared" ca="1" si="21"/>
        <v>FIRST MC BUY</v>
      </c>
      <c r="K341" s="54">
        <f t="shared" ca="1" si="22"/>
        <v>-55.97528437017273</v>
      </c>
      <c r="L341" s="20">
        <f t="array" aca="1" ref="L341" ca="1">_FV(A341,"Market cap",TRUE)/10000000</f>
        <v>15932.97</v>
      </c>
      <c r="M341" s="21" t="str">
        <f t="shared" ca="1" si="23"/>
        <v>MC</v>
      </c>
      <c r="N341" s="37" t="str">
        <f t="array" aca="1" ref="N341" ca="1">_FV(A341,"Industry")</f>
        <v>Consumer Goods Conglomerates</v>
      </c>
    </row>
    <row r="342" spans="1:14">
      <c r="A342" s="107" t="e" vm="85">
        <v>#VALUE!</v>
      </c>
      <c r="B342" s="33">
        <f t="array" aca="1" ref="B342" ca="1">_FV(A342,"Change (%)",TRUE)</f>
        <v>-1.6938999999999999E-2</v>
      </c>
      <c r="C342" s="35">
        <f t="array" aca="1" ref="C342" ca="1">_FV(A342,"Previous close",TRUE)</f>
        <v>5874</v>
      </c>
      <c r="D342" s="35">
        <f t="array" aca="1" ref="D342" ca="1">_FV(A342,"Price")</f>
        <v>5774.5</v>
      </c>
      <c r="E342" s="35">
        <f t="array" aca="1" ref="E342" ca="1">_FV(A342,"Low")</f>
        <v>5750</v>
      </c>
      <c r="F342" s="35">
        <f t="array" aca="1" ref="F342" ca="1">_FV(A342,"High")</f>
        <v>5916</v>
      </c>
      <c r="G342" s="35">
        <f t="array" aca="1" ref="G342" ca="1">_FV(A342,"52 week low",TRUE)</f>
        <v>3180</v>
      </c>
      <c r="H342" s="36">
        <f t="array" aca="1" ref="H342" ca="1">_FV(A342,"52 week high",TRUE)</f>
        <v>6223</v>
      </c>
      <c r="I342" s="40">
        <f t="shared" ca="1" si="20"/>
        <v>7.2071348224329101</v>
      </c>
      <c r="J342" s="39" t="str">
        <f t="shared" ca="1" si="21"/>
        <v>WATCH</v>
      </c>
      <c r="K342" s="54">
        <f t="shared" ca="1" si="22"/>
        <v>-81.588050314465406</v>
      </c>
      <c r="L342" s="20">
        <f t="array" aca="1" ref="L342" ca="1">_FV(A342,"Market cap",TRUE)/10000000</f>
        <v>30099.53</v>
      </c>
      <c r="M342" s="21" t="str">
        <f t="shared" ca="1" si="23"/>
        <v>MC</v>
      </c>
      <c r="N342" s="37" t="str">
        <f t="array" aca="1" ref="N342" ca="1">_FV(A342,"Industry")</f>
        <v>Chemicals</v>
      </c>
    </row>
    <row r="343" spans="1:14">
      <c r="A343" s="107" t="e" vm="87">
        <v>#VALUE!</v>
      </c>
      <c r="B343" s="33">
        <f t="array" aca="1" ref="B343" ca="1">_FV(A343,"Change (%)",TRUE)</f>
        <v>1.0241E-2</v>
      </c>
      <c r="C343" s="35">
        <f t="array" aca="1" ref="C343" ca="1">_FV(A343,"Previous close",TRUE)</f>
        <v>1259.7</v>
      </c>
      <c r="D343" s="35">
        <f t="array" aca="1" ref="D343" ca="1">_FV(A343,"Price")</f>
        <v>1272.5999999999999</v>
      </c>
      <c r="E343" s="35">
        <f t="array" aca="1" ref="E343" ca="1">_FV(A343,"Low")</f>
        <v>1251.4000000000001</v>
      </c>
      <c r="F343" s="35">
        <f t="array" aca="1" ref="F343" ca="1">_FV(A343,"High")</f>
        <v>1277</v>
      </c>
      <c r="G343" s="35">
        <f t="array" aca="1" ref="G343" ca="1">_FV(A343,"52 week low",TRUE)</f>
        <v>1055</v>
      </c>
      <c r="H343" s="36">
        <f t="array" aca="1" ref="H343" ca="1">_FV(A343,"52 week high",TRUE)</f>
        <v>1311.6</v>
      </c>
      <c r="I343" s="40">
        <f t="shared" ca="1" si="20"/>
        <v>2.9734675205855448</v>
      </c>
      <c r="J343" s="39" t="str">
        <f t="shared" ca="1" si="21"/>
        <v>WATCH</v>
      </c>
      <c r="K343" s="54">
        <f t="shared" ca="1" si="22"/>
        <v>-20.625592417061604</v>
      </c>
      <c r="L343" s="20">
        <f t="array" aca="1" ref="L343" ca="1">_FV(A343,"Market cap",TRUE)/10000000</f>
        <v>242909.8</v>
      </c>
      <c r="M343" s="21" t="str">
        <f t="shared" ca="1" si="23"/>
        <v>LC</v>
      </c>
      <c r="N343" s="37" t="str">
        <f t="array" aca="1" ref="N343" ca="1">_FV(A343,"Industry")</f>
        <v>Food &amp; Tobacco</v>
      </c>
    </row>
    <row r="344" spans="1:14">
      <c r="A344" s="107" t="e" vm="431">
        <v>#VALUE!</v>
      </c>
      <c r="B344" s="33">
        <f t="array" aca="1" ref="B344" ca="1">_FV(A344,"Change (%)",TRUE)</f>
        <v>-1.4279999999999999E-2</v>
      </c>
      <c r="C344" s="35">
        <f t="array" aca="1" ref="C344" ca="1">_FV(A344,"Previous close",TRUE)</f>
        <v>3193.2</v>
      </c>
      <c r="D344" s="35">
        <f t="array" aca="1" ref="D344" ca="1">_FV(A344,"Price")</f>
        <v>3147.6</v>
      </c>
      <c r="E344" s="35">
        <f t="array" aca="1" ref="E344" ca="1">_FV(A344,"Low")</f>
        <v>3130</v>
      </c>
      <c r="F344" s="35">
        <f t="array" aca="1" ref="F344" ca="1">_FV(A344,"High")</f>
        <v>3230</v>
      </c>
      <c r="G344" s="35">
        <f t="array" aca="1" ref="G344" ca="1">_FV(A344,"52 week low",TRUE)</f>
        <v>1251.55</v>
      </c>
      <c r="H344" s="36">
        <f t="array" aca="1" ref="H344" ca="1">_FV(A344,"52 week high",TRUE)</f>
        <v>4479</v>
      </c>
      <c r="I344" s="40">
        <f t="shared" ca="1" si="20"/>
        <v>29.72538513060951</v>
      </c>
      <c r="J344" s="39" t="str">
        <f t="shared" ca="1" si="21"/>
        <v>FIRST MC BUY</v>
      </c>
      <c r="K344" s="54">
        <f t="shared" ca="1" si="22"/>
        <v>-151.49614478047221</v>
      </c>
      <c r="L344" s="20">
        <f t="array" aca="1" ref="L344" ca="1">_FV(A344,"Market cap",TRUE)/10000000</f>
        <v>18090.71</v>
      </c>
      <c r="M344" s="21" t="str">
        <f t="shared" ca="1" si="23"/>
        <v>MC</v>
      </c>
      <c r="N344" s="37" t="str">
        <f t="array" aca="1" ref="N344" ca="1">_FV(A344,"Industry")</f>
        <v>Software &amp; IT Services</v>
      </c>
    </row>
    <row r="345" spans="1:14">
      <c r="A345" s="107" t="e" vm="432">
        <v>#VALUE!</v>
      </c>
      <c r="B345" s="33">
        <f t="array" aca="1" ref="B345" ca="1">_FV(A345,"Change (%)",TRUE)</f>
        <v>-7.1589999999999996E-3</v>
      </c>
      <c r="C345" s="35">
        <f t="array" aca="1" ref="C345" ca="1">_FV(A345,"Previous close",TRUE)</f>
        <v>15086</v>
      </c>
      <c r="D345" s="35">
        <f t="array" aca="1" ref="D345" ca="1">_FV(A345,"Price")</f>
        <v>14978</v>
      </c>
      <c r="E345" s="35">
        <f t="array" aca="1" ref="E345" ca="1">_FV(A345,"Low")</f>
        <v>14860</v>
      </c>
      <c r="F345" s="35">
        <f t="array" aca="1" ref="F345" ca="1">_FV(A345,"High")</f>
        <v>15318</v>
      </c>
      <c r="G345" s="35">
        <f t="array" aca="1" ref="G345" ca="1">_FV(A345,"52 week low",TRUE)</f>
        <v>10190.700000000001</v>
      </c>
      <c r="H345" s="36">
        <f t="array" aca="1" ref="H345" ca="1">_FV(A345,"52 week high",TRUE)</f>
        <v>19747</v>
      </c>
      <c r="I345" s="40">
        <f t="shared" ca="1" si="20"/>
        <v>24.15050387400618</v>
      </c>
      <c r="J345" s="39" t="str">
        <f t="shared" ca="1" si="21"/>
        <v>FIRST MC BUY</v>
      </c>
      <c r="K345" s="54">
        <f t="shared" ca="1" si="22"/>
        <v>-46.977145829040197</v>
      </c>
      <c r="L345" s="20">
        <f t="array" aca="1" ref="L345" ca="1">_FV(A345,"Market cap",TRUE)/10000000</f>
        <v>19355.169999999998</v>
      </c>
      <c r="M345" s="21" t="str">
        <f t="shared" ca="1" si="23"/>
        <v>MC</v>
      </c>
      <c r="N345" s="37" t="str">
        <f t="array" aca="1" ref="N345" ca="1">_FV(A345,"Industry")</f>
        <v>Pharmaceuticals</v>
      </c>
    </row>
    <row r="346" spans="1:14">
      <c r="A346" s="107" t="e" vm="433">
        <v>#VALUE!</v>
      </c>
      <c r="B346" s="33">
        <f t="array" aca="1" ref="B346" ca="1">_FV(A346,"Change (%)",TRUE)</f>
        <v>-1.3468000000000001E-2</v>
      </c>
      <c r="C346" s="35">
        <f t="array" aca="1" ref="C346" ca="1">_FV(A346,"Previous close",TRUE)</f>
        <v>850.15</v>
      </c>
      <c r="D346" s="35">
        <f t="array" aca="1" ref="D346" ca="1">_FV(A346,"Price")</f>
        <v>838.7</v>
      </c>
      <c r="E346" s="35">
        <f t="array" aca="1" ref="E346" ca="1">_FV(A346,"Low")</f>
        <v>837</v>
      </c>
      <c r="F346" s="35">
        <f t="array" aca="1" ref="F346" ca="1">_FV(A346,"High")</f>
        <v>851.45</v>
      </c>
      <c r="G346" s="35">
        <f t="array" aca="1" ref="G346" ca="1">_FV(A346,"52 week low",TRUE)</f>
        <v>758.2</v>
      </c>
      <c r="H346" s="36">
        <f t="array" aca="1" ref="H346" ca="1">_FV(A346,"52 week high",TRUE)</f>
        <v>1798.9</v>
      </c>
      <c r="I346" s="40">
        <f t="shared" ca="1" si="20"/>
        <v>53.377063761187387</v>
      </c>
      <c r="J346" s="39" t="str">
        <f t="shared" ca="1" si="21"/>
        <v>SURE MC BUY</v>
      </c>
      <c r="K346" s="54">
        <f t="shared" ca="1" si="22"/>
        <v>-10.617251384858875</v>
      </c>
      <c r="L346" s="20">
        <f t="array" aca="1" ref="L346" ca="1">_FV(A346,"Market cap",TRUE)/10000000</f>
        <v>12014.91</v>
      </c>
      <c r="M346" s="21" t="str">
        <f t="shared" ca="1" si="23"/>
        <v>MC</v>
      </c>
      <c r="N346" s="37" t="str">
        <f t="array" aca="1" ref="N346" ca="1">_FV(A346,"Industry")</f>
        <v>Software &amp; IT Services</v>
      </c>
    </row>
    <row r="347" spans="1:14">
      <c r="A347" s="107" t="e" vm="434">
        <v>#VALUE!</v>
      </c>
      <c r="B347" s="33">
        <f t="array" aca="1" ref="B347" ca="1">_FV(A347,"Change (%)",TRUE)</f>
        <v>-1.4041999999999999E-2</v>
      </c>
      <c r="C347" s="35">
        <f t="array" aca="1" ref="C347" ca="1">_FV(A347,"Previous close",TRUE)</f>
        <v>879.5</v>
      </c>
      <c r="D347" s="35">
        <f t="array" aca="1" ref="D347" ca="1">_FV(A347,"Price")</f>
        <v>867.15</v>
      </c>
      <c r="E347" s="35">
        <f t="array" aca="1" ref="E347" ca="1">_FV(A347,"Low")</f>
        <v>864</v>
      </c>
      <c r="F347" s="35">
        <f t="array" aca="1" ref="F347" ca="1">_FV(A347,"High")</f>
        <v>884.25</v>
      </c>
      <c r="G347" s="35">
        <f t="array" aca="1" ref="G347" ca="1">_FV(A347,"52 week low",TRUE)</f>
        <v>498.05</v>
      </c>
      <c r="H347" s="36">
        <f t="array" aca="1" ref="H347" ca="1">_FV(A347,"52 week high",TRUE)</f>
        <v>987.35</v>
      </c>
      <c r="I347" s="40">
        <f t="shared" ca="1" si="20"/>
        <v>12.174001114093283</v>
      </c>
      <c r="J347" s="39" t="str">
        <f t="shared" ca="1" si="21"/>
        <v>WATCH</v>
      </c>
      <c r="K347" s="54">
        <f t="shared" ca="1" si="22"/>
        <v>-74.109025198273258</v>
      </c>
      <c r="L347" s="20">
        <f t="array" aca="1" ref="L347" ca="1">_FV(A347,"Market cap",TRUE)/10000000</f>
        <v>56032.22</v>
      </c>
      <c r="M347" s="21" t="str">
        <f t="shared" ca="1" si="23"/>
        <v>HMC</v>
      </c>
      <c r="N347" s="37" t="str">
        <f t="array" aca="1" ref="N347" ca="1">_FV(A347,"Industry")</f>
        <v>Investment Banking &amp; Investment Services</v>
      </c>
    </row>
    <row r="348" spans="1:14">
      <c r="A348" s="107" t="e" vm="435">
        <v>#VALUE!</v>
      </c>
      <c r="B348" s="33">
        <f t="array" aca="1" ref="B348" ca="1">_FV(A348,"Change (%)",TRUE)</f>
        <v>-7.901E-3</v>
      </c>
      <c r="C348" s="35">
        <f t="array" aca="1" ref="C348" ca="1">_FV(A348,"Previous close",TRUE)</f>
        <v>75.94</v>
      </c>
      <c r="D348" s="35">
        <f t="array" aca="1" ref="D348" ca="1">_FV(A348,"Price")</f>
        <v>75.34</v>
      </c>
      <c r="E348" s="35">
        <f t="array" aca="1" ref="E348" ca="1">_FV(A348,"Low")</f>
        <v>75.16</v>
      </c>
      <c r="F348" s="35">
        <f t="array" aca="1" ref="F348" ca="1">_FV(A348,"High")</f>
        <v>75.989999999999995</v>
      </c>
      <c r="G348" s="35">
        <f t="array" aca="1" ref="G348" ca="1">_FV(A348,"52 week low",TRUE)</f>
        <v>68.540000000000006</v>
      </c>
      <c r="H348" s="36">
        <f t="array" aca="1" ref="H348" ca="1">_FV(A348,"52 week high",TRUE)</f>
        <v>95.21</v>
      </c>
      <c r="I348" s="40">
        <f t="shared" ca="1" si="20"/>
        <v>20.869656548681853</v>
      </c>
      <c r="J348" s="39" t="str">
        <f t="shared" ca="1" si="21"/>
        <v>FIRST MC BUY</v>
      </c>
      <c r="K348" s="54">
        <f t="shared" ca="1" si="22"/>
        <v>-9.9212138896994411</v>
      </c>
      <c r="L348" s="20">
        <f t="array" aca="1" ref="L348" ca="1">_FV(A348,"Market cap",TRUE)/10000000</f>
        <v>14026.96</v>
      </c>
      <c r="M348" s="21" t="str">
        <f t="shared" ca="1" si="23"/>
        <v>MC</v>
      </c>
      <c r="N348" s="37" t="str">
        <f t="array" aca="1" ref="N348" ca="1">_FV(A348,"Industry")</f>
        <v>Insurance</v>
      </c>
    </row>
    <row r="349" spans="1:14">
      <c r="A349" s="107" t="e" vm="436">
        <v>#VALUE!</v>
      </c>
      <c r="B349" s="33">
        <f t="array" aca="1" ref="B349" ca="1">_FV(A349,"Change (%)",TRUE)</f>
        <v>-1.9370000000000002E-2</v>
      </c>
      <c r="C349" s="35">
        <f t="array" aca="1" ref="C349" ca="1">_FV(A349,"Previous close",TRUE)</f>
        <v>1523</v>
      </c>
      <c r="D349" s="35">
        <f t="array" aca="1" ref="D349" ca="1">_FV(A349,"Price")</f>
        <v>1493.5</v>
      </c>
      <c r="E349" s="35">
        <f t="array" aca="1" ref="E349" ca="1">_FV(A349,"Low")</f>
        <v>1478</v>
      </c>
      <c r="F349" s="35">
        <f t="array" aca="1" ref="F349" ca="1">_FV(A349,"High")</f>
        <v>1531</v>
      </c>
      <c r="G349" s="35">
        <f t="array" aca="1" ref="G349" ca="1">_FV(A349,"52 week low",TRUE)</f>
        <v>1478</v>
      </c>
      <c r="H349" s="36">
        <f t="array" aca="1" ref="H349" ca="1">_FV(A349,"52 week high",TRUE)</f>
        <v>8508.5</v>
      </c>
      <c r="I349" s="40">
        <f t="shared" ca="1" si="20"/>
        <v>82.44696479990597</v>
      </c>
      <c r="J349" s="39" t="str">
        <f t="shared" ca="1" si="21"/>
        <v>SURE MC BUY</v>
      </c>
      <c r="K349" s="54">
        <f t="shared" ca="1" si="22"/>
        <v>-1.0487144790257104</v>
      </c>
      <c r="L349" s="20">
        <f t="array" aca="1" ref="L349" ca="1">_FV(A349,"Market cap",TRUE)/10000000</f>
        <v>27689.08</v>
      </c>
      <c r="M349" s="21" t="str">
        <f t="shared" ca="1" si="23"/>
        <v>MC</v>
      </c>
      <c r="N349" s="37" t="str">
        <f t="array" aca="1" ref="N349" ca="1">_FV(A349,"Industry")</f>
        <v>Investment Banking &amp; Investment Services</v>
      </c>
    </row>
    <row r="350" spans="1:14">
      <c r="A350" s="107" t="e" vm="437">
        <v>#VALUE!</v>
      </c>
      <c r="B350" s="33">
        <f t="array" aca="1" ref="B350" ca="1">_FV(A350,"Change (%)",TRUE)</f>
        <v>8.1840000000000003E-3</v>
      </c>
      <c r="C350" s="35">
        <f t="array" aca="1" ref="C350" ca="1">_FV(A350,"Previous close",TRUE)</f>
        <v>366.55</v>
      </c>
      <c r="D350" s="35">
        <f t="array" aca="1" ref="D350" ca="1">_FV(A350,"Price")</f>
        <v>369.55</v>
      </c>
      <c r="E350" s="35">
        <f t="array" aca="1" ref="E350" ca="1">_FV(A350,"Low")</f>
        <v>364.8</v>
      </c>
      <c r="F350" s="35">
        <f t="array" aca="1" ref="F350" ca="1">_FV(A350,"High")</f>
        <v>376.6</v>
      </c>
      <c r="G350" s="35">
        <f t="array" aca="1" ref="G350" ca="1">_FV(A350,"52 week low",TRUE)</f>
        <v>287.05</v>
      </c>
      <c r="H350" s="36">
        <f t="array" aca="1" ref="H350" ca="1">_FV(A350,"52 week high",TRUE)</f>
        <v>477.5</v>
      </c>
      <c r="I350" s="40">
        <f t="shared" ca="1" si="20"/>
        <v>22.607329842931932</v>
      </c>
      <c r="J350" s="39" t="str">
        <f t="shared" ca="1" si="21"/>
        <v>FIRST MC BUY</v>
      </c>
      <c r="K350" s="54">
        <f t="shared" ca="1" si="22"/>
        <v>-28.740637519595889</v>
      </c>
      <c r="L350" s="20">
        <f t="array" aca="1" ref="L350" ca="1">_FV(A350,"Market cap",TRUE)/10000000</f>
        <v>13091.56</v>
      </c>
      <c r="M350" s="21" t="str">
        <f t="shared" ca="1" si="23"/>
        <v>MC</v>
      </c>
      <c r="N350" s="37" t="str">
        <f t="array" aca="1" ref="N350" ca="1">_FV(A350,"Industry")</f>
        <v>Construction Materials</v>
      </c>
    </row>
    <row r="351" spans="1:14">
      <c r="A351" s="107" t="e" vm="438">
        <v>#VALUE!</v>
      </c>
      <c r="B351" s="33">
        <f t="array" aca="1" ref="B351" ca="1">_FV(A351,"Change (%)",TRUE)</f>
        <v>4.9030000000000002E-3</v>
      </c>
      <c r="C351" s="35">
        <f t="array" aca="1" ref="C351" ca="1">_FV(A351,"Previous close",TRUE)</f>
        <v>1672.4</v>
      </c>
      <c r="D351" s="35">
        <f t="array" aca="1" ref="D351" ca="1">_FV(A351,"Price")</f>
        <v>1680.6</v>
      </c>
      <c r="E351" s="35">
        <f t="array" aca="1" ref="E351" ca="1">_FV(A351,"Low")</f>
        <v>1663.6</v>
      </c>
      <c r="F351" s="35">
        <f t="array" aca="1" ref="F351" ca="1">_FV(A351,"High")</f>
        <v>1700</v>
      </c>
      <c r="G351" s="35">
        <f t="array" aca="1" ref="G351" ca="1">_FV(A351,"52 week low",TRUE)</f>
        <v>1451.95</v>
      </c>
      <c r="H351" s="36">
        <f t="array" aca="1" ref="H351" ca="1">_FV(A351,"52 week high",TRUE)</f>
        <v>2343.65</v>
      </c>
      <c r="I351" s="40">
        <f t="shared" ca="1" si="20"/>
        <v>28.29134043052504</v>
      </c>
      <c r="J351" s="39" t="str">
        <f t="shared" ca="1" si="21"/>
        <v>HMC BUY</v>
      </c>
      <c r="K351" s="54">
        <f t="shared" ca="1" si="22"/>
        <v>-15.747787458245798</v>
      </c>
      <c r="L351" s="20">
        <f t="array" aca="1" ref="L351" ca="1">_FV(A351,"Market cap",TRUE)/10000000</f>
        <v>60808.84</v>
      </c>
      <c r="M351" s="21" t="str">
        <f t="shared" ca="1" si="23"/>
        <v>HMC</v>
      </c>
      <c r="N351" s="37" t="str">
        <f t="array" aca="1" ref="N351" ca="1">_FV(A351,"Industry")</f>
        <v>Real Estate Operations</v>
      </c>
    </row>
    <row r="352" spans="1:14">
      <c r="A352" s="107" t="e" vm="90">
        <v>#VALUE!</v>
      </c>
      <c r="B352" s="33">
        <f t="array" aca="1" ref="B352" ca="1">_FV(A352,"Change (%)",TRUE)</f>
        <v>3.251E-3</v>
      </c>
      <c r="C352" s="35">
        <f t="array" aca="1" ref="C352" ca="1">_FV(A352,"Previous close",TRUE)</f>
        <v>233.77</v>
      </c>
      <c r="D352" s="35">
        <f t="array" aca="1" ref="D352" ca="1">_FV(A352,"Price")</f>
        <v>234.53</v>
      </c>
      <c r="E352" s="35">
        <f t="array" aca="1" ref="E352" ca="1">_FV(A352,"Low")</f>
        <v>233.05</v>
      </c>
      <c r="F352" s="35">
        <f t="array" aca="1" ref="F352" ca="1">_FV(A352,"High")</f>
        <v>235.28</v>
      </c>
      <c r="G352" s="35">
        <f t="array" aca="1" ref="G352" ca="1">_FV(A352,"52 week low",TRUE)</f>
        <v>205</v>
      </c>
      <c r="H352" s="36">
        <f t="array" aca="1" ref="H352" ca="1">_FV(A352,"52 week high",TRUE)</f>
        <v>273.5</v>
      </c>
      <c r="I352" s="40">
        <f t="shared" ca="1" si="20"/>
        <v>14.248628884826326</v>
      </c>
      <c r="J352" s="39" t="str">
        <f t="shared" ca="1" si="21"/>
        <v>LC BUY</v>
      </c>
      <c r="K352" s="54">
        <f t="shared" ca="1" si="22"/>
        <v>-14.404878048780487</v>
      </c>
      <c r="L352" s="20">
        <f t="array" aca="1" ref="L352" ca="1">_FV(A352,"Market cap",TRUE)/10000000</f>
        <v>295045.3</v>
      </c>
      <c r="M352" s="21" t="str">
        <f t="shared" ca="1" si="23"/>
        <v>LC</v>
      </c>
      <c r="N352" s="37" t="str">
        <f t="array" aca="1" ref="N352" ca="1">_FV(A352,"Industry")</f>
        <v>Oil &amp; Gas</v>
      </c>
    </row>
    <row r="353" spans="1:14">
      <c r="A353" s="107" t="e" vm="439">
        <v>#VALUE!</v>
      </c>
      <c r="B353" s="33">
        <f t="array" aca="1" ref="B353" ca="1">_FV(A353,"Change (%)",TRUE)</f>
        <v>-1.504E-2</v>
      </c>
      <c r="C353" s="35">
        <f t="array" aca="1" ref="C353" ca="1">_FV(A353,"Previous close",TRUE)</f>
        <v>408.9</v>
      </c>
      <c r="D353" s="35">
        <f t="array" aca="1" ref="D353" ca="1">_FV(A353,"Price")</f>
        <v>402.75</v>
      </c>
      <c r="E353" s="35">
        <f t="array" aca="1" ref="E353" ca="1">_FV(A353,"Low")</f>
        <v>402.1</v>
      </c>
      <c r="F353" s="35">
        <f t="array" aca="1" ref="F353" ca="1">_FV(A353,"High")</f>
        <v>410.35</v>
      </c>
      <c r="G353" s="35">
        <f t="array" aca="1" ref="G353" ca="1">_FV(A353,"52 week low",TRUE)</f>
        <v>325</v>
      </c>
      <c r="H353" s="36">
        <f t="array" aca="1" ref="H353" ca="1">_FV(A353,"52 week high",TRUE)</f>
        <v>494.55</v>
      </c>
      <c r="I353" s="40">
        <f t="shared" ca="1" si="20"/>
        <v>18.562329390354872</v>
      </c>
      <c r="J353" s="39" t="str">
        <f t="shared" ca="1" si="21"/>
        <v>FIRST HMC BUY</v>
      </c>
      <c r="K353" s="54">
        <f t="shared" ca="1" si="22"/>
        <v>-23.923076923076923</v>
      </c>
      <c r="L353" s="20">
        <f t="array" aca="1" ref="L353" ca="1">_FV(A353,"Market cap",TRUE)/10000000</f>
        <v>66511.990000000005</v>
      </c>
      <c r="M353" s="21" t="str">
        <f t="shared" ca="1" si="23"/>
        <v>HMC</v>
      </c>
      <c r="N353" s="37" t="str">
        <f t="array" aca="1" ref="N353" ca="1">_FV(A353,"Industry")</f>
        <v>Oil &amp; Gas</v>
      </c>
    </row>
    <row r="354" spans="1:14">
      <c r="A354" s="107" t="e" vm="440">
        <v>#VALUE!</v>
      </c>
      <c r="B354" s="33">
        <f t="array" aca="1" ref="B354" ca="1">_FV(A354,"Change (%)",TRUE)</f>
        <v>2.3761999999999998E-2</v>
      </c>
      <c r="C354" s="35">
        <f t="array" aca="1" ref="C354" ca="1">_FV(A354,"Previous close",TRUE)</f>
        <v>35.35</v>
      </c>
      <c r="D354" s="35">
        <f t="array" aca="1" ref="D354" ca="1">_FV(A354,"Price")</f>
        <v>36.19</v>
      </c>
      <c r="E354" s="35">
        <f t="array" aca="1" ref="E354" ca="1">_FV(A354,"Low")</f>
        <v>35.86</v>
      </c>
      <c r="F354" s="35">
        <f t="array" aca="1" ref="F354" ca="1">_FV(A354,"High")</f>
        <v>37.25</v>
      </c>
      <c r="G354" s="35">
        <f t="array" aca="1" ref="G354" ca="1">_FV(A354,"52 week low",TRUE)</f>
        <v>30.76</v>
      </c>
      <c r="H354" s="36">
        <f t="array" aca="1" ref="H354" ca="1">_FV(A354,"52 week high",TRUE)</f>
        <v>99.95</v>
      </c>
      <c r="I354" s="40">
        <f t="shared" ca="1" si="20"/>
        <v>63.791895947973991</v>
      </c>
      <c r="J354" s="39" t="str">
        <f t="shared" ca="1" si="21"/>
        <v>SURE MC BUY</v>
      </c>
      <c r="K354" s="54">
        <f t="shared" ca="1" si="22"/>
        <v>-17.652795838751615</v>
      </c>
      <c r="L354" s="20">
        <f t="array" aca="1" ref="L354" ca="1">_FV(A354,"Market cap",TRUE)/10000000</f>
        <v>14832.53</v>
      </c>
      <c r="M354" s="21" t="str">
        <f t="shared" ca="1" si="23"/>
        <v>MC</v>
      </c>
      <c r="N354" s="37" t="str">
        <f t="array" aca="1" ref="N354" ca="1">_FV(A354,"Industry")</f>
        <v>Automobiles &amp; Auto Parts</v>
      </c>
    </row>
    <row r="355" spans="1:14">
      <c r="A355" s="107" t="e" vm="441">
        <v>#VALUE!</v>
      </c>
      <c r="B355" s="33">
        <f t="array" aca="1" ref="B355" ca="1">_FV(A355,"Change (%)",TRUE)</f>
        <v>-9.3640000000000008E-3</v>
      </c>
      <c r="C355" s="35">
        <f t="array" aca="1" ref="C355" ca="1">_FV(A355,"Previous close",TRUE)</f>
        <v>1249.5</v>
      </c>
      <c r="D355" s="35">
        <f t="array" aca="1" ref="D355" ca="1">_FV(A355,"Price")</f>
        <v>1237.8</v>
      </c>
      <c r="E355" s="35">
        <f t="array" aca="1" ref="E355" ca="1">_FV(A355,"Low")</f>
        <v>1230.8</v>
      </c>
      <c r="F355" s="35">
        <f t="array" aca="1" ref="F355" ca="1">_FV(A355,"High")</f>
        <v>1253.5999999999999</v>
      </c>
      <c r="G355" s="35">
        <f t="array" aca="1" ref="G355" ca="1">_FV(A355,"52 week low",TRUE)</f>
        <v>989.95</v>
      </c>
      <c r="H355" s="36">
        <f t="array" aca="1" ref="H355" ca="1">_FV(A355,"52 week high",TRUE)</f>
        <v>1714.2</v>
      </c>
      <c r="I355" s="40">
        <f t="shared" ca="1" si="20"/>
        <v>27.791389569478479</v>
      </c>
      <c r="J355" s="39" t="str">
        <f t="shared" ca="1" si="21"/>
        <v>FIRST MC BUY</v>
      </c>
      <c r="K355" s="54">
        <f t="shared" ca="1" si="22"/>
        <v>-25.036618011010649</v>
      </c>
      <c r="L355" s="20">
        <f t="array" aca="1" ref="L355" ca="1">_FV(A355,"Market cap",TRUE)/10000000</f>
        <v>10255.99</v>
      </c>
      <c r="M355" s="21" t="str">
        <f t="shared" ca="1" si="23"/>
        <v>MC</v>
      </c>
      <c r="N355" s="37" t="str">
        <f t="array" aca="1" ref="N355" ca="1">_FV(A355,"Industry")</f>
        <v>Automobiles &amp; Auto Parts</v>
      </c>
    </row>
    <row r="356" spans="1:14">
      <c r="A356" s="107" t="e" vm="92">
        <v>#VALUE!</v>
      </c>
      <c r="B356" s="33">
        <f t="array" aca="1" ref="B356" ca="1">_FV(A356,"Change (%)",TRUE)</f>
        <v>-7.0959999999999999E-3</v>
      </c>
      <c r="C356" s="35">
        <f t="array" aca="1" ref="C356" ca="1">_FV(A356,"Previous close",TRUE)</f>
        <v>1324.7</v>
      </c>
      <c r="D356" s="35">
        <f t="array" aca="1" ref="D356" ca="1">_FV(A356,"Price")</f>
        <v>1315.3</v>
      </c>
      <c r="E356" s="35">
        <f t="array" aca="1" ref="E356" ca="1">_FV(A356,"Low")</f>
        <v>1310.4000000000001</v>
      </c>
      <c r="F356" s="35">
        <f t="array" aca="1" ref="F356" ca="1">_FV(A356,"High")</f>
        <v>1335.5</v>
      </c>
      <c r="G356" s="35">
        <f t="array" aca="1" ref="G356" ca="1">_FV(A356,"52 week low",TRUE)</f>
        <v>651.5</v>
      </c>
      <c r="H356" s="36">
        <f t="array" aca="1" ref="H356" ca="1">_FV(A356,"52 week high",TRUE)</f>
        <v>1381.8</v>
      </c>
      <c r="I356" s="40">
        <f t="shared" ca="1" si="20"/>
        <v>4.8125633232016209</v>
      </c>
      <c r="J356" s="39" t="str">
        <f t="shared" ca="1" si="21"/>
        <v>WATCH</v>
      </c>
      <c r="K356" s="54">
        <f t="shared" ca="1" si="22"/>
        <v>-101.88795088257866</v>
      </c>
      <c r="L356" s="20">
        <f t="array" aca="1" ref="L356" ca="1">_FV(A356,"Market cap",TRUE)/10000000</f>
        <v>84118.6</v>
      </c>
      <c r="M356" s="21" t="str">
        <f t="shared" ca="1" si="23"/>
        <v>HMC</v>
      </c>
      <c r="N356" s="37" t="str">
        <f t="array" aca="1" ref="N356" ca="1">_FV(A356,"Industry")</f>
        <v>Professional &amp; Commercial Services</v>
      </c>
    </row>
    <row r="357" spans="1:14">
      <c r="A357" s="107" t="e" vm="442">
        <v>#VALUE!</v>
      </c>
      <c r="B357" s="33">
        <f t="array" aca="1" ref="B357" ca="1">_FV(A357,"Change (%)",TRUE)</f>
        <v>1.0447E-2</v>
      </c>
      <c r="C357" s="35">
        <f t="array" aca="1" ref="C357" ca="1">_FV(A357,"Previous close",TRUE)</f>
        <v>1723</v>
      </c>
      <c r="D357" s="35">
        <f t="array" aca="1" ref="D357" ca="1">_FV(A357,"Price")</f>
        <v>1741</v>
      </c>
      <c r="E357" s="35">
        <f t="array" aca="1" ref="E357" ca="1">_FV(A357,"Low")</f>
        <v>1700.1</v>
      </c>
      <c r="F357" s="35">
        <f t="array" aca="1" ref="F357" ca="1">_FV(A357,"High")</f>
        <v>1749</v>
      </c>
      <c r="G357" s="35">
        <f t="array" aca="1" ref="G357" ca="1">_FV(A357,"52 week low",TRUE)</f>
        <v>1209.95</v>
      </c>
      <c r="H357" s="36">
        <f t="array" aca="1" ref="H357" ca="1">_FV(A357,"52 week high",TRUE)</f>
        <v>2248</v>
      </c>
      <c r="I357" s="40">
        <f t="shared" ca="1" si="20"/>
        <v>22.553380782918151</v>
      </c>
      <c r="J357" s="39" t="str">
        <f t="shared" ca="1" si="21"/>
        <v>FIRST MC BUY</v>
      </c>
      <c r="K357" s="54">
        <f t="shared" ca="1" si="22"/>
        <v>-43.890243398487534</v>
      </c>
      <c r="L357" s="20">
        <f t="array" aca="1" ref="L357" ca="1">_FV(A357,"Market cap",TRUE)/10000000</f>
        <v>19743.02</v>
      </c>
      <c r="M357" s="21" t="str">
        <f t="shared" ca="1" si="23"/>
        <v>MC</v>
      </c>
      <c r="N357" s="37" t="str">
        <f t="array" aca="1" ref="N357" ca="1">_FV(A357,"Industry")</f>
        <v>Biotechnology &amp; Medical Research</v>
      </c>
    </row>
    <row r="358" spans="1:14">
      <c r="A358" s="107" t="e" vm="146">
        <v>#VALUE!</v>
      </c>
      <c r="B358" s="33">
        <f t="array" aca="1" ref="B358" ca="1">_FV(A358,"Change (%)",TRUE)</f>
        <v>-6.4250000000000006E-4</v>
      </c>
      <c r="C358" s="35">
        <f t="array" aca="1" ref="C358" ca="1">_FV(A358,"Previous close",TRUE)</f>
        <v>7782</v>
      </c>
      <c r="D358" s="35">
        <f t="array" aca="1" ref="D358" ca="1">_FV(A358,"Price")</f>
        <v>7777</v>
      </c>
      <c r="E358" s="35">
        <f t="array" aca="1" ref="E358" ca="1">_FV(A358,"Low")</f>
        <v>7726.5</v>
      </c>
      <c r="F358" s="35">
        <f t="array" aca="1" ref="F358" ca="1">_FV(A358,"High")</f>
        <v>7800.5</v>
      </c>
      <c r="G358" s="35">
        <f t="array" aca="1" ref="G358" ca="1">_FV(A358,"52 week low",TRUE)</f>
        <v>7038</v>
      </c>
      <c r="H358" s="36">
        <f t="array" aca="1" ref="H358" ca="1">_FV(A358,"52 week high",TRUE)</f>
        <v>13220</v>
      </c>
      <c r="I358" s="40">
        <f t="shared" ca="1" si="20"/>
        <v>41.172465960665662</v>
      </c>
      <c r="J358" s="39" t="str">
        <f t="shared" ca="1" si="21"/>
        <v>SURE HMC BUY</v>
      </c>
      <c r="K358" s="54">
        <f t="shared" ca="1" si="22"/>
        <v>-10.500142085819835</v>
      </c>
      <c r="L358" s="20">
        <f t="array" aca="1" ref="L358" ca="1">_FV(A358,"Market cap",TRUE)/10000000</f>
        <v>67716.55</v>
      </c>
      <c r="M358" s="21" t="str">
        <f t="shared" ca="1" si="23"/>
        <v>HMC</v>
      </c>
      <c r="N358" s="37" t="str">
        <f t="array" aca="1" ref="N358" ca="1">_FV(A358,"Industry")</f>
        <v>Software &amp; IT Services</v>
      </c>
    </row>
    <row r="359" spans="1:14">
      <c r="A359" s="107" t="e" vm="443">
        <v>#VALUE!</v>
      </c>
      <c r="B359" s="33">
        <f t="array" aca="1" ref="B359" ca="1">_FV(A359,"Change (%)",TRUE)</f>
        <v>-3.6009999999999996E-3</v>
      </c>
      <c r="C359" s="35">
        <f t="array" aca="1" ref="C359" ca="1">_FV(A359,"Previous close",TRUE)</f>
        <v>1916.3</v>
      </c>
      <c r="D359" s="35">
        <f t="array" aca="1" ref="D359" ca="1">_FV(A359,"Price")</f>
        <v>1909.4</v>
      </c>
      <c r="E359" s="35">
        <f t="array" aca="1" ref="E359" ca="1">_FV(A359,"Low")</f>
        <v>1903.7</v>
      </c>
      <c r="F359" s="35">
        <f t="array" aca="1" ref="F359" ca="1">_FV(A359,"High")</f>
        <v>1934.3</v>
      </c>
      <c r="G359" s="35">
        <f t="array" aca="1" ref="G359" ca="1">_FV(A359,"52 week low",TRUE)</f>
        <v>1311.35</v>
      </c>
      <c r="H359" s="36">
        <f t="array" aca="1" ref="H359" ca="1">_FV(A359,"52 week high",TRUE)</f>
        <v>2246.9</v>
      </c>
      <c r="I359" s="40">
        <f t="shared" ca="1" si="20"/>
        <v>15.020695180025813</v>
      </c>
      <c r="J359" s="39" t="str">
        <f t="shared" ca="1" si="21"/>
        <v>FIRST HMC BUY</v>
      </c>
      <c r="K359" s="54">
        <f t="shared" ca="1" si="22"/>
        <v>-45.605673542532521</v>
      </c>
      <c r="L359" s="20">
        <f t="array" aca="1" ref="L359" ca="1">_FV(A359,"Market cap",TRUE)/10000000</f>
        <v>88105.14</v>
      </c>
      <c r="M359" s="21" t="str">
        <f t="shared" ca="1" si="23"/>
        <v>HMC</v>
      </c>
      <c r="N359" s="37" t="str">
        <f t="array" aca="1" ref="N359" ca="1">_FV(A359,"Industry")</f>
        <v>Financial Technology (Fintech) &amp; Infrastructure</v>
      </c>
    </row>
    <row r="360" spans="1:14">
      <c r="A360" s="107" t="e" vm="444">
        <v>#VALUE!</v>
      </c>
      <c r="B360" s="33">
        <f t="array" aca="1" ref="B360" ca="1">_FV(A360,"Change (%)",TRUE)</f>
        <v>-4.7429999999999998E-3</v>
      </c>
      <c r="C360" s="35">
        <f t="array" aca="1" ref="C360" ca="1">_FV(A360,"Previous close",TRUE)</f>
        <v>305.7</v>
      </c>
      <c r="D360" s="35">
        <f t="array" aca="1" ref="D360" ca="1">_FV(A360,"Price")</f>
        <v>304.25</v>
      </c>
      <c r="E360" s="35">
        <f t="array" aca="1" ref="E360" ca="1">_FV(A360,"Low")</f>
        <v>302.85000000000002</v>
      </c>
      <c r="F360" s="35">
        <f t="array" aca="1" ref="F360" ca="1">_FV(A360,"High")</f>
        <v>309.3</v>
      </c>
      <c r="G360" s="35">
        <f t="array" aca="1" ref="G360" ca="1">_FV(A360,"52 week low",TRUE)</f>
        <v>300.14999999999998</v>
      </c>
      <c r="H360" s="36">
        <f t="array" aca="1" ref="H360" ca="1">_FV(A360,"52 week high",TRUE)</f>
        <v>479.8</v>
      </c>
      <c r="I360" s="40">
        <f t="shared" ca="1" si="20"/>
        <v>36.588161734055859</v>
      </c>
      <c r="J360" s="39" t="str">
        <f t="shared" ca="1" si="21"/>
        <v>MC BUY</v>
      </c>
      <c r="K360" s="54">
        <f t="shared" ca="1" si="22"/>
        <v>-1.3659836748292598</v>
      </c>
      <c r="L360" s="20">
        <f t="array" aca="1" ref="L360" ca="1">_FV(A360,"Market cap",TRUE)/10000000</f>
        <v>12028.15</v>
      </c>
      <c r="M360" s="21" t="str">
        <f t="shared" ca="1" si="23"/>
        <v>MC</v>
      </c>
      <c r="N360" s="37" t="str">
        <f t="array" aca="1" ref="N360" ca="1">_FV(A360,"Industry")</f>
        <v>Chemicals</v>
      </c>
    </row>
    <row r="361" spans="1:14">
      <c r="A361" s="107" t="e" vm="445">
        <v>#VALUE!</v>
      </c>
      <c r="B361" s="33">
        <f t="array" aca="1" ref="B361" ca="1">_FV(A361,"Change (%)",TRUE)</f>
        <v>-9.4570000000000006E-4</v>
      </c>
      <c r="C361" s="35">
        <f t="array" aca="1" ref="C361" ca="1">_FV(A361,"Previous close",TRUE)</f>
        <v>581.6</v>
      </c>
      <c r="D361" s="35">
        <f t="array" aca="1" ref="D361" ca="1">_FV(A361,"Price")</f>
        <v>581.04999999999995</v>
      </c>
      <c r="E361" s="35">
        <f t="array" aca="1" ref="E361" ca="1">_FV(A361,"Low")</f>
        <v>577.04999999999995</v>
      </c>
      <c r="F361" s="35">
        <f t="array" aca="1" ref="F361" ca="1">_FV(A361,"High")</f>
        <v>593.35</v>
      </c>
      <c r="G361" s="35">
        <f t="array" aca="1" ref="G361" ca="1">_FV(A361,"52 week low",TRUE)</f>
        <v>465</v>
      </c>
      <c r="H361" s="36">
        <f t="array" aca="1" ref="H361" ca="1">_FV(A361,"52 week high",TRUE)</f>
        <v>1054.2</v>
      </c>
      <c r="I361" s="40">
        <f t="shared" ca="1" si="20"/>
        <v>44.882375260861323</v>
      </c>
      <c r="J361" s="39" t="str">
        <f t="shared" ca="1" si="21"/>
        <v>SURE MC BUY</v>
      </c>
      <c r="K361" s="54">
        <f t="shared" ca="1" si="22"/>
        <v>-24.956989247311821</v>
      </c>
      <c r="L361" s="20">
        <f t="array" aca="1" ref="L361" ca="1">_FV(A361,"Market cap",TRUE)/10000000</f>
        <v>16594.13</v>
      </c>
      <c r="M361" s="21" t="str">
        <f t="shared" ca="1" si="23"/>
        <v>MC</v>
      </c>
      <c r="N361" s="37" t="str">
        <f t="array" aca="1" ref="N361" ca="1">_FV(A361,"Industry")</f>
        <v>Electronic Equipment &amp; Parts</v>
      </c>
    </row>
    <row r="362" spans="1:14">
      <c r="A362" s="107" t="e" vm="94">
        <v>#VALUE!</v>
      </c>
      <c r="B362" s="33">
        <f t="array" aca="1" ref="B362" ca="1">_FV(A362,"Change (%)",TRUE)</f>
        <v>5.2510000000000005E-3</v>
      </c>
      <c r="C362" s="35">
        <f t="array" aca="1" ref="C362" ca="1">_FV(A362,"Previous close",TRUE)</f>
        <v>3218.2</v>
      </c>
      <c r="D362" s="35">
        <f t="array" aca="1" ref="D362" ca="1">_FV(A362,"Price")</f>
        <v>3235.1</v>
      </c>
      <c r="E362" s="35">
        <f t="array" aca="1" ref="E362" ca="1">_FV(A362,"Low")</f>
        <v>3203.6</v>
      </c>
      <c r="F362" s="35">
        <f t="array" aca="1" ref="F362" ca="1">_FV(A362,"High")</f>
        <v>3267.5</v>
      </c>
      <c r="G362" s="35">
        <f t="array" aca="1" ref="G362" ca="1">_FV(A362,"52 week low",TRUE)</f>
        <v>2951.1</v>
      </c>
      <c r="H362" s="36">
        <f t="array" aca="1" ref="H362" ca="1">_FV(A362,"52 week high",TRUE)</f>
        <v>4330</v>
      </c>
      <c r="I362" s="40">
        <f t="shared" ca="1" si="20"/>
        <v>25.286374133949195</v>
      </c>
      <c r="J362" s="39" t="str">
        <f t="shared" ca="1" si="21"/>
        <v>HMC BUY</v>
      </c>
      <c r="K362" s="54">
        <f t="shared" ca="1" si="22"/>
        <v>-9.6235302090745822</v>
      </c>
      <c r="L362" s="20">
        <f t="array" aca="1" ref="L362" ca="1">_FV(A362,"Market cap",TRUE)/10000000</f>
        <v>48821.13</v>
      </c>
      <c r="M362" s="21" t="str">
        <f t="shared" ca="1" si="23"/>
        <v>HMC</v>
      </c>
      <c r="N362" s="37" t="str">
        <f t="array" aca="1" ref="N362" ca="1">_FV(A362,"Industry")</f>
        <v>Chemicals</v>
      </c>
    </row>
    <row r="363" spans="1:14">
      <c r="A363" s="107" t="e" vm="446">
        <v>#VALUE!</v>
      </c>
      <c r="B363" s="33">
        <f t="array" aca="1" ref="B363" ca="1">_FV(A363,"Change (%)",TRUE)</f>
        <v>-2.3285E-2</v>
      </c>
      <c r="C363" s="35">
        <f t="array" aca="1" ref="C363" ca="1">_FV(A363,"Previous close",TRUE)</f>
        <v>966.3</v>
      </c>
      <c r="D363" s="35">
        <f t="array" aca="1" ref="D363" ca="1">_FV(A363,"Price")</f>
        <v>943.8</v>
      </c>
      <c r="E363" s="35">
        <f t="array" aca="1" ref="E363" ca="1">_FV(A363,"Low")</f>
        <v>941.4</v>
      </c>
      <c r="F363" s="35">
        <f t="array" aca="1" ref="F363" ca="1">_FV(A363,"High")</f>
        <v>970.85</v>
      </c>
      <c r="G363" s="35">
        <f t="array" aca="1" ref="G363" ca="1">_FV(A363,"52 week low",TRUE)</f>
        <v>746.7</v>
      </c>
      <c r="H363" s="36">
        <f t="array" aca="1" ref="H363" ca="1">_FV(A363,"52 week high",TRUE)</f>
        <v>1141.9000000000001</v>
      </c>
      <c r="I363" s="40">
        <f t="shared" ca="1" si="20"/>
        <v>17.348279183816459</v>
      </c>
      <c r="J363" s="39" t="str">
        <f t="shared" ca="1" si="21"/>
        <v>WATCH</v>
      </c>
      <c r="K363" s="54">
        <f t="shared" ca="1" si="22"/>
        <v>-26.396143029329036</v>
      </c>
      <c r="L363" s="20">
        <f t="array" aca="1" ref="L363" ca="1">_FV(A363,"Market cap",TRUE)/10000000</f>
        <v>25172.94</v>
      </c>
      <c r="M363" s="21" t="str">
        <f t="shared" ca="1" si="23"/>
        <v>MC</v>
      </c>
      <c r="N363" s="37" t="str">
        <f t="array" aca="1" ref="N363" ca="1">_FV(A363,"Industry")</f>
        <v>Banking Services</v>
      </c>
    </row>
    <row r="364" spans="1:14">
      <c r="A364" s="107" t="e" vm="447">
        <v>#VALUE!</v>
      </c>
      <c r="B364" s="33">
        <f t="array" aca="1" ref="B364" ca="1">_FV(A364,"Change (%)",TRUE)</f>
        <v>2.0826999999999998E-2</v>
      </c>
      <c r="C364" s="35">
        <f t="array" aca="1" ref="C364" ca="1">_FV(A364,"Previous close",TRUE)</f>
        <v>18294</v>
      </c>
      <c r="D364" s="35">
        <f t="array" aca="1" ref="D364" ca="1">_FV(A364,"Price")</f>
        <v>18675</v>
      </c>
      <c r="E364" s="35">
        <f t="array" aca="1" ref="E364" ca="1">_FV(A364,"Low")</f>
        <v>17987</v>
      </c>
      <c r="F364" s="35">
        <f t="array" aca="1" ref="F364" ca="1">_FV(A364,"High")</f>
        <v>18950</v>
      </c>
      <c r="G364" s="35">
        <f t="array" aca="1" ref="G364" ca="1">_FV(A364,"52 week low",TRUE)</f>
        <v>9756.2999999999993</v>
      </c>
      <c r="H364" s="36">
        <f t="array" aca="1" ref="H364" ca="1">_FV(A364,"52 week high",TRUE)</f>
        <v>19387</v>
      </c>
      <c r="I364" s="40">
        <f t="shared" ca="1" si="20"/>
        <v>3.6725640893382163</v>
      </c>
      <c r="J364" s="39" t="str">
        <f t="shared" ca="1" si="21"/>
        <v>WATCH</v>
      </c>
      <c r="K364" s="54">
        <f t="shared" ca="1" si="22"/>
        <v>-91.414778143353544</v>
      </c>
      <c r="L364" s="20">
        <f t="array" aca="1" ref="L364" ca="1">_FV(A364,"Market cap",TRUE)/10000000</f>
        <v>27427.37</v>
      </c>
      <c r="M364" s="21" t="str">
        <f t="shared" ca="1" si="23"/>
        <v>MC</v>
      </c>
      <c r="N364" s="37" t="str">
        <f t="array" aca="1" ref="N364" ca="1">_FV(A364,"Industry")</f>
        <v>Metals &amp; Mining</v>
      </c>
    </row>
    <row r="365" spans="1:14">
      <c r="A365" s="107" t="e" vm="448">
        <v>#VALUE!</v>
      </c>
      <c r="B365" s="33">
        <f t="array" aca="1" ref="B365" ca="1">_FV(A365,"Change (%)",TRUE)</f>
        <v>-2.2845000000000001E-2</v>
      </c>
      <c r="C365" s="35">
        <f t="array" aca="1" ref="C365" ca="1">_FV(A365,"Previous close",TRUE)</f>
        <v>1024.3</v>
      </c>
      <c r="D365" s="35">
        <f t="array" aca="1" ref="D365" ca="1">_FV(A365,"Price")</f>
        <v>1000.9</v>
      </c>
      <c r="E365" s="35">
        <f t="array" aca="1" ref="E365" ca="1">_FV(A365,"Low")</f>
        <v>998</v>
      </c>
      <c r="F365" s="35">
        <f t="array" aca="1" ref="F365" ca="1">_FV(A365,"High")</f>
        <v>1031.9000000000001</v>
      </c>
      <c r="G365" s="35">
        <f t="array" aca="1" ref="G365" ca="1">_FV(A365,"52 week low",TRUE)</f>
        <v>830</v>
      </c>
      <c r="H365" s="36">
        <f t="array" aca="1" ref="H365" ca="1">_FV(A365,"52 week high",TRUE)</f>
        <v>1407</v>
      </c>
      <c r="I365" s="40">
        <f t="shared" ca="1" si="20"/>
        <v>28.862828713574981</v>
      </c>
      <c r="J365" s="39" t="str">
        <f t="shared" ca="1" si="21"/>
        <v>FIRST MC BUY</v>
      </c>
      <c r="K365" s="54">
        <f t="shared" ca="1" si="22"/>
        <v>-20.590361445783127</v>
      </c>
      <c r="L365" s="20">
        <f t="array" aca="1" ref="L365" ca="1">_FV(A365,"Market cap",TRUE)/10000000</f>
        <v>10058.620000000001</v>
      </c>
      <c r="M365" s="21" t="str">
        <f t="shared" ca="1" si="23"/>
        <v>MC</v>
      </c>
      <c r="N365" s="37" t="str">
        <f t="array" aca="1" ref="N365" ca="1">_FV(A365,"Industry")</f>
        <v>Hotels &amp; Entertainment Services</v>
      </c>
    </row>
    <row r="366" spans="1:14">
      <c r="A366" s="107" t="e" vm="449">
        <v>#VALUE!</v>
      </c>
      <c r="B366" s="33">
        <f t="array" aca="1" ref="B366" ca="1">_FV(A366,"Change (%)",TRUE)</f>
        <v>-3.6880000000000003E-3</v>
      </c>
      <c r="C366" s="35">
        <f t="array" aca="1" ref="C366" ca="1">_FV(A366,"Previous close",TRUE)</f>
        <v>36605</v>
      </c>
      <c r="D366" s="35">
        <f t="array" aca="1" ref="D366" ca="1">_FV(A366,"Price")</f>
        <v>36470</v>
      </c>
      <c r="E366" s="35">
        <f t="array" aca="1" ref="E366" ca="1">_FV(A366,"Low")</f>
        <v>36325</v>
      </c>
      <c r="F366" s="35">
        <f t="array" aca="1" ref="F366" ca="1">_FV(A366,"High")</f>
        <v>36750</v>
      </c>
      <c r="G366" s="35">
        <f t="array" aca="1" ref="G366" ca="1">_FV(A366,"52 week low",TRUE)</f>
        <v>35310</v>
      </c>
      <c r="H366" s="36">
        <f t="array" aca="1" ref="H366" ca="1">_FV(A366,"52 week high",TRUE)</f>
        <v>50590</v>
      </c>
      <c r="I366" s="40">
        <f t="shared" ca="1" si="20"/>
        <v>27.910654279501877</v>
      </c>
      <c r="J366" s="39" t="str">
        <f t="shared" ca="1" si="21"/>
        <v>HMC BUY</v>
      </c>
      <c r="K366" s="54">
        <f t="shared" ca="1" si="22"/>
        <v>-3.2851883319173041</v>
      </c>
      <c r="L366" s="20">
        <f t="array" aca="1" ref="L366" ca="1">_FV(A366,"Market cap",TRUE)/10000000</f>
        <v>40828.76</v>
      </c>
      <c r="M366" s="21" t="str">
        <f t="shared" ca="1" si="23"/>
        <v>HMC</v>
      </c>
      <c r="N366" s="37" t="str">
        <f t="array" aca="1" ref="N366" ca="1">_FV(A366,"Industry")</f>
        <v>Textiles &amp; Apparel</v>
      </c>
    </row>
    <row r="367" spans="1:14">
      <c r="A367" s="107" t="e" vm="450">
        <v>#VALUE!</v>
      </c>
      <c r="B367" s="33">
        <f t="array" aca="1" ref="B367" ca="1">_FV(A367,"Change (%)",TRUE)</f>
        <v>-1.188E-3</v>
      </c>
      <c r="C367" s="35">
        <f t="array" aca="1" ref="C367" ca="1">_FV(A367,"Previous close",TRUE)</f>
        <v>547.20000000000005</v>
      </c>
      <c r="D367" s="35">
        <f t="array" aca="1" ref="D367" ca="1">_FV(A367,"Price")</f>
        <v>546.54999999999995</v>
      </c>
      <c r="E367" s="35">
        <f t="array" aca="1" ref="E367" ca="1">_FV(A367,"Low")</f>
        <v>544.35</v>
      </c>
      <c r="F367" s="35">
        <f t="array" aca="1" ref="F367" ca="1">_FV(A367,"High")</f>
        <v>550.9</v>
      </c>
      <c r="G367" s="35">
        <f t="array" aca="1" ref="G367" ca="1">_FV(A367,"52 week low",TRUE)</f>
        <v>521</v>
      </c>
      <c r="H367" s="36">
        <f t="array" aca="1" ref="H367" ca="1">_FV(A367,"52 week high",TRUE)</f>
        <v>670.33</v>
      </c>
      <c r="I367" s="40">
        <f t="shared" ca="1" si="20"/>
        <v>18.465531902197437</v>
      </c>
      <c r="J367" s="39" t="str">
        <f t="shared" ca="1" si="21"/>
        <v>FIRST HMC BUY</v>
      </c>
      <c r="K367" s="54">
        <f t="shared" ca="1" si="22"/>
        <v>-4.9040307101727363</v>
      </c>
      <c r="L367" s="20">
        <f t="array" aca="1" ref="L367" ca="1">_FV(A367,"Market cap",TRUE)/10000000</f>
        <v>59455.25</v>
      </c>
      <c r="M367" s="21" t="str">
        <f t="shared" ca="1" si="23"/>
        <v>HMC</v>
      </c>
      <c r="N367" s="37" t="str">
        <f t="array" aca="1" ref="N367" ca="1">_FV(A367,"Industry")</f>
        <v>Food &amp; Tobacco</v>
      </c>
    </row>
    <row r="368" spans="1:14">
      <c r="A368" s="107" t="e" vm="147">
        <v>#VALUE!</v>
      </c>
      <c r="B368" s="33">
        <f t="array" aca="1" ref="B368" ca="1">_FV(A368,"Change (%)",TRUE)</f>
        <v>-8.1860000000000006E-3</v>
      </c>
      <c r="C368" s="35">
        <f t="array" aca="1" ref="C368" ca="1">_FV(A368,"Previous close",TRUE)</f>
        <v>6352.5</v>
      </c>
      <c r="D368" s="35">
        <f t="array" aca="1" ref="D368" ca="1">_FV(A368,"Price")</f>
        <v>6300.5</v>
      </c>
      <c r="E368" s="35">
        <f t="array" aca="1" ref="E368" ca="1">_FV(A368,"Low")</f>
        <v>6275</v>
      </c>
      <c r="F368" s="35">
        <f t="array" aca="1" ref="F368" ca="1">_FV(A368,"High")</f>
        <v>6399.5</v>
      </c>
      <c r="G368" s="35">
        <f t="array" aca="1" ref="G368" ca="1">_FV(A368,"52 week low",TRUE)</f>
        <v>4148.95</v>
      </c>
      <c r="H368" s="36">
        <f t="array" aca="1" ref="H368" ca="1">_FV(A368,"52 week high",TRUE)</f>
        <v>6768.8</v>
      </c>
      <c r="I368" s="40">
        <f t="shared" ca="1" si="20"/>
        <v>6.9185084505377636</v>
      </c>
      <c r="J368" s="39" t="str">
        <f t="shared" ca="1" si="21"/>
        <v>WATCH</v>
      </c>
      <c r="K368" s="54">
        <f t="shared" ca="1" si="22"/>
        <v>-51.857698935875348</v>
      </c>
      <c r="L368" s="20">
        <f t="array" aca="1" ref="L368" ca="1">_FV(A368,"Market cap",TRUE)/10000000</f>
        <v>98908.42</v>
      </c>
      <c r="M368" s="21" t="str">
        <f t="shared" ca="1" si="23"/>
        <v>HMC</v>
      </c>
      <c r="N368" s="37" t="str">
        <f t="array" aca="1" ref="N368" ca="1">_FV(A368,"Industry")</f>
        <v>Software &amp; IT Services</v>
      </c>
    </row>
    <row r="369" spans="1:14">
      <c r="A369" s="107" t="e" vm="451">
        <v>#VALUE!</v>
      </c>
      <c r="B369" s="33">
        <f t="array" aca="1" ref="B369" ca="1">_FV(A369,"Change (%)",TRUE)</f>
        <v>2.313E-3</v>
      </c>
      <c r="C369" s="35">
        <f t="array" aca="1" ref="C369" ca="1">_FV(A369,"Previous close",TRUE)</f>
        <v>281.05</v>
      </c>
      <c r="D369" s="35">
        <f t="array" aca="1" ref="D369" ca="1">_FV(A369,"Price")</f>
        <v>281.7</v>
      </c>
      <c r="E369" s="35">
        <f t="array" aca="1" ref="E369" ca="1">_FV(A369,"Low")</f>
        <v>280</v>
      </c>
      <c r="F369" s="35">
        <f t="array" aca="1" ref="F369" ca="1">_FV(A369,"High")</f>
        <v>283.60000000000002</v>
      </c>
      <c r="G369" s="35">
        <f t="array" aca="1" ref="G369" ca="1">_FV(A369,"52 week low",TRUE)</f>
        <v>263.5</v>
      </c>
      <c r="H369" s="36">
        <f t="array" aca="1" ref="H369" ca="1">_FV(A369,"52 week high",TRUE)</f>
        <v>349.5</v>
      </c>
      <c r="I369" s="40">
        <f t="shared" ca="1" si="20"/>
        <v>19.399141630901291</v>
      </c>
      <c r="J369" s="39" t="str">
        <f t="shared" ca="1" si="21"/>
        <v>FIRST HMC BUY</v>
      </c>
      <c r="K369" s="54">
        <f t="shared" ca="1" si="22"/>
        <v>-6.9070208728652709</v>
      </c>
      <c r="L369" s="20">
        <f t="array" aca="1" ref="L369" ca="1">_FV(A369,"Market cap",TRUE)/10000000</f>
        <v>42157.5</v>
      </c>
      <c r="M369" s="21" t="str">
        <f t="shared" ca="1" si="23"/>
        <v>HMC</v>
      </c>
      <c r="N369" s="37" t="str">
        <f t="array" aca="1" ref="N369" ca="1">_FV(A369,"Industry")</f>
        <v>Oil &amp; Gas Related Equipment and Services</v>
      </c>
    </row>
    <row r="370" spans="1:14">
      <c r="A370" s="107" t="e" vm="452">
        <v>#VALUE!</v>
      </c>
      <c r="B370" s="33">
        <f t="array" aca="1" ref="B370" ca="1">_FV(A370,"Change (%)",TRUE)</f>
        <v>3.1769999999999997E-3</v>
      </c>
      <c r="C370" s="35">
        <f t="array" aca="1" ref="C370" ca="1">_FV(A370,"Previous close",TRUE)</f>
        <v>5036.3</v>
      </c>
      <c r="D370" s="35">
        <f t="array" aca="1" ref="D370" ca="1">_FV(A370,"Price")</f>
        <v>5052.3</v>
      </c>
      <c r="E370" s="35">
        <f t="array" aca="1" ref="E370" ca="1">_FV(A370,"Low")</f>
        <v>5001</v>
      </c>
      <c r="F370" s="35">
        <f t="array" aca="1" ref="F370" ca="1">_FV(A370,"High")</f>
        <v>5070</v>
      </c>
      <c r="G370" s="35">
        <f t="array" aca="1" ref="G370" ca="1">_FV(A370,"52 week low",TRUE)</f>
        <v>3618.77</v>
      </c>
      <c r="H370" s="36">
        <f t="array" aca="1" ref="H370" ca="1">_FV(A370,"52 week high",TRUE)</f>
        <v>5873.5</v>
      </c>
      <c r="I370" s="40">
        <f t="shared" ca="1" si="20"/>
        <v>13.981442070315822</v>
      </c>
      <c r="J370" s="39" t="str">
        <f t="shared" ca="1" si="21"/>
        <v>WATCH</v>
      </c>
      <c r="K370" s="54">
        <f t="shared" ca="1" si="22"/>
        <v>-39.61373615897115</v>
      </c>
      <c r="L370" s="20">
        <f t="array" aca="1" ref="L370" ca="1">_FV(A370,"Market cap",TRUE)/10000000</f>
        <v>23039.93</v>
      </c>
      <c r="M370" s="21" t="str">
        <f t="shared" ca="1" si="23"/>
        <v>MC</v>
      </c>
      <c r="N370" s="37" t="str">
        <f t="array" aca="1" ref="N370" ca="1">_FV(A370,"Industry")</f>
        <v>Pharmaceuticals</v>
      </c>
    </row>
    <row r="371" spans="1:14">
      <c r="A371" s="107" t="e" vm="453">
        <v>#VALUE!</v>
      </c>
      <c r="B371" s="33">
        <f t="array" aca="1" ref="B371" ca="1">_FV(A371,"Change (%)",TRUE)</f>
        <v>-1.6189999999999998E-3</v>
      </c>
      <c r="C371" s="35">
        <f t="array" aca="1" ref="C371" ca="1">_FV(A371,"Previous close",TRUE)</f>
        <v>1853.4</v>
      </c>
      <c r="D371" s="35">
        <f t="array" aca="1" ref="D371" ca="1">_FV(A371,"Price")</f>
        <v>1850.4</v>
      </c>
      <c r="E371" s="35">
        <f t="array" aca="1" ref="E371" ca="1">_FV(A371,"Low")</f>
        <v>1841.3</v>
      </c>
      <c r="F371" s="35">
        <f t="array" aca="1" ref="F371" ca="1">_FV(A371,"High")</f>
        <v>1871</v>
      </c>
      <c r="G371" s="35">
        <f t="array" aca="1" ref="G371" ca="1">_FV(A371,"52 week low",TRUE)</f>
        <v>1402.5</v>
      </c>
      <c r="H371" s="36">
        <f t="array" aca="1" ref="H371" ca="1">_FV(A371,"52 week high",TRUE)</f>
        <v>1871</v>
      </c>
      <c r="I371" s="40">
        <f t="shared" ca="1" si="20"/>
        <v>1.1010154997327584</v>
      </c>
      <c r="J371" s="39" t="str">
        <f t="shared" ca="1" si="21"/>
        <v>WATCH</v>
      </c>
      <c r="K371" s="54">
        <f t="shared" ca="1" si="22"/>
        <v>-31.935828877005353</v>
      </c>
      <c r="L371" s="20">
        <f t="array" aca="1" ref="L371" ca="1">_FV(A371,"Market cap",TRUE)/10000000</f>
        <v>66277.27</v>
      </c>
      <c r="M371" s="21" t="str">
        <f t="shared" ca="1" si="23"/>
        <v>HMC</v>
      </c>
      <c r="N371" s="37" t="str">
        <f t="array" aca="1" ref="N371" ca="1">_FV(A371,"Industry")</f>
        <v>Real Estate Operations</v>
      </c>
    </row>
    <row r="372" spans="1:14">
      <c r="A372" s="107" t="e" vm="93">
        <v>#VALUE!</v>
      </c>
      <c r="B372" s="33">
        <f t="array" aca="1" ref="B372" ca="1">_FV(A372,"Change (%)",TRUE)</f>
        <v>8.2950000000000003E-3</v>
      </c>
      <c r="C372" s="35">
        <f t="array" aca="1" ref="C372" ca="1">_FV(A372,"Previous close",TRUE)</f>
        <v>1446.6</v>
      </c>
      <c r="D372" s="35">
        <f t="array" aca="1" ref="D372" ca="1">_FV(A372,"Price")</f>
        <v>1458.6</v>
      </c>
      <c r="E372" s="35">
        <f t="array" aca="1" ref="E372" ca="1">_FV(A372,"Low")</f>
        <v>1445</v>
      </c>
      <c r="F372" s="35">
        <f t="array" aca="1" ref="F372" ca="1">_FV(A372,"High")</f>
        <v>1464</v>
      </c>
      <c r="G372" s="35">
        <f t="array" aca="1" ref="G372" ca="1">_FV(A372,"52 week low",TRUE)</f>
        <v>1306.8699999999999</v>
      </c>
      <c r="H372" s="36">
        <f t="array" aca="1" ref="H372" ca="1">_FV(A372,"52 week high",TRUE)</f>
        <v>1574.95</v>
      </c>
      <c r="I372" s="40">
        <f t="shared" ca="1" si="20"/>
        <v>7.3875361122575409</v>
      </c>
      <c r="J372" s="39" t="str">
        <f t="shared" ca="1" si="21"/>
        <v>WATCH</v>
      </c>
      <c r="K372" s="54">
        <f t="shared" ca="1" si="22"/>
        <v>-11.610183109261062</v>
      </c>
      <c r="L372" s="20">
        <f t="array" aca="1" ref="L372" ca="1">_FV(A372,"Market cap",TRUE)/10000000</f>
        <v>147222.5</v>
      </c>
      <c r="M372" s="21" t="str">
        <f t="shared" ca="1" si="23"/>
        <v>LC</v>
      </c>
      <c r="N372" s="37" t="str">
        <f t="array" aca="1" ref="N372" ca="1">_FV(A372,"Industry")</f>
        <v>Chemicals</v>
      </c>
    </row>
    <row r="373" spans="1:14">
      <c r="A373" s="107" t="e" vm="454">
        <v>#VALUE!</v>
      </c>
      <c r="B373" s="33">
        <f t="array" aca="1" ref="B373" ca="1">_FV(A373,"Change (%)",TRUE)</f>
        <v>-1.7426999999999998E-2</v>
      </c>
      <c r="C373" s="35">
        <f t="array" aca="1" ref="C373" ca="1">_FV(A373,"Previous close",TRUE)</f>
        <v>177.31</v>
      </c>
      <c r="D373" s="35">
        <f t="array" aca="1" ref="D373" ca="1">_FV(A373,"Price")</f>
        <v>174.22</v>
      </c>
      <c r="E373" s="35">
        <f t="array" aca="1" ref="E373" ca="1">_FV(A373,"Low")</f>
        <v>173.85</v>
      </c>
      <c r="F373" s="35">
        <f t="array" aca="1" ref="F373" ca="1">_FV(A373,"High")</f>
        <v>177.4</v>
      </c>
      <c r="G373" s="35">
        <f t="array" aca="1" ref="G373" ca="1">_FV(A373,"52 week low",TRUE)</f>
        <v>165.12</v>
      </c>
      <c r="H373" s="36">
        <f t="array" aca="1" ref="H373" ca="1">_FV(A373,"52 week high",TRUE)</f>
        <v>273.35000000000002</v>
      </c>
      <c r="I373" s="40">
        <f t="shared" ca="1" si="20"/>
        <v>36.264861898664719</v>
      </c>
      <c r="J373" s="39" t="str">
        <f t="shared" ca="1" si="21"/>
        <v>MC BUY</v>
      </c>
      <c r="K373" s="54">
        <f t="shared" ca="1" si="22"/>
        <v>-5.5111434108527098</v>
      </c>
      <c r="L373" s="20">
        <f t="array" aca="1" ref="L373" ca="1">_FV(A373,"Market cap",TRUE)/10000000</f>
        <v>23448.5</v>
      </c>
      <c r="M373" s="21" t="str">
        <f t="shared" ca="1" si="23"/>
        <v>MC</v>
      </c>
      <c r="N373" s="37" t="str">
        <f t="array" aca="1" ref="N373" ca="1">_FV(A373,"Industry")</f>
        <v>Pharmaceuticals</v>
      </c>
    </row>
    <row r="374" spans="1:14">
      <c r="A374" s="107" t="e" vm="455">
        <v>#VALUE!</v>
      </c>
      <c r="B374" s="33">
        <f t="array" aca="1" ref="B374" ca="1">_FV(A374,"Change (%)",TRUE)</f>
        <v>-1.5523E-2</v>
      </c>
      <c r="C374" s="35">
        <f t="array" aca="1" ref="C374" ca="1">_FV(A374,"Previous close",TRUE)</f>
        <v>1784.5</v>
      </c>
      <c r="D374" s="35">
        <f t="array" aca="1" ref="D374" ca="1">_FV(A374,"Price")</f>
        <v>1756.8</v>
      </c>
      <c r="E374" s="35">
        <f t="array" aca="1" ref="E374" ca="1">_FV(A374,"Low")</f>
        <v>1739.9</v>
      </c>
      <c r="F374" s="35">
        <f t="array" aca="1" ref="F374" ca="1">_FV(A374,"High")</f>
        <v>1780.1</v>
      </c>
      <c r="G374" s="35">
        <f t="array" aca="1" ref="G374" ca="1">_FV(A374,"52 week low",TRUE)</f>
        <v>1739.9</v>
      </c>
      <c r="H374" s="36">
        <f t="array" aca="1" ref="H374" ca="1">_FV(A374,"52 week high",TRUE)</f>
        <v>2937.6</v>
      </c>
      <c r="I374" s="40">
        <f t="shared" ca="1" si="20"/>
        <v>40.196078431372548</v>
      </c>
      <c r="J374" s="39" t="str">
        <f t="shared" ca="1" si="21"/>
        <v>SURE MC BUY</v>
      </c>
      <c r="K374" s="54">
        <f t="shared" ca="1" si="22"/>
        <v>-0.97132019081555621</v>
      </c>
      <c r="L374" s="20">
        <f t="array" aca="1" ref="L374" ca="1">_FV(A374,"Market cap",TRUE)/10000000</f>
        <v>18087.599999999999</v>
      </c>
      <c r="M374" s="21" t="str">
        <f t="shared" ca="1" si="23"/>
        <v>MC</v>
      </c>
      <c r="N374" s="37" t="str">
        <f t="array" aca="1" ref="N374" ca="1">_FV(A374,"Industry")</f>
        <v>Healthcare Equipment &amp; Supplies</v>
      </c>
    </row>
    <row r="375" spans="1:14">
      <c r="A375" s="107" t="e" vm="456">
        <v>#VALUE!</v>
      </c>
      <c r="B375" s="33">
        <f t="array" aca="1" ref="B375" ca="1">_FV(A375,"Change (%)",TRUE)</f>
        <v>-9.698E-3</v>
      </c>
      <c r="C375" s="35">
        <f t="array" aca="1" ref="C375" ca="1">_FV(A375,"Previous close",TRUE)</f>
        <v>7630.5</v>
      </c>
      <c r="D375" s="35">
        <f t="array" aca="1" ref="D375" ca="1">_FV(A375,"Price")</f>
        <v>7556.5</v>
      </c>
      <c r="E375" s="35">
        <f t="array" aca="1" ref="E375" ca="1">_FV(A375,"Low")</f>
        <v>7531.5</v>
      </c>
      <c r="F375" s="35">
        <f t="array" aca="1" ref="F375" ca="1">_FV(A375,"High")</f>
        <v>7672.5</v>
      </c>
      <c r="G375" s="35">
        <f t="array" aca="1" ref="G375" ca="1">_FV(A375,"52 week low",TRUE)</f>
        <v>4555</v>
      </c>
      <c r="H375" s="36">
        <f t="array" aca="1" ref="H375" ca="1">_FV(A375,"52 week high",TRUE)</f>
        <v>7903</v>
      </c>
      <c r="I375" s="40">
        <f t="shared" ca="1" si="20"/>
        <v>4.3844109831709481</v>
      </c>
      <c r="J375" s="39" t="str">
        <f t="shared" ca="1" si="21"/>
        <v>WATCH</v>
      </c>
      <c r="K375" s="54">
        <f t="shared" ca="1" si="22"/>
        <v>-65.894621295279919</v>
      </c>
      <c r="L375" s="20">
        <f t="array" aca="1" ref="L375" ca="1">_FV(A375,"Market cap",TRUE)/10000000</f>
        <v>114868.4</v>
      </c>
      <c r="M375" s="21" t="str">
        <f t="shared" ca="1" si="23"/>
        <v>LC</v>
      </c>
      <c r="N375" s="37" t="str">
        <f t="array" aca="1" ref="N375" ca="1">_FV(A375,"Industry")</f>
        <v>Machinery, Equipment &amp; Components</v>
      </c>
    </row>
    <row r="376" spans="1:14">
      <c r="A376" s="107" t="e" vm="457">
        <v>#VALUE!</v>
      </c>
      <c r="B376" s="33">
        <f t="array" aca="1" ref="B376" ca="1">_FV(A376,"Change (%)",TRUE)</f>
        <v>8.2059999999999998E-3</v>
      </c>
      <c r="C376" s="35">
        <f t="array" aca="1" ref="C376" ca="1">_FV(A376,"Previous close",TRUE)</f>
        <v>469.15</v>
      </c>
      <c r="D376" s="35">
        <f t="array" aca="1" ref="D376" ca="1">_FV(A376,"Price")</f>
        <v>473</v>
      </c>
      <c r="E376" s="35">
        <f t="array" aca="1" ref="E376" ca="1">_FV(A376,"Low")</f>
        <v>466</v>
      </c>
      <c r="F376" s="35">
        <f t="array" aca="1" ref="F376" ca="1">_FV(A376,"High")</f>
        <v>477.3</v>
      </c>
      <c r="G376" s="35">
        <f t="array" aca="1" ref="G376" ca="1">_FV(A376,"52 week low",TRUE)</f>
        <v>267.2</v>
      </c>
      <c r="H376" s="36">
        <f t="array" aca="1" ref="H376" ca="1">_FV(A376,"52 week high",TRUE)</f>
        <v>570.4</v>
      </c>
      <c r="I376" s="40">
        <f t="shared" ca="1" si="20"/>
        <v>17.075736325385691</v>
      </c>
      <c r="J376" s="39" t="str">
        <f t="shared" ca="1" si="21"/>
        <v>WATCH</v>
      </c>
      <c r="K376" s="54">
        <f t="shared" ca="1" si="22"/>
        <v>-77.02095808383234</v>
      </c>
      <c r="L376" s="20">
        <f t="array" aca="1" ref="L376" ca="1">_FV(A376,"Market cap",TRUE)/10000000</f>
        <v>37889.68</v>
      </c>
      <c r="M376" s="21" t="str">
        <f t="shared" ca="1" si="23"/>
        <v>MC</v>
      </c>
      <c r="N376" s="37" t="str">
        <f t="array" aca="1" ref="N376" ca="1">_FV(A376,"Industry")</f>
        <v>Banking Services</v>
      </c>
    </row>
    <row r="377" spans="1:14">
      <c r="A377" s="107" t="e" vm="195">
        <v>#VALUE!</v>
      </c>
      <c r="B377" s="33">
        <f t="array" aca="1" ref="B377" ca="1">_FV(A377,"Change (%)",TRUE)</f>
        <v>6.5290000000000001E-3</v>
      </c>
      <c r="C377" s="35">
        <f t="array" aca="1" ref="C377" ca="1">_FV(A377,"Previous close",TRUE)</f>
        <v>352.3</v>
      </c>
      <c r="D377" s="35">
        <f t="array" aca="1" ref="D377" ca="1">_FV(A377,"Price")</f>
        <v>354.6</v>
      </c>
      <c r="E377" s="35">
        <f t="array" aca="1" ref="E377" ca="1">_FV(A377,"Low")</f>
        <v>350.45</v>
      </c>
      <c r="F377" s="35">
        <f t="array" aca="1" ref="F377" ca="1">_FV(A377,"High")</f>
        <v>357.9</v>
      </c>
      <c r="G377" s="35">
        <f t="array" aca="1" ref="G377" ca="1">_FV(A377,"52 week low",TRUE)</f>
        <v>329.9</v>
      </c>
      <c r="H377" s="36">
        <f t="array" aca="1" ref="H377" ca="1">_FV(A377,"52 week high",TRUE)</f>
        <v>474.85</v>
      </c>
      <c r="I377" s="40">
        <f t="shared" ca="1" si="20"/>
        <v>25.323786458881752</v>
      </c>
      <c r="J377" s="39" t="str">
        <f t="shared" ca="1" si="21"/>
        <v>SURE LC BUY</v>
      </c>
      <c r="K377" s="54">
        <f t="shared" ca="1" si="22"/>
        <v>-7.4871173082752493</v>
      </c>
      <c r="L377" s="20">
        <f t="array" aca="1" ref="L377" ca="1">_FV(A377,"Market cap",TRUE)/10000000</f>
        <v>116262.6</v>
      </c>
      <c r="M377" s="21" t="str">
        <f t="shared" ca="1" si="23"/>
        <v>LC</v>
      </c>
      <c r="N377" s="37" t="str">
        <f t="array" aca="1" ref="N377" ca="1">_FV(A377,"Industry")</f>
        <v>Banking Services</v>
      </c>
    </row>
    <row r="378" spans="1:14">
      <c r="A378" s="107" t="e" vm="158">
        <v>#VALUE!</v>
      </c>
      <c r="B378" s="33">
        <f t="array" aca="1" ref="B378" ca="1">_FV(A378,"Change (%)",TRUE)</f>
        <v>-9.7000000000000003E-3</v>
      </c>
      <c r="C378" s="35">
        <f t="array" aca="1" ref="C378" ca="1">_FV(A378,"Previous close",TRUE)</f>
        <v>268.05</v>
      </c>
      <c r="D378" s="35">
        <f t="array" aca="1" ref="D378" ca="1">_FV(A378,"Price")</f>
        <v>265.45</v>
      </c>
      <c r="E378" s="35">
        <f t="array" aca="1" ref="E378" ca="1">_FV(A378,"Low")</f>
        <v>264.85000000000002</v>
      </c>
      <c r="F378" s="35">
        <f t="array" aca="1" ref="F378" ca="1">_FV(A378,"High")</f>
        <v>269.3</v>
      </c>
      <c r="G378" s="35">
        <f t="array" aca="1" ref="G378" ca="1">_FV(A378,"52 week low",TRUE)</f>
        <v>247.3</v>
      </c>
      <c r="H378" s="36">
        <f t="array" aca="1" ref="H378" ca="1">_FV(A378,"52 week high",TRUE)</f>
        <v>322</v>
      </c>
      <c r="I378" s="40">
        <f t="shared" ca="1" si="20"/>
        <v>17.562111801242239</v>
      </c>
      <c r="J378" s="39" t="str">
        <f t="shared" ca="1" si="21"/>
        <v>LC BUY</v>
      </c>
      <c r="K378" s="54">
        <f t="shared" ca="1" si="22"/>
        <v>-7.3392640517589873</v>
      </c>
      <c r="L378" s="20">
        <f t="array" aca="1" ref="L378" ca="1">_FV(A378,"Market cap",TRUE)/10000000</f>
        <v>249302.7</v>
      </c>
      <c r="M378" s="21" t="str">
        <f t="shared" ca="1" si="23"/>
        <v>LC</v>
      </c>
      <c r="N378" s="37" t="str">
        <f t="array" aca="1" ref="N378" ca="1">_FV(A378,"Industry")</f>
        <v>Electrical Utilities &amp; IPPs</v>
      </c>
    </row>
    <row r="379" spans="1:14">
      <c r="A379" s="107" t="e" vm="458">
        <v>#VALUE!</v>
      </c>
      <c r="B379" s="33">
        <f t="array" aca="1" ref="B379" ca="1">_FV(A379,"Change (%)",TRUE)</f>
        <v>-4.0360000000000005E-3</v>
      </c>
      <c r="C379" s="35">
        <f t="array" aca="1" ref="C379" ca="1">_FV(A379,"Previous close",TRUE)</f>
        <v>334.45</v>
      </c>
      <c r="D379" s="35">
        <f t="array" aca="1" ref="D379" ca="1">_FV(A379,"Price")</f>
        <v>333.1</v>
      </c>
      <c r="E379" s="35">
        <f t="array" aca="1" ref="E379" ca="1">_FV(A379,"Low")</f>
        <v>331.85</v>
      </c>
      <c r="F379" s="35">
        <f t="array" aca="1" ref="F379" ca="1">_FV(A379,"High")</f>
        <v>337.5</v>
      </c>
      <c r="G379" s="35">
        <f t="array" aca="1" ref="G379" ca="1">_FV(A379,"52 week low",TRUE)</f>
        <v>293.39999999999998</v>
      </c>
      <c r="H379" s="36">
        <f t="array" aca="1" ref="H379" ca="1">_FV(A379,"52 week high",TRUE)</f>
        <v>875</v>
      </c>
      <c r="I379" s="40">
        <f t="shared" ca="1" si="20"/>
        <v>61.931428571428569</v>
      </c>
      <c r="J379" s="39" t="str">
        <f t="shared" ca="1" si="21"/>
        <v>SURE HSC BUY</v>
      </c>
      <c r="K379" s="54">
        <f t="shared" ca="1" si="22"/>
        <v>-13.531015678254958</v>
      </c>
      <c r="L379" s="20">
        <f t="array" aca="1" ref="L379" ca="1">_FV(A379,"Market cap",TRUE)/10000000</f>
        <v>6147.6289999999999</v>
      </c>
      <c r="M379" s="21" t="str">
        <f t="shared" ca="1" si="23"/>
        <v>HSC</v>
      </c>
      <c r="N379" s="37" t="str">
        <f t="array" aca="1" ref="N379" ca="1">_FV(A379,"Industry")</f>
        <v>Construction &amp; Engineering</v>
      </c>
    </row>
    <row r="380" spans="1:14">
      <c r="A380" s="107" t="e" vm="459">
        <v>#VALUE!</v>
      </c>
      <c r="B380" s="33">
        <f t="array" aca="1" ref="B380" ca="1">_FV(A380,"Change (%)",TRUE)</f>
        <v>-1.0884E-2</v>
      </c>
      <c r="C380" s="35">
        <f t="array" aca="1" ref="C380" ca="1">_FV(A380,"Previous close",TRUE)</f>
        <v>886.65</v>
      </c>
      <c r="D380" s="35">
        <f t="array" aca="1" ref="D380" ca="1">_FV(A380,"Price")</f>
        <v>877</v>
      </c>
      <c r="E380" s="35">
        <f t="array" aca="1" ref="E380" ca="1">_FV(A380,"Low")</f>
        <v>875</v>
      </c>
      <c r="F380" s="35">
        <f t="array" aca="1" ref="F380" ca="1">_FV(A380,"High")</f>
        <v>896.4</v>
      </c>
      <c r="G380" s="35">
        <f t="array" aca="1" ref="G380" ca="1">_FV(A380,"52 week low",TRUE)</f>
        <v>774.05</v>
      </c>
      <c r="H380" s="36">
        <f t="array" aca="1" ref="H380" ca="1">_FV(A380,"52 week high",TRUE)</f>
        <v>1384</v>
      </c>
      <c r="I380" s="40">
        <f t="shared" ca="1" si="20"/>
        <v>36.632947976878611</v>
      </c>
      <c r="J380" s="39" t="str">
        <f t="shared" ca="1" si="21"/>
        <v>MC BUY</v>
      </c>
      <c r="K380" s="54">
        <f t="shared" ca="1" si="22"/>
        <v>-13.300174407338032</v>
      </c>
      <c r="L380" s="20">
        <f t="array" aca="1" ref="L380" ca="1">_FV(A380,"Market cap",TRUE)/10000000</f>
        <v>39820.559999999998</v>
      </c>
      <c r="M380" s="21" t="str">
        <f t="shared" ca="1" si="23"/>
        <v>MC</v>
      </c>
      <c r="N380" s="37" t="str">
        <f t="array" aca="1" ref="N380" ca="1">_FV(A380,"Industry")</f>
        <v>Renewable Energy</v>
      </c>
    </row>
    <row r="381" spans="1:14">
      <c r="A381" s="107" t="e" vm="460">
        <v>#VALUE!</v>
      </c>
      <c r="B381" s="33">
        <f t="array" aca="1" ref="B381" ca="1">_FV(A381,"Change (%)",TRUE)</f>
        <v>-5.1919999999999996E-3</v>
      </c>
      <c r="C381" s="35">
        <f t="array" aca="1" ref="C381" ca="1">_FV(A381,"Previous close",TRUE)</f>
        <v>1618</v>
      </c>
      <c r="D381" s="35">
        <f t="array" aca="1" ref="D381" ca="1">_FV(A381,"Price")</f>
        <v>1609.6</v>
      </c>
      <c r="E381" s="35">
        <f t="array" aca="1" ref="E381" ca="1">_FV(A381,"Low")</f>
        <v>1592.3</v>
      </c>
      <c r="F381" s="35">
        <f t="array" aca="1" ref="F381" ca="1">_FV(A381,"High")</f>
        <v>1649.9</v>
      </c>
      <c r="G381" s="35">
        <f t="array" aca="1" ref="G381" ca="1">_FV(A381,"52 week low",TRUE)</f>
        <v>1048.05</v>
      </c>
      <c r="H381" s="36">
        <f t="array" aca="1" ref="H381" ca="1">_FV(A381,"52 week high",TRUE)</f>
        <v>1814</v>
      </c>
      <c r="I381" s="40">
        <f t="shared" ca="1" si="20"/>
        <v>11.267916207276741</v>
      </c>
      <c r="J381" s="39" t="str">
        <f t="shared" ca="1" si="21"/>
        <v>WATCH</v>
      </c>
      <c r="K381" s="54">
        <f t="shared" ca="1" si="22"/>
        <v>-53.580458947569291</v>
      </c>
      <c r="L381" s="20">
        <f t="array" aca="1" ref="L381" ca="1">_FV(A381,"Market cap",TRUE)/10000000</f>
        <v>69330.34</v>
      </c>
      <c r="M381" s="21" t="str">
        <f t="shared" ca="1" si="23"/>
        <v>HMC</v>
      </c>
      <c r="N381" s="37" t="str">
        <f t="array" aca="1" ref="N381" ca="1">_FV(A381,"Industry")</f>
        <v>Real Estate Operations</v>
      </c>
    </row>
    <row r="382" spans="1:14">
      <c r="A382" s="107" t="e" vm="461">
        <v>#VALUE!</v>
      </c>
      <c r="B382" s="33">
        <f t="array" aca="1" ref="B382" ca="1">_FV(A382,"Change (%)",TRUE)</f>
        <v>-5.5289999999999992E-3</v>
      </c>
      <c r="C382" s="35">
        <f t="array" aca="1" ref="C382" ca="1">_FV(A382,"Previous close",TRUE)</f>
        <v>13022</v>
      </c>
      <c r="D382" s="35">
        <f t="array" aca="1" ref="D382" ca="1">_FV(A382,"Price")</f>
        <v>12950</v>
      </c>
      <c r="E382" s="35">
        <f t="array" aca="1" ref="E382" ca="1">_FV(A382,"Low")</f>
        <v>12902</v>
      </c>
      <c r="F382" s="35">
        <f t="array" aca="1" ref="F382" ca="1">_FV(A382,"High")</f>
        <v>13065</v>
      </c>
      <c r="G382" s="35">
        <f t="array" aca="1" ref="G382" ca="1">_FV(A382,"52 week low",TRUE)</f>
        <v>12105.6</v>
      </c>
      <c r="H382" s="36">
        <f t="array" aca="1" ref="H382" ca="1">_FV(A382,"52 week high",TRUE)</f>
        <v>15597.75</v>
      </c>
      <c r="I382" s="40">
        <f t="shared" ca="1" si="20"/>
        <v>16.975204757096375</v>
      </c>
      <c r="J382" s="39" t="str">
        <f t="shared" ca="1" si="21"/>
        <v>FIRST HMC BUY</v>
      </c>
      <c r="K382" s="54">
        <f t="shared" ca="1" si="22"/>
        <v>-6.9752841660058129</v>
      </c>
      <c r="L382" s="20">
        <f t="array" aca="1" ref="L382" ca="1">_FV(A382,"Market cap",TRUE)/10000000</f>
        <v>42270.37</v>
      </c>
      <c r="M382" s="21" t="str">
        <f t="shared" ca="1" si="23"/>
        <v>HMC</v>
      </c>
      <c r="N382" s="37" t="str">
        <f t="array" aca="1" ref="N382" ca="1">_FV(A382,"Industry")</f>
        <v>Personal &amp; Household Products &amp; Services</v>
      </c>
    </row>
    <row r="383" spans="1:14">
      <c r="A383" s="107" t="e" vm="171">
        <v>#VALUE!</v>
      </c>
      <c r="B383" s="33">
        <f t="array" aca="1" ref="B383" ca="1">_FV(A383,"Change (%)",TRUE)</f>
        <v>-4.6309999999999997E-3</v>
      </c>
      <c r="C383" s="35">
        <f t="array" aca="1" ref="C383" ca="1">_FV(A383,"Previous close",TRUE)</f>
        <v>120.93</v>
      </c>
      <c r="D383" s="35">
        <f t="array" aca="1" ref="D383" ca="1">_FV(A383,"Price")</f>
        <v>120.37</v>
      </c>
      <c r="E383" s="35">
        <f t="array" aca="1" ref="E383" ca="1">_FV(A383,"Low")</f>
        <v>119.45</v>
      </c>
      <c r="F383" s="35">
        <f t="array" aca="1" ref="F383" ca="1">_FV(A383,"High")</f>
        <v>120.98</v>
      </c>
      <c r="G383" s="35">
        <f t="array" aca="1" ref="G383" ca="1">_FV(A383,"52 week low",TRUE)</f>
        <v>85.46</v>
      </c>
      <c r="H383" s="36">
        <f t="array" aca="1" ref="H383" ca="1">_FV(A383,"52 week high",TRUE)</f>
        <v>127.8</v>
      </c>
      <c r="I383" s="40">
        <f t="shared" ca="1" si="20"/>
        <v>5.813771517996865</v>
      </c>
      <c r="J383" s="39" t="str">
        <f t="shared" ca="1" si="21"/>
        <v>WATCH</v>
      </c>
      <c r="K383" s="54">
        <f t="shared" ca="1" si="22"/>
        <v>-40.849520243388731</v>
      </c>
      <c r="L383" s="20">
        <f t="array" aca="1" ref="L383" ca="1">_FV(A383,"Market cap",TRUE)/10000000</f>
        <v>138984.20000000001</v>
      </c>
      <c r="M383" s="21" t="str">
        <f t="shared" ca="1" si="23"/>
        <v>LC</v>
      </c>
      <c r="N383" s="37" t="str">
        <f t="array" aca="1" ref="N383" ca="1">_FV(A383,"Industry")</f>
        <v>Banking Services</v>
      </c>
    </row>
    <row r="384" spans="1:14">
      <c r="A384" s="107" t="e" vm="462">
        <v>#VALUE!</v>
      </c>
      <c r="B384" s="33">
        <f t="array" aca="1" ref="B384" ca="1">_FV(A384,"Change (%)",TRUE)</f>
        <v>-1.7009E-2</v>
      </c>
      <c r="C384" s="35">
        <f t="array" aca="1" ref="C384" ca="1">_FV(A384,"Previous close",TRUE)</f>
        <v>1499.2</v>
      </c>
      <c r="D384" s="35">
        <f t="array" aca="1" ref="D384" ca="1">_FV(A384,"Price")</f>
        <v>1473.7</v>
      </c>
      <c r="E384" s="35">
        <f t="array" aca="1" ref="E384" ca="1">_FV(A384,"Low")</f>
        <v>1468.5</v>
      </c>
      <c r="F384" s="35">
        <f t="array" aca="1" ref="F384" ca="1">_FV(A384,"High")</f>
        <v>1516</v>
      </c>
      <c r="G384" s="35">
        <f t="array" aca="1" ref="G384" ca="1">_FV(A384,"52 week low",TRUE)</f>
        <v>853.55</v>
      </c>
      <c r="H384" s="36">
        <f t="array" aca="1" ref="H384" ca="1">_FV(A384,"52 week high",TRUE)</f>
        <v>1562.6</v>
      </c>
      <c r="I384" s="40">
        <f t="shared" ref="I384:I447" ca="1" si="24">(H384-D384)*100/H384</f>
        <v>5.6892358889031014</v>
      </c>
      <c r="J384" s="39" t="str">
        <f t="shared" ref="J384:J447" ca="1" si="25">IF(AND(M384="HLC", I384&gt;12), "SURE HLC BUY",IF(AND(M384="HLC", I384&gt;7), "FIRST HLC BUY",IF(AND(M384="LC", I384&gt;20), "SURE LC BUY",IF(AND(M384="LC", I384&gt;10), "LC BUY",IF(AND(M384="HMC", I384&gt;30), "SURE HMC BUY",IF(AND(M384="HMC", I384&gt;20), "HMC BUY",IF(AND(M384="HMC", I384&gt;15), "FIRST HMC BUY",IF(AND(M384="MC", I384&gt;40), "SURE MC BUY",IF(AND(M384="MC", I384&gt;30), "MC BUY",IF(AND(M384="MC", I384&gt;20), "FIRST MC BUY",IF(AND(M384="HSC", I384&gt;60), "SURE HSC BUY",IF(AND(M384="HSC", I384&gt;50), "HSC BUY",IF(AND(M384="HSC", I384&gt;40), "FIRST HSC BUY",IF(AND(M384="SC", I384&gt;70), "SURE SC BUY",IF(AND(M384="SC", I384&gt;60), "SC BUY",IF(AND(M384="SC", I384&gt;50), "FIRST SC BUY",IF(AND(M384="VSC", I384&gt;80), "SURE VSC BUY",IF(AND(M384="VSC", I384&gt;70), "VSC BUY",IF(AND(M384="VSC", I384&gt;60), "FIRST VSC BUY","WATCH")))))))))))))))))))</f>
        <v>WATCH</v>
      </c>
      <c r="K384" s="54">
        <f t="shared" ref="K384:K447" ca="1" si="26">(G384-D384)*100/G384</f>
        <v>-72.655380469802608</v>
      </c>
      <c r="L384" s="20">
        <f t="array" aca="1" ref="L384" ca="1">_FV(A384,"Market cap",TRUE)/10000000</f>
        <v>16954.330000000002</v>
      </c>
      <c r="M384" s="21" t="str">
        <f t="shared" ref="M384:M447" ca="1" si="27">IF(L384&gt;500000,"HLC",IF(L384 &gt;100000,"LC",IF(L384 &gt;40000,"HMC",IF(L384 &gt;10000,"MC",IF(L384 &gt;=5000,"HSC",IF(L384 &gt;1000,"SC","VSC"))))))</f>
        <v>MC</v>
      </c>
      <c r="N384" s="37" t="str">
        <f t="array" aca="1" ref="N384" ca="1">_FV(A384,"Industry")</f>
        <v>Machinery, Equipment &amp; Components</v>
      </c>
    </row>
    <row r="385" spans="1:14">
      <c r="A385" s="107" t="e" vm="463">
        <v>#VALUE!</v>
      </c>
      <c r="B385" s="33">
        <f t="array" aca="1" ref="B385" ca="1">_FV(A385,"Change (%)",TRUE)</f>
        <v>-8.8249999999999995E-3</v>
      </c>
      <c r="C385" s="35">
        <f t="array" aca="1" ref="C385" ca="1">_FV(A385,"Previous close",TRUE)</f>
        <v>305.95</v>
      </c>
      <c r="D385" s="35">
        <f t="array" aca="1" ref="D385" ca="1">_FV(A385,"Price")</f>
        <v>303.25</v>
      </c>
      <c r="E385" s="35">
        <f t="array" aca="1" ref="E385" ca="1">_FV(A385,"Low")</f>
        <v>300.64999999999998</v>
      </c>
      <c r="F385" s="35">
        <f t="array" aca="1" ref="F385" ca="1">_FV(A385,"High")</f>
        <v>306.05</v>
      </c>
      <c r="G385" s="35">
        <f t="array" aca="1" ref="G385" ca="1">_FV(A385,"52 week low",TRUE)</f>
        <v>146.1</v>
      </c>
      <c r="H385" s="36">
        <f t="array" aca="1" ref="H385" ca="1">_FV(A385,"52 week high",TRUE)</f>
        <v>332</v>
      </c>
      <c r="I385" s="40">
        <f t="shared" ca="1" si="24"/>
        <v>8.6596385542168672</v>
      </c>
      <c r="J385" s="39" t="str">
        <f t="shared" ca="1" si="25"/>
        <v>WATCH</v>
      </c>
      <c r="K385" s="54">
        <f t="shared" ca="1" si="26"/>
        <v>-107.56331279945243</v>
      </c>
      <c r="L385" s="20">
        <f t="array" aca="1" ref="L385" ca="1">_FV(A385,"Market cap",TRUE)/10000000</f>
        <v>18881.900000000001</v>
      </c>
      <c r="M385" s="21" t="str">
        <f t="shared" ca="1" si="27"/>
        <v>MC</v>
      </c>
      <c r="N385" s="37" t="str">
        <f t="array" aca="1" ref="N385" ca="1">_FV(A385,"Industry")</f>
        <v>Banking Services</v>
      </c>
    </row>
    <row r="386" spans="1:14">
      <c r="A386" s="107" t="e" vm="97">
        <v>#VALUE!</v>
      </c>
      <c r="B386" s="33">
        <f t="array" aca="1" ref="B386" ca="1">_FV(A386,"Change (%)",TRUE)</f>
        <v>6.6239999999999997E-3</v>
      </c>
      <c r="C386" s="35">
        <f t="array" aca="1" ref="C386" ca="1">_FV(A386,"Previous close",TRUE)</f>
        <v>354.75</v>
      </c>
      <c r="D386" s="35">
        <f t="array" aca="1" ref="D386" ca="1">_FV(A386,"Price")</f>
        <v>357.1</v>
      </c>
      <c r="E386" s="35">
        <f t="array" aca="1" ref="E386" ca="1">_FV(A386,"Low")</f>
        <v>353.55</v>
      </c>
      <c r="F386" s="35">
        <f t="array" aca="1" ref="F386" ca="1">_FV(A386,"High")</f>
        <v>360.45</v>
      </c>
      <c r="G386" s="35">
        <f t="array" aca="1" ref="G386" ca="1">_FV(A386,"52 week low",TRUE)</f>
        <v>330.95</v>
      </c>
      <c r="H386" s="36">
        <f t="array" aca="1" ref="H386" ca="1">_FV(A386,"52 week high",TRUE)</f>
        <v>544.70000000000005</v>
      </c>
      <c r="I386" s="40">
        <f t="shared" ca="1" si="24"/>
        <v>34.440976684413442</v>
      </c>
      <c r="J386" s="39" t="str">
        <f t="shared" ca="1" si="25"/>
        <v>SURE HMC BUY</v>
      </c>
      <c r="K386" s="54">
        <f t="shared" ca="1" si="26"/>
        <v>-7.9014956942136383</v>
      </c>
      <c r="L386" s="20">
        <f t="array" aca="1" ref="L386" ca="1">_FV(A386,"Market cap",TRUE)/10000000</f>
        <v>93413.62</v>
      </c>
      <c r="M386" s="21" t="str">
        <f t="shared" ca="1" si="27"/>
        <v>HMC</v>
      </c>
      <c r="N386" s="37" t="str">
        <f t="array" aca="1" ref="N386" ca="1">_FV(A386,"Industry")</f>
        <v>Banking Services</v>
      </c>
    </row>
    <row r="387" spans="1:14">
      <c r="A387" s="107" t="e" vm="464">
        <v>#VALUE!</v>
      </c>
      <c r="B387" s="33">
        <f t="array" aca="1" ref="B387" ca="1">_FV(A387,"Change (%)",TRUE)</f>
        <v>5.3659999999999992E-3</v>
      </c>
      <c r="C387" s="35">
        <f t="array" aca="1" ref="C387" ca="1">_FV(A387,"Previous close",TRUE)</f>
        <v>447.25</v>
      </c>
      <c r="D387" s="35">
        <f t="array" aca="1" ref="D387" ca="1">_FV(A387,"Price")</f>
        <v>449.65</v>
      </c>
      <c r="E387" s="35">
        <f t="array" aca="1" ref="E387" ca="1">_FV(A387,"Low")</f>
        <v>444.35</v>
      </c>
      <c r="F387" s="35">
        <f t="array" aca="1" ref="F387" ca="1">_FV(A387,"High")</f>
        <v>455</v>
      </c>
      <c r="G387" s="35">
        <f t="array" aca="1" ref="G387" ca="1">_FV(A387,"52 week low",TRUE)</f>
        <v>376.45</v>
      </c>
      <c r="H387" s="36">
        <f t="array" aca="1" ref="H387" ca="1">_FV(A387,"52 week high",TRUE)</f>
        <v>547.9</v>
      </c>
      <c r="I387" s="40">
        <f t="shared" ca="1" si="24"/>
        <v>17.932104398612886</v>
      </c>
      <c r="J387" s="39" t="str">
        <f t="shared" ca="1" si="25"/>
        <v>WATCH</v>
      </c>
      <c r="K387" s="54">
        <f t="shared" ca="1" si="26"/>
        <v>-19.444813388232166</v>
      </c>
      <c r="L387" s="20">
        <f t="array" aca="1" ref="L387" ca="1">_FV(A387,"Market cap",TRUE)/10000000</f>
        <v>9285.3369999999995</v>
      </c>
      <c r="M387" s="21" t="str">
        <f t="shared" ca="1" si="27"/>
        <v>HSC</v>
      </c>
      <c r="N387" s="37" t="str">
        <f t="array" aca="1" ref="N387" ca="1">_FV(A387,"Industry")</f>
        <v>Construction Materials</v>
      </c>
    </row>
    <row r="388" spans="1:14">
      <c r="A388" s="107" t="e" vm="465">
        <v>#VALUE!</v>
      </c>
      <c r="B388" s="33">
        <f t="array" aca="1" ref="B388" ca="1">_FV(A388,"Change (%)",TRUE)</f>
        <v>4.1425999999999998E-2</v>
      </c>
      <c r="C388" s="35">
        <f t="array" aca="1" ref="C388" ca="1">_FV(A388,"Previous close",TRUE)</f>
        <v>242.6</v>
      </c>
      <c r="D388" s="35">
        <f t="array" aca="1" ref="D388" ca="1">_FV(A388,"Price")</f>
        <v>252.65</v>
      </c>
      <c r="E388" s="35">
        <f t="array" aca="1" ref="E388" ca="1">_FV(A388,"Low")</f>
        <v>240.85</v>
      </c>
      <c r="F388" s="35">
        <f t="array" aca="1" ref="F388" ca="1">_FV(A388,"High")</f>
        <v>257.38</v>
      </c>
      <c r="G388" s="35">
        <f t="array" aca="1" ref="G388" ca="1">_FV(A388,"52 week low",TRUE)</f>
        <v>192.4</v>
      </c>
      <c r="H388" s="36">
        <f t="array" aca="1" ref="H388" ca="1">_FV(A388,"52 week high",TRUE)</f>
        <v>316</v>
      </c>
      <c r="I388" s="40">
        <f t="shared" ca="1" si="24"/>
        <v>20.047468354430375</v>
      </c>
      <c r="J388" s="39" t="str">
        <f t="shared" ca="1" si="25"/>
        <v>FIRST MC BUY</v>
      </c>
      <c r="K388" s="54">
        <f t="shared" ca="1" si="26"/>
        <v>-31.314968814968815</v>
      </c>
      <c r="L388" s="20">
        <f t="array" aca="1" ref="L388" ca="1">_FV(A388,"Market cap",TRUE)/10000000</f>
        <v>11659.45</v>
      </c>
      <c r="M388" s="21" t="str">
        <f t="shared" ca="1" si="27"/>
        <v>MC</v>
      </c>
      <c r="N388" s="37" t="str">
        <f t="array" aca="1" ref="N388" ca="1">_FV(A388,"Industry")</f>
        <v>Professional &amp; Commercial Services</v>
      </c>
    </row>
    <row r="389" spans="1:14">
      <c r="A389" s="107" t="e" vm="466">
        <v>#VALUE!</v>
      </c>
      <c r="B389" s="33">
        <f t="array" aca="1" ref="B389" ca="1">_FV(A389,"Change (%)",TRUE)</f>
        <v>1.0299999999999999E-3</v>
      </c>
      <c r="C389" s="35">
        <f t="array" aca="1" ref="C389" ca="1">_FV(A389,"Previous close",TRUE)</f>
        <v>3301.9</v>
      </c>
      <c r="D389" s="35">
        <f t="array" aca="1" ref="D389" ca="1">_FV(A389,"Price")</f>
        <v>3305.3</v>
      </c>
      <c r="E389" s="35">
        <f t="array" aca="1" ref="E389" ca="1">_FV(A389,"Low")</f>
        <v>3265.1</v>
      </c>
      <c r="F389" s="35">
        <f t="array" aca="1" ref="F389" ca="1">_FV(A389,"High")</f>
        <v>3325.4</v>
      </c>
      <c r="G389" s="35">
        <f t="array" aca="1" ref="G389" ca="1">_FV(A389,"52 week low",TRUE)</f>
        <v>1845.5</v>
      </c>
      <c r="H389" s="36">
        <f t="array" aca="1" ref="H389" ca="1">_FV(A389,"52 week high",TRUE)</f>
        <v>3591.9</v>
      </c>
      <c r="I389" s="40">
        <f t="shared" ca="1" si="24"/>
        <v>7.9790640051226349</v>
      </c>
      <c r="J389" s="39" t="str">
        <f t="shared" ca="1" si="25"/>
        <v>WATCH</v>
      </c>
      <c r="K389" s="54">
        <f t="shared" ca="1" si="26"/>
        <v>-79.100514765646182</v>
      </c>
      <c r="L389" s="20">
        <f t="array" aca="1" ref="L389" ca="1">_FV(A389,"Market cap",TRUE)/10000000</f>
        <v>44210.29</v>
      </c>
      <c r="M389" s="21" t="str">
        <f t="shared" ca="1" si="27"/>
        <v>HMC</v>
      </c>
      <c r="N389" s="37" t="str">
        <f t="array" aca="1" ref="N389" ca="1">_FV(A389,"Industry")</f>
        <v>Beverages</v>
      </c>
    </row>
    <row r="390" spans="1:14">
      <c r="A390" s="107" t="e" vm="99">
        <v>#VALUE!</v>
      </c>
      <c r="B390" s="33">
        <f t="array" aca="1" ref="B390" ca="1">_FV(A390,"Change (%)",TRUE)</f>
        <v>0.12221600000000001</v>
      </c>
      <c r="C390" s="35">
        <f t="array" aca="1" ref="C390" ca="1">_FV(A390,"Previous close",TRUE)</f>
        <v>345.7</v>
      </c>
      <c r="D390" s="35">
        <f t="array" aca="1" ref="D390" ca="1">_FV(A390,"Price")</f>
        <v>387.95</v>
      </c>
      <c r="E390" s="35">
        <f t="array" aca="1" ref="E390" ca="1">_FV(A390,"Low")</f>
        <v>345.85</v>
      </c>
      <c r="F390" s="35">
        <f t="array" aca="1" ref="F390" ca="1">_FV(A390,"High")</f>
        <v>392.8</v>
      </c>
      <c r="G390" s="35">
        <f t="array" aca="1" ref="G390" ca="1">_FV(A390,"52 week low",TRUE)</f>
        <v>301.2</v>
      </c>
      <c r="H390" s="36">
        <f t="array" aca="1" ref="H390" ca="1">_FV(A390,"52 week high",TRUE)</f>
        <v>501.8</v>
      </c>
      <c r="I390" s="40">
        <f t="shared" ca="1" si="24"/>
        <v>22.688322040653649</v>
      </c>
      <c r="J390" s="39" t="str">
        <f t="shared" ca="1" si="25"/>
        <v>HMC BUY</v>
      </c>
      <c r="K390" s="54">
        <f t="shared" ca="1" si="26"/>
        <v>-28.801460823373176</v>
      </c>
      <c r="L390" s="20">
        <f t="array" aca="1" ref="L390" ca="1">_FV(A390,"Market cap",TRUE)/10000000</f>
        <v>72079.14</v>
      </c>
      <c r="M390" s="21" t="str">
        <f t="shared" ca="1" si="27"/>
        <v>HMC</v>
      </c>
      <c r="N390" s="37" t="str">
        <f t="array" aca="1" ref="N390" ca="1">_FV(A390,"Industry")</f>
        <v>Construction &amp; Engineering</v>
      </c>
    </row>
    <row r="391" spans="1:14">
      <c r="A391" s="107" t="e" vm="467">
        <v>#VALUE!</v>
      </c>
      <c r="B391" s="33">
        <f t="array" aca="1" ref="B391" ca="1">_FV(A391,"Change (%)",TRUE)</f>
        <v>6.0266E-2</v>
      </c>
      <c r="C391" s="35">
        <f t="array" aca="1" ref="C391" ca="1">_FV(A391,"Previous close",TRUE)</f>
        <v>356.75</v>
      </c>
      <c r="D391" s="35">
        <f t="array" aca="1" ref="D391" ca="1">_FV(A391,"Price")</f>
        <v>378.25</v>
      </c>
      <c r="E391" s="35">
        <f t="array" aca="1" ref="E391" ca="1">_FV(A391,"Low")</f>
        <v>354.05</v>
      </c>
      <c r="F391" s="35">
        <f t="array" aca="1" ref="F391" ca="1">_FV(A391,"High")</f>
        <v>391</v>
      </c>
      <c r="G391" s="35">
        <f t="array" aca="1" ref="G391" ca="1">_FV(A391,"52 week low",TRUE)</f>
        <v>265.5</v>
      </c>
      <c r="H391" s="36">
        <f t="array" aca="1" ref="H391" ca="1">_FV(A391,"52 week high",TRUE)</f>
        <v>478.95</v>
      </c>
      <c r="I391" s="40">
        <f t="shared" ca="1" si="24"/>
        <v>21.02515920242196</v>
      </c>
      <c r="J391" s="39" t="str">
        <f t="shared" ca="1" si="25"/>
        <v>FIRST MC BUY</v>
      </c>
      <c r="K391" s="54">
        <f t="shared" ca="1" si="26"/>
        <v>-42.467043314500941</v>
      </c>
      <c r="L391" s="20">
        <f t="array" aca="1" ref="L391" ca="1">_FV(A391,"Market cap",TRUE)/10000000</f>
        <v>11449.48</v>
      </c>
      <c r="M391" s="21" t="str">
        <f t="shared" ca="1" si="27"/>
        <v>MC</v>
      </c>
      <c r="N391" s="37" t="str">
        <f t="array" aca="1" ref="N391" ca="1">_FV(A391,"Industry")</f>
        <v>Telecommunications Services</v>
      </c>
    </row>
    <row r="392" spans="1:14">
      <c r="A392" s="107" t="e" vm="468">
        <v>#VALUE!</v>
      </c>
      <c r="B392" s="33">
        <f t="array" aca="1" ref="B392" ca="1">_FV(A392,"Change (%)",TRUE)</f>
        <v>-1.1174999999999999E-2</v>
      </c>
      <c r="C392" s="35">
        <f t="array" aca="1" ref="C392" ca="1">_FV(A392,"Previous close",TRUE)</f>
        <v>1360.2</v>
      </c>
      <c r="D392" s="35">
        <f t="array" aca="1" ref="D392" ca="1">_FV(A392,"Price")</f>
        <v>1345</v>
      </c>
      <c r="E392" s="35">
        <f t="array" aca="1" ref="E392" ca="1">_FV(A392,"Low")</f>
        <v>1335.1</v>
      </c>
      <c r="F392" s="35">
        <f t="array" aca="1" ref="F392" ca="1">_FV(A392,"High")</f>
        <v>1360.2</v>
      </c>
      <c r="G392" s="35">
        <f t="array" aca="1" ref="G392" ca="1">_FV(A392,"52 week low",TRUE)</f>
        <v>1218</v>
      </c>
      <c r="H392" s="36">
        <f t="array" aca="1" ref="H392" ca="1">_FV(A392,"52 week high",TRUE)</f>
        <v>1649.9</v>
      </c>
      <c r="I392" s="40">
        <f t="shared" ca="1" si="24"/>
        <v>18.479907873204439</v>
      </c>
      <c r="J392" s="39" t="str">
        <f t="shared" ca="1" si="25"/>
        <v>WATCH</v>
      </c>
      <c r="K392" s="54">
        <f t="shared" ca="1" si="26"/>
        <v>-10.426929392446635</v>
      </c>
      <c r="L392" s="20">
        <f t="array" aca="1" ref="L392" ca="1">_FV(A392,"Market cap",TRUE)/10000000</f>
        <v>13814.08</v>
      </c>
      <c r="M392" s="21" t="str">
        <f t="shared" ca="1" si="27"/>
        <v>MC</v>
      </c>
      <c r="N392" s="37" t="str">
        <f t="array" aca="1" ref="N392" ca="1">_FV(A392,"Industry")</f>
        <v>Healthcare Providers &amp; Services</v>
      </c>
    </row>
    <row r="393" spans="1:14">
      <c r="A393" s="107" t="e" vm="469">
        <v>#VALUE!</v>
      </c>
      <c r="B393" s="33">
        <f t="array" aca="1" ref="B393" ca="1">_FV(A393,"Change (%)",TRUE)</f>
        <v>-9.9660000000000009E-3</v>
      </c>
      <c r="C393" s="35">
        <f t="array" aca="1" ref="C393" ca="1">_FV(A393,"Previous close",TRUE)</f>
        <v>516.75</v>
      </c>
      <c r="D393" s="35">
        <f t="array" aca="1" ref="D393" ca="1">_FV(A393,"Price")</f>
        <v>511.6</v>
      </c>
      <c r="E393" s="35">
        <f t="array" aca="1" ref="E393" ca="1">_FV(A393,"Low")</f>
        <v>508.55</v>
      </c>
      <c r="F393" s="35">
        <f t="array" aca="1" ref="F393" ca="1">_FV(A393,"High")</f>
        <v>523</v>
      </c>
      <c r="G393" s="35">
        <f t="array" aca="1" ref="G393" ca="1">_FV(A393,"52 week low",TRUE)</f>
        <v>475.4</v>
      </c>
      <c r="H393" s="36">
        <f t="array" aca="1" ref="H393" ca="1">_FV(A393,"52 week high",TRUE)</f>
        <v>1020</v>
      </c>
      <c r="I393" s="40">
        <f t="shared" ca="1" si="24"/>
        <v>49.843137254901961</v>
      </c>
      <c r="J393" s="39" t="str">
        <f t="shared" ca="1" si="25"/>
        <v>FIRST HSC BUY</v>
      </c>
      <c r="K393" s="54">
        <f t="shared" ca="1" si="26"/>
        <v>-7.6146403029028287</v>
      </c>
      <c r="L393" s="20">
        <f t="array" aca="1" ref="L393" ca="1">_FV(A393,"Market cap",TRUE)/10000000</f>
        <v>9343.3089999999993</v>
      </c>
      <c r="M393" s="21" t="str">
        <f t="shared" ca="1" si="27"/>
        <v>HSC</v>
      </c>
      <c r="N393" s="37" t="str">
        <f t="array" aca="1" ref="N393" ca="1">_FV(A393,"Industry")</f>
        <v>Metals &amp; Mining</v>
      </c>
    </row>
    <row r="394" spans="1:14">
      <c r="A394" s="107" t="e" vm="470">
        <v>#VALUE!</v>
      </c>
      <c r="B394" s="33">
        <f t="array" aca="1" ref="B394" ca="1">_FV(A394,"Change (%)",TRUE)</f>
        <v>5.0290000000000005E-3</v>
      </c>
      <c r="C394" s="35">
        <f t="array" aca="1" ref="C394" ca="1">_FV(A394,"Previous close",TRUE)</f>
        <v>141.18</v>
      </c>
      <c r="D394" s="35">
        <f t="array" aca="1" ref="D394" ca="1">_FV(A394,"Price")</f>
        <v>141.88999999999999</v>
      </c>
      <c r="E394" s="35">
        <f t="array" aca="1" ref="E394" ca="1">_FV(A394,"Low")</f>
        <v>140.4</v>
      </c>
      <c r="F394" s="35">
        <f t="array" aca="1" ref="F394" ca="1">_FV(A394,"High")</f>
        <v>144.36000000000001</v>
      </c>
      <c r="G394" s="35">
        <f t="array" aca="1" ref="G394" ca="1">_FV(A394,"52 week low",TRUE)</f>
        <v>110.8</v>
      </c>
      <c r="H394" s="36">
        <f t="array" aca="1" ref="H394" ca="1">_FV(A394,"52 week high",TRUE)</f>
        <v>184.4</v>
      </c>
      <c r="I394" s="40">
        <f t="shared" ca="1" si="24"/>
        <v>23.053145336225604</v>
      </c>
      <c r="J394" s="39" t="str">
        <f t="shared" ca="1" si="25"/>
        <v>WATCH</v>
      </c>
      <c r="K394" s="54">
        <f t="shared" ca="1" si="26"/>
        <v>-28.059566787003604</v>
      </c>
      <c r="L394" s="20">
        <f t="array" aca="1" ref="L394" ca="1">_FV(A394,"Market cap",TRUE)/10000000</f>
        <v>7788.7330000000002</v>
      </c>
      <c r="M394" s="21" t="str">
        <f t="shared" ca="1" si="27"/>
        <v>HSC</v>
      </c>
      <c r="N394" s="37" t="str">
        <f t="array" aca="1" ref="N394" ca="1">_FV(A394,"Industry")</f>
        <v>Chemicals</v>
      </c>
    </row>
    <row r="395" spans="1:14">
      <c r="A395" s="107" t="e" vm="471">
        <v>#VALUE!</v>
      </c>
      <c r="B395" s="33">
        <f t="array" aca="1" ref="B395" ca="1">_FV(A395,"Change (%)",TRUE)</f>
        <v>-1.3472E-2</v>
      </c>
      <c r="C395" s="35">
        <f t="array" aca="1" ref="C395" ca="1">_FV(A395,"Previous close",TRUE)</f>
        <v>274.64999999999998</v>
      </c>
      <c r="D395" s="35">
        <f t="array" aca="1" ref="D395" ca="1">_FV(A395,"Price")</f>
        <v>270.95</v>
      </c>
      <c r="E395" s="35">
        <f t="array" aca="1" ref="E395" ca="1">_FV(A395,"Low")</f>
        <v>270.05</v>
      </c>
      <c r="F395" s="35">
        <f t="array" aca="1" ref="F395" ca="1">_FV(A395,"High")</f>
        <v>275.45</v>
      </c>
      <c r="G395" s="35">
        <f t="array" aca="1" ref="G395" ca="1">_FV(A395,"52 week low",TRUE)</f>
        <v>176.94</v>
      </c>
      <c r="H395" s="36">
        <f t="array" aca="1" ref="H395" ca="1">_FV(A395,"52 week high",TRUE)</f>
        <v>334.8</v>
      </c>
      <c r="I395" s="40">
        <f t="shared" ca="1" si="24"/>
        <v>19.071087216248511</v>
      </c>
      <c r="J395" s="39" t="str">
        <f t="shared" ca="1" si="25"/>
        <v>WATCH</v>
      </c>
      <c r="K395" s="54">
        <f t="shared" ca="1" si="26"/>
        <v>-53.131004860404659</v>
      </c>
      <c r="L395" s="20">
        <f t="array" aca="1" ref="L395" ca="1">_FV(A395,"Market cap",TRUE)/10000000</f>
        <v>21471.43</v>
      </c>
      <c r="M395" s="21" t="str">
        <f t="shared" ca="1" si="27"/>
        <v>MC</v>
      </c>
      <c r="N395" s="37" t="str">
        <f t="array" aca="1" ref="N395" ca="1">_FV(A395,"Industry")</f>
        <v>Computers, Phones &amp; Household Electronics</v>
      </c>
    </row>
    <row r="396" spans="1:14">
      <c r="A396" s="107" t="e" vm="98">
        <v>#VALUE!</v>
      </c>
      <c r="B396" s="33">
        <f t="array" aca="1" ref="B396" ca="1">_FV(A396,"Change (%)",TRUE)</f>
        <v>6.4179999999999999E-4</v>
      </c>
      <c r="C396" s="35">
        <f t="array" aca="1" ref="C396" ca="1">_FV(A396,"Previous close",TRUE)</f>
        <v>1558.2</v>
      </c>
      <c r="D396" s="35">
        <f t="array" aca="1" ref="D396" ca="1">_FV(A396,"Price")</f>
        <v>1559.2</v>
      </c>
      <c r="E396" s="35">
        <f t="array" aca="1" ref="E396" ca="1">_FV(A396,"Low")</f>
        <v>1554.3</v>
      </c>
      <c r="F396" s="35">
        <f t="array" aca="1" ref="F396" ca="1">_FV(A396,"High")</f>
        <v>1561</v>
      </c>
      <c r="G396" s="35">
        <f t="array" aca="1" ref="G396" ca="1">_FV(A396,"52 week low",TRUE)</f>
        <v>1114.8499999999999</v>
      </c>
      <c r="H396" s="36">
        <f t="array" aca="1" ref="H396" ca="1">_FV(A396,"52 week high",TRUE)</f>
        <v>1581.3</v>
      </c>
      <c r="I396" s="40">
        <f t="shared" ca="1" si="24"/>
        <v>1.3975842661101567</v>
      </c>
      <c r="J396" s="39" t="str">
        <f t="shared" ca="1" si="25"/>
        <v>WATCH</v>
      </c>
      <c r="K396" s="54">
        <f t="shared" ca="1" si="26"/>
        <v>-39.857379916580719</v>
      </c>
      <c r="L396" s="20">
        <f t="array" aca="1" ref="L396" ca="1">_FV(A396,"Market cap",TRUE)/10000000</f>
        <v>2109983</v>
      </c>
      <c r="M396" s="21" t="str">
        <f t="shared" ca="1" si="27"/>
        <v>HLC</v>
      </c>
      <c r="N396" s="37" t="str">
        <f t="array" aca="1" ref="N396" ca="1">_FV(A396,"Industry")</f>
        <v>Oil &amp; Gas</v>
      </c>
    </row>
    <row r="397" spans="1:14">
      <c r="A397" s="107" t="e" vm="472">
        <v>#VALUE!</v>
      </c>
      <c r="B397" s="33">
        <f t="array" aca="1" ref="B397" ca="1">_FV(A397,"Change (%)",TRUE)</f>
        <v>4.9951999999999996E-2</v>
      </c>
      <c r="C397" s="35">
        <f t="array" aca="1" ref="C397" ca="1">_FV(A397,"Previous close",TRUE)</f>
        <v>164.96</v>
      </c>
      <c r="D397" s="35">
        <f t="array" aca="1" ref="D397" ca="1">_FV(A397,"Price")</f>
        <v>173.2</v>
      </c>
      <c r="E397" s="35">
        <f t="array" aca="1" ref="E397" ca="1">_FV(A397,"Low")</f>
        <v>168</v>
      </c>
      <c r="F397" s="35">
        <f t="array" aca="1" ref="F397" ca="1">_FV(A397,"High")</f>
        <v>173.2</v>
      </c>
      <c r="G397" s="35">
        <f t="array" aca="1" ref="G397" ca="1">_FV(A397,"52 week low",TRUE)</f>
        <v>128.38</v>
      </c>
      <c r="H397" s="36">
        <f t="array" aca="1" ref="H397" ca="1">_FV(A397,"52 week high",TRUE)</f>
        <v>423.4</v>
      </c>
      <c r="I397" s="40">
        <f t="shared" ca="1" si="24"/>
        <v>59.093056211620222</v>
      </c>
      <c r="J397" s="39" t="str">
        <f t="shared" ca="1" si="25"/>
        <v>HSC BUY</v>
      </c>
      <c r="K397" s="54">
        <f t="shared" ca="1" si="26"/>
        <v>-34.911980059199244</v>
      </c>
      <c r="L397" s="20">
        <f t="array" aca="1" ref="L397" ca="1">_FV(A397,"Market cap",TRUE)/10000000</f>
        <v>7069.6980000000003</v>
      </c>
      <c r="M397" s="21" t="str">
        <f t="shared" ca="1" si="27"/>
        <v>HSC</v>
      </c>
      <c r="N397" s="37" t="str">
        <f t="array" aca="1" ref="N397" ca="1">_FV(A397,"Industry")</f>
        <v>Electrical Utilities &amp; IPPs</v>
      </c>
    </row>
    <row r="398" spans="1:14">
      <c r="A398" s="107" t="e" vm="473">
        <v>#VALUE!</v>
      </c>
      <c r="B398" s="33">
        <f t="array" aca="1" ref="B398" ca="1">_FV(A398,"Change (%)",TRUE)</f>
        <v>-4.2453000000000005E-2</v>
      </c>
      <c r="C398" s="35">
        <f t="array" aca="1" ref="C398" ca="1">_FV(A398,"Previous close",TRUE)</f>
        <v>38.159999999999997</v>
      </c>
      <c r="D398" s="35">
        <f t="array" aca="1" ref="D398" ca="1">_FV(A398,"Price")</f>
        <v>36.54</v>
      </c>
      <c r="E398" s="35">
        <f t="array" aca="1" ref="E398" ca="1">_FV(A398,"Low")</f>
        <v>36.26</v>
      </c>
      <c r="F398" s="35">
        <f t="array" aca="1" ref="F398" ca="1">_FV(A398,"High")</f>
        <v>38.549999999999997</v>
      </c>
      <c r="G398" s="35">
        <f t="array" aca="1" ref="G398" ca="1">_FV(A398,"52 week low",TRUE)</f>
        <v>31.27</v>
      </c>
      <c r="H398" s="36">
        <f t="array" aca="1" ref="H398" ca="1">_FV(A398,"52 week high",TRUE)</f>
        <v>76.489999999999995</v>
      </c>
      <c r="I398" s="40">
        <f t="shared" ca="1" si="24"/>
        <v>52.229049548960646</v>
      </c>
      <c r="J398" s="39" t="str">
        <f t="shared" ca="1" si="25"/>
        <v>SURE MC BUY</v>
      </c>
      <c r="K398" s="54">
        <f t="shared" ca="1" si="26"/>
        <v>-16.85321394307643</v>
      </c>
      <c r="L398" s="20">
        <f t="array" aca="1" ref="L398" ca="1">_FV(A398,"Market cap",TRUE)/10000000</f>
        <v>15112.11</v>
      </c>
      <c r="M398" s="21" t="str">
        <f t="shared" ca="1" si="27"/>
        <v>MC</v>
      </c>
      <c r="N398" s="37" t="str">
        <f t="array" aca="1" ref="N398" ca="1">_FV(A398,"Industry")</f>
        <v>Electrical Utilities &amp; IPPs</v>
      </c>
    </row>
    <row r="399" spans="1:14">
      <c r="A399" s="107" t="e" vm="474">
        <v>#VALUE!</v>
      </c>
      <c r="B399" s="33">
        <f t="array" aca="1" ref="B399" ca="1">_FV(A399,"Change (%)",TRUE)</f>
        <v>-1.4245000000000001E-2</v>
      </c>
      <c r="C399" s="35">
        <f t="array" aca="1" ref="C399" ca="1">_FV(A399,"Previous close",TRUE)</f>
        <v>106</v>
      </c>
      <c r="D399" s="35">
        <f t="array" aca="1" ref="D399" ca="1">_FV(A399,"Price")</f>
        <v>104.49</v>
      </c>
      <c r="E399" s="35">
        <f t="array" aca="1" ref="E399" ca="1">_FV(A399,"Low")</f>
        <v>104.3</v>
      </c>
      <c r="F399" s="35">
        <f t="array" aca="1" ref="F399" ca="1">_FV(A399,"High")</f>
        <v>106.1</v>
      </c>
      <c r="G399" s="35">
        <f t="array" aca="1" ref="G399" ca="1">_FV(A399,"52 week low",TRUE)</f>
        <v>79.239999999999995</v>
      </c>
      <c r="H399" s="36">
        <f t="array" aca="1" ref="H399" ca="1">_FV(A399,"52 week high",TRUE)</f>
        <v>123</v>
      </c>
      <c r="I399" s="40">
        <f t="shared" ca="1" si="24"/>
        <v>15.048780487804882</v>
      </c>
      <c r="J399" s="39" t="str">
        <f t="shared" ca="1" si="25"/>
        <v>WATCH</v>
      </c>
      <c r="K399" s="54">
        <f t="shared" ca="1" si="26"/>
        <v>-31.865219586067646</v>
      </c>
      <c r="L399" s="20">
        <f t="array" aca="1" ref="L399" ca="1">_FV(A399,"Market cap",TRUE)/10000000</f>
        <v>11615.09</v>
      </c>
      <c r="M399" s="21" t="str">
        <f t="shared" ca="1" si="27"/>
        <v>MC</v>
      </c>
      <c r="N399" s="37" t="str">
        <f t="array" aca="1" ref="N399" ca="1">_FV(A399,"Industry")</f>
        <v>Banking Services</v>
      </c>
    </row>
    <row r="400" spans="1:14">
      <c r="A400" s="107" t="e" vm="101">
        <v>#VALUE!</v>
      </c>
      <c r="B400" s="33">
        <f t="array" aca="1" ref="B400" ca="1">_FV(A400,"Change (%)",TRUE)</f>
        <v>-3.4580000000000001E-3</v>
      </c>
      <c r="C400" s="35">
        <f t="array" aca="1" ref="C400" ca="1">_FV(A400,"Previous close",TRUE)</f>
        <v>867.6</v>
      </c>
      <c r="D400" s="35">
        <f t="array" aca="1" ref="D400" ca="1">_FV(A400,"Price")</f>
        <v>864.6</v>
      </c>
      <c r="E400" s="35">
        <f t="array" aca="1" ref="E400" ca="1">_FV(A400,"Low")</f>
        <v>862.8</v>
      </c>
      <c r="F400" s="35">
        <f t="array" aca="1" ref="F400" ca="1">_FV(A400,"High")</f>
        <v>875</v>
      </c>
      <c r="G400" s="35">
        <f t="array" aca="1" ref="G400" ca="1">_FV(A400,"52 week low",TRUE)</f>
        <v>663.05</v>
      </c>
      <c r="H400" s="36">
        <f t="array" aca="1" ref="H400" ca="1">_FV(A400,"52 week high",TRUE)</f>
        <v>1027.25</v>
      </c>
      <c r="I400" s="40">
        <f t="shared" ca="1" si="24"/>
        <v>15.83353614018009</v>
      </c>
      <c r="J400" s="39" t="str">
        <f t="shared" ca="1" si="25"/>
        <v>FIRST HMC BUY</v>
      </c>
      <c r="K400" s="54">
        <f t="shared" ca="1" si="26"/>
        <v>-30.397405927154828</v>
      </c>
      <c r="L400" s="20">
        <f t="array" aca="1" ref="L400" ca="1">_FV(A400,"Market cap",TRUE)/10000000</f>
        <v>82273.38</v>
      </c>
      <c r="M400" s="21" t="str">
        <f t="shared" ca="1" si="27"/>
        <v>HMC</v>
      </c>
      <c r="N400" s="37" t="str">
        <f t="array" aca="1" ref="N400" ca="1">_FV(A400,"Industry")</f>
        <v>Banking Services</v>
      </c>
    </row>
    <row r="401" spans="1:14">
      <c r="A401" s="107" t="e" vm="103">
        <v>#VALUE!</v>
      </c>
      <c r="B401" s="33">
        <f t="array" aca="1" ref="B401" ca="1">_FV(A401,"Change (%)",TRUE)</f>
        <v>-3.1099999999999999E-3</v>
      </c>
      <c r="C401" s="35">
        <f t="array" aca="1" ref="C401" ca="1">_FV(A401,"Previous close",TRUE)</f>
        <v>2025.4</v>
      </c>
      <c r="D401" s="35">
        <f t="array" aca="1" ref="D401" ca="1">_FV(A401,"Price")</f>
        <v>2019.1</v>
      </c>
      <c r="E401" s="35">
        <f t="array" aca="1" ref="E401" ca="1">_FV(A401,"Low")</f>
        <v>2004.1</v>
      </c>
      <c r="F401" s="35">
        <f t="array" aca="1" ref="F401" ca="1">_FV(A401,"High")</f>
        <v>2034.9</v>
      </c>
      <c r="G401" s="35">
        <f t="array" aca="1" ref="G401" ca="1">_FV(A401,"52 week low",TRUE)</f>
        <v>1372.55</v>
      </c>
      <c r="H401" s="36">
        <f t="array" aca="1" ref="H401" ca="1">_FV(A401,"52 week high",TRUE)</f>
        <v>2086.6</v>
      </c>
      <c r="I401" s="40">
        <f t="shared" ca="1" si="24"/>
        <v>3.234927633470718</v>
      </c>
      <c r="J401" s="39" t="str">
        <f t="shared" ca="1" si="25"/>
        <v>WATCH</v>
      </c>
      <c r="K401" s="54">
        <f t="shared" ca="1" si="26"/>
        <v>-47.105752067319948</v>
      </c>
      <c r="L401" s="20">
        <f t="array" aca="1" ref="L401" ca="1">_FV(A401,"Market cap",TRUE)/10000000</f>
        <v>203113.2</v>
      </c>
      <c r="M401" s="21" t="str">
        <f t="shared" ca="1" si="27"/>
        <v>LC</v>
      </c>
      <c r="N401" s="37" t="str">
        <f t="array" aca="1" ref="N401" ca="1">_FV(A401,"Industry")</f>
        <v>Insurance</v>
      </c>
    </row>
    <row r="402" spans="1:14">
      <c r="A402" s="107" t="e" vm="475">
        <v>#VALUE!</v>
      </c>
      <c r="B402" s="33">
        <f t="array" aca="1" ref="B402" ca="1">_FV(A402,"Change (%)",TRUE)</f>
        <v>-1.1730000000000001E-2</v>
      </c>
      <c r="C402" s="35">
        <f t="array" aca="1" ref="C402" ca="1">_FV(A402,"Previous close",TRUE)</f>
        <v>75.02</v>
      </c>
      <c r="D402" s="35">
        <f t="array" aca="1" ref="D402" ca="1">_FV(A402,"Price")</f>
        <v>74.14</v>
      </c>
      <c r="E402" s="35">
        <f t="array" aca="1" ref="E402" ca="1">_FV(A402,"Low")</f>
        <v>74</v>
      </c>
      <c r="F402" s="35">
        <f t="array" aca="1" ref="F402" ca="1">_FV(A402,"High")</f>
        <v>76.2</v>
      </c>
      <c r="G402" s="35">
        <f t="array" aca="1" ref="G402" ca="1">_FV(A402,"52 week low",TRUE)</f>
        <v>69.849999999999994</v>
      </c>
      <c r="H402" s="36">
        <f t="array" aca="1" ref="H402" ca="1">_FV(A402,"52 week high",TRUE)</f>
        <v>112.72</v>
      </c>
      <c r="I402" s="40">
        <f t="shared" ca="1" si="24"/>
        <v>34.226401703335696</v>
      </c>
      <c r="J402" s="39" t="str">
        <f t="shared" ca="1" si="25"/>
        <v>MC BUY</v>
      </c>
      <c r="K402" s="54">
        <f t="shared" ca="1" si="26"/>
        <v>-6.1417322834645764</v>
      </c>
      <c r="L402" s="20">
        <f t="array" aca="1" ref="L402" ca="1">_FV(A402,"Market cap",TRUE)/10000000</f>
        <v>29481.32</v>
      </c>
      <c r="M402" s="21" t="str">
        <f t="shared" ca="1" si="27"/>
        <v>MC</v>
      </c>
      <c r="N402" s="37" t="str">
        <f t="array" aca="1" ref="N402" ca="1">_FV(A402,"Industry")</f>
        <v>Electrical Utilities &amp; IPPs</v>
      </c>
    </row>
    <row r="403" spans="1:14">
      <c r="A403" s="107" t="e" vm="476">
        <v>#VALUE!</v>
      </c>
      <c r="B403" s="33">
        <f t="array" aca="1" ref="B403" ca="1">_FV(A403,"Change (%)",TRUE)</f>
        <v>-6.424E-3</v>
      </c>
      <c r="C403" s="35">
        <f t="array" aca="1" ref="C403" ca="1">_FV(A403,"Previous close",TRUE)</f>
        <v>1790.1</v>
      </c>
      <c r="D403" s="35">
        <f t="array" aca="1" ref="D403" ca="1">_FV(A403,"Price")</f>
        <v>1778.6</v>
      </c>
      <c r="E403" s="35">
        <f t="array" aca="1" ref="E403" ca="1">_FV(A403,"Low")</f>
        <v>1771</v>
      </c>
      <c r="F403" s="35">
        <f t="array" aca="1" ref="F403" ca="1">_FV(A403,"High")</f>
        <v>1807</v>
      </c>
      <c r="G403" s="35">
        <f t="array" aca="1" ref="G403" ca="1">_FV(A403,"52 week low",TRUE)</f>
        <v>1626.13</v>
      </c>
      <c r="H403" s="36">
        <f t="array" aca="1" ref="H403" ca="1">_FV(A403,"52 week high",TRUE)</f>
        <v>2330.12</v>
      </c>
      <c r="I403" s="40">
        <f t="shared" ca="1" si="24"/>
        <v>23.669167253188679</v>
      </c>
      <c r="J403" s="39" t="str">
        <f t="shared" ca="1" si="25"/>
        <v>WATCH</v>
      </c>
      <c r="K403" s="54">
        <f t="shared" ca="1" si="26"/>
        <v>-9.3762491313732479</v>
      </c>
      <c r="L403" s="20">
        <f t="array" aca="1" ref="L403" ca="1">_FV(A403,"Market cap",TRUE)/10000000</f>
        <v>8849.89</v>
      </c>
      <c r="M403" s="21" t="str">
        <f t="shared" ca="1" si="27"/>
        <v>HSC</v>
      </c>
      <c r="N403" s="37" t="str">
        <f t="array" aca="1" ref="N403" ca="1">_FV(A403,"Industry")</f>
        <v>Machinery, Equipment &amp; Components</v>
      </c>
    </row>
    <row r="404" spans="1:14">
      <c r="A404" s="107" t="e" vm="112">
        <v>#VALUE!</v>
      </c>
      <c r="B404" s="33">
        <f t="array" aca="1" ref="B404" ca="1">_FV(A404,"Change (%)",TRUE)</f>
        <v>1.0970000000000001E-3</v>
      </c>
      <c r="C404" s="35">
        <f t="array" aca="1" ref="C404" ca="1">_FV(A404,"Previous close",TRUE)</f>
        <v>3098.2</v>
      </c>
      <c r="D404" s="35">
        <f t="array" aca="1" ref="D404" ca="1">_FV(A404,"Price")</f>
        <v>3101.6</v>
      </c>
      <c r="E404" s="35">
        <f t="array" aca="1" ref="E404" ca="1">_FV(A404,"Low")</f>
        <v>3093.9</v>
      </c>
      <c r="F404" s="35">
        <f t="array" aca="1" ref="F404" ca="1">_FV(A404,"High")</f>
        <v>3143</v>
      </c>
      <c r="G404" s="35">
        <f t="array" aca="1" ref="G404" ca="1">_FV(A404,"52 week low",TRUE)</f>
        <v>2196.85</v>
      </c>
      <c r="H404" s="36">
        <f t="array" aca="1" ref="H404" ca="1">_FV(A404,"52 week high",TRUE)</f>
        <v>3325</v>
      </c>
      <c r="I404" s="40">
        <f t="shared" ca="1" si="24"/>
        <v>6.718796992481205</v>
      </c>
      <c r="J404" s="39" t="str">
        <f t="shared" ca="1" si="25"/>
        <v>WATCH</v>
      </c>
      <c r="K404" s="54">
        <f t="shared" ca="1" si="26"/>
        <v>-41.18396795411612</v>
      </c>
      <c r="L404" s="20">
        <f t="array" aca="1" ref="L404" ca="1">_FV(A404,"Market cap",TRUE)/10000000</f>
        <v>91838.34</v>
      </c>
      <c r="M404" s="21" t="str">
        <f t="shared" ca="1" si="27"/>
        <v>HMC</v>
      </c>
      <c r="N404" s="37" t="str">
        <f t="array" aca="1" ref="N404" ca="1">_FV(A404,"Industry")</f>
        <v>Chemicals</v>
      </c>
    </row>
    <row r="405" spans="1:14">
      <c r="A405" s="107" t="e" vm="477">
        <v>#VALUE!</v>
      </c>
      <c r="B405" s="33">
        <f t="array" aca="1" ref="B405" ca="1">_FV(A405,"Change (%)",TRUE)</f>
        <v>7.8510000000000003E-3</v>
      </c>
      <c r="C405" s="35">
        <f t="array" aca="1" ref="C405" ca="1">_FV(A405,"Previous close",TRUE)</f>
        <v>52.22</v>
      </c>
      <c r="D405" s="35">
        <f t="array" aca="1" ref="D405" ca="1">_FV(A405,"Price")</f>
        <v>52.63</v>
      </c>
      <c r="E405" s="35">
        <f t="array" aca="1" ref="E405" ca="1">_FV(A405,"Low")</f>
        <v>52.11</v>
      </c>
      <c r="F405" s="35">
        <f t="array" aca="1" ref="F405" ca="1">_FV(A405,"High")</f>
        <v>53.48</v>
      </c>
      <c r="G405" s="35">
        <f t="array" aca="1" ref="G405" ca="1">_FV(A405,"52 week low",TRUE)</f>
        <v>37.6</v>
      </c>
      <c r="H405" s="36">
        <f t="array" aca="1" ref="H405" ca="1">_FV(A405,"52 week high",TRUE)</f>
        <v>57.89</v>
      </c>
      <c r="I405" s="40">
        <f t="shared" ca="1" si="24"/>
        <v>9.0861979616514041</v>
      </c>
      <c r="J405" s="39" t="str">
        <f t="shared" ca="1" si="25"/>
        <v>WATCH</v>
      </c>
      <c r="K405" s="54">
        <f t="shared" ca="1" si="26"/>
        <v>-39.973404255319146</v>
      </c>
      <c r="L405" s="20">
        <f t="array" aca="1" ref="L405" ca="1">_FV(A405,"Market cap",TRUE)/10000000</f>
        <v>24445.9</v>
      </c>
      <c r="M405" s="21" t="str">
        <f t="shared" ca="1" si="27"/>
        <v>MC</v>
      </c>
      <c r="N405" s="37" t="str">
        <f t="array" aca="1" ref="N405" ca="1">_FV(A405,"Industry")</f>
        <v>Professional &amp; Commercial Services</v>
      </c>
    </row>
    <row r="406" spans="1:14">
      <c r="A406" s="107" t="e" vm="478">
        <v>#VALUE!</v>
      </c>
      <c r="B406" s="33">
        <f t="array" aca="1" ref="B406" ca="1">_FV(A406,"Change (%)",TRUE)</f>
        <v>-4.6080000000000001E-3</v>
      </c>
      <c r="C406" s="35">
        <f t="array" aca="1" ref="C406" ca="1">_FV(A406,"Previous close",TRUE)</f>
        <v>900.7</v>
      </c>
      <c r="D406" s="35">
        <f t="array" aca="1" ref="D406" ca="1">_FV(A406,"Price")</f>
        <v>896.55</v>
      </c>
      <c r="E406" s="35">
        <f t="array" aca="1" ref="E406" ca="1">_FV(A406,"Low")</f>
        <v>894.65</v>
      </c>
      <c r="F406" s="35">
        <f t="array" aca="1" ref="F406" ca="1">_FV(A406,"High")</f>
        <v>904</v>
      </c>
      <c r="G406" s="35">
        <f t="array" aca="1" ref="G406" ca="1">_FV(A406,"52 week low",TRUE)</f>
        <v>636.1</v>
      </c>
      <c r="H406" s="36">
        <f t="array" aca="1" ref="H406" ca="1">_FV(A406,"52 week high",TRUE)</f>
        <v>943</v>
      </c>
      <c r="I406" s="40">
        <f t="shared" ca="1" si="24"/>
        <v>4.9257688229056251</v>
      </c>
      <c r="J406" s="39" t="str">
        <f t="shared" ca="1" si="25"/>
        <v>WATCH</v>
      </c>
      <c r="K406" s="54">
        <f t="shared" ca="1" si="26"/>
        <v>-40.944819996855827</v>
      </c>
      <c r="L406" s="20">
        <f t="array" aca="1" ref="L406" ca="1">_FV(A406,"Market cap",TRUE)/10000000</f>
        <v>18858.22</v>
      </c>
      <c r="M406" s="21" t="str">
        <f t="shared" ca="1" si="27"/>
        <v>MC</v>
      </c>
      <c r="N406" s="37" t="str">
        <f t="array" aca="1" ref="N406" ca="1">_FV(A406,"Industry")</f>
        <v>Pharmaceuticals</v>
      </c>
    </row>
    <row r="407" spans="1:14">
      <c r="A407" s="107" t="e" vm="479">
        <v>#VALUE!</v>
      </c>
      <c r="B407" s="33">
        <f t="array" aca="1" ref="B407" ca="1">_FV(A407,"Change (%)",TRUE)</f>
        <v>-1.0959000000000002E-2</v>
      </c>
      <c r="C407" s="35">
        <f t="array" aca="1" ref="C407" ca="1">_FV(A407,"Previous close",TRUE)</f>
        <v>141.43</v>
      </c>
      <c r="D407" s="35">
        <f t="array" aca="1" ref="D407" ca="1">_FV(A407,"Price")</f>
        <v>139.88</v>
      </c>
      <c r="E407" s="35">
        <f t="array" aca="1" ref="E407" ca="1">_FV(A407,"Low")</f>
        <v>139.5</v>
      </c>
      <c r="F407" s="35">
        <f t="array" aca="1" ref="F407" ca="1">_FV(A407,"High")</f>
        <v>142.09</v>
      </c>
      <c r="G407" s="35">
        <f t="array" aca="1" ref="G407" ca="1">_FV(A407,"52 week low",TRUE)</f>
        <v>97.61</v>
      </c>
      <c r="H407" s="36">
        <f t="array" aca="1" ref="H407" ca="1">_FV(A407,"52 week high",TRUE)</f>
        <v>192.95</v>
      </c>
      <c r="I407" s="40">
        <f t="shared" ca="1" si="24"/>
        <v>27.504534853589011</v>
      </c>
      <c r="J407" s="39" t="str">
        <f t="shared" ca="1" si="25"/>
        <v>FIRST MC BUY</v>
      </c>
      <c r="K407" s="54">
        <f t="shared" ca="1" si="26"/>
        <v>-43.304989242905442</v>
      </c>
      <c r="L407" s="20">
        <f t="array" aca="1" ref="L407" ca="1">_FV(A407,"Market cap",TRUE)/10000000</f>
        <v>11491.19</v>
      </c>
      <c r="M407" s="21" t="str">
        <f t="shared" ca="1" si="27"/>
        <v>MC</v>
      </c>
      <c r="N407" s="37" t="str">
        <f t="array" aca="1" ref="N407" ca="1">_FV(A407,"Industry")</f>
        <v>Banking Services</v>
      </c>
    </row>
    <row r="408" spans="1:14">
      <c r="A408" s="107" t="e" vm="82">
        <v>#VALUE!</v>
      </c>
      <c r="B408" s="33">
        <f t="array" aca="1" ref="B408" ca="1">_FV(A408,"Change (%)",TRUE)</f>
        <v>-2.0080000000000002E-3</v>
      </c>
      <c r="C408" s="35">
        <f t="array" aca="1" ref="C408" ca="1">_FV(A408,"Previous close",TRUE)</f>
        <v>119.53</v>
      </c>
      <c r="D408" s="35">
        <f t="array" aca="1" ref="D408" ca="1">_FV(A408,"Price")</f>
        <v>119.29</v>
      </c>
      <c r="E408" s="35">
        <f t="array" aca="1" ref="E408" ca="1">_FV(A408,"Low")</f>
        <v>118.4</v>
      </c>
      <c r="F408" s="35">
        <f t="array" aca="1" ref="F408" ca="1">_FV(A408,"High")</f>
        <v>121.14</v>
      </c>
      <c r="G408" s="35">
        <f t="array" aca="1" ref="G408" ca="1">_FV(A408,"52 week low",TRUE)</f>
        <v>71.5</v>
      </c>
      <c r="H408" s="36">
        <f t="array" aca="1" ref="H408" ca="1">_FV(A408,"52 week high",TRUE)</f>
        <v>122.8</v>
      </c>
      <c r="I408" s="40">
        <f t="shared" ca="1" si="24"/>
        <v>2.858306188925074</v>
      </c>
      <c r="J408" s="39" t="str">
        <f t="shared" ca="1" si="25"/>
        <v>WATCH</v>
      </c>
      <c r="K408" s="54">
        <f t="shared" ca="1" si="26"/>
        <v>-66.839160839160854</v>
      </c>
      <c r="L408" s="20">
        <f t="array" aca="1" ref="L408" ca="1">_FV(A408,"Market cap",TRUE)/10000000</f>
        <v>126157.3</v>
      </c>
      <c r="M408" s="21" t="str">
        <f t="shared" ca="1" si="27"/>
        <v>LC</v>
      </c>
      <c r="N408" s="37" t="str">
        <f t="array" aca="1" ref="N408" ca="1">_FV(A408,"Industry")</f>
        <v>Automobiles &amp; Auto Parts</v>
      </c>
    </row>
    <row r="409" spans="1:14">
      <c r="A409" s="107" t="e" vm="480">
        <v>#VALUE!</v>
      </c>
      <c r="B409" s="33">
        <f t="array" aca="1" ref="B409" ca="1">_FV(A409,"Change (%)",TRUE)</f>
        <v>-2.415E-3</v>
      </c>
      <c r="C409" s="35">
        <f t="array" aca="1" ref="C409" ca="1">_FV(A409,"Previous close",TRUE)</f>
        <v>252.57</v>
      </c>
      <c r="D409" s="35">
        <f t="array" aca="1" ref="D409" ca="1">_FV(A409,"Price")</f>
        <v>251.96</v>
      </c>
      <c r="E409" s="35">
        <f t="array" aca="1" ref="E409" ca="1">_FV(A409,"Low")</f>
        <v>248.15</v>
      </c>
      <c r="F409" s="35">
        <f t="array" aca="1" ref="F409" ca="1">_FV(A409,"High")</f>
        <v>254.14</v>
      </c>
      <c r="G409" s="35">
        <f t="array" aca="1" ref="G409" ca="1">_FV(A409,"52 week low",TRUE)</f>
        <v>221.4</v>
      </c>
      <c r="H409" s="36">
        <f t="array" aca="1" ref="H409" ca="1">_FV(A409,"52 week high",TRUE)</f>
        <v>374.65</v>
      </c>
      <c r="I409" s="40">
        <f t="shared" ca="1" si="24"/>
        <v>32.747898038168948</v>
      </c>
      <c r="J409" s="39" t="str">
        <f t="shared" ca="1" si="25"/>
        <v>WATCH</v>
      </c>
      <c r="K409" s="54">
        <f t="shared" ca="1" si="26"/>
        <v>-13.803071364046973</v>
      </c>
      <c r="L409" s="20">
        <f t="array" aca="1" ref="L409" ca="1">_FV(A409,"Market cap",TRUE)/10000000</f>
        <v>8117.1679999999997</v>
      </c>
      <c r="M409" s="21" t="str">
        <f t="shared" ca="1" si="27"/>
        <v>HSC</v>
      </c>
      <c r="N409" s="37" t="str">
        <f t="array" aca="1" ref="N409" ca="1">_FV(A409,"Industry")</f>
        <v>Hotels &amp; Entertainment Services</v>
      </c>
    </row>
    <row r="410" spans="1:14">
      <c r="A410" s="107" t="e" vm="481">
        <v>#VALUE!</v>
      </c>
      <c r="B410" s="33">
        <f t="array" aca="1" ref="B410" ca="1">_FV(A410,"Change (%)",TRUE)</f>
        <v>-2.4428999999999999E-2</v>
      </c>
      <c r="C410" s="35">
        <f t="array" aca="1" ref="C410" ca="1">_FV(A410,"Previous close",TRUE)</f>
        <v>536.25</v>
      </c>
      <c r="D410" s="35">
        <f t="array" aca="1" ref="D410" ca="1">_FV(A410,"Price")</f>
        <v>523.15</v>
      </c>
      <c r="E410" s="35">
        <f t="array" aca="1" ref="E410" ca="1">_FV(A410,"Low")</f>
        <v>521.25</v>
      </c>
      <c r="F410" s="35">
        <f t="array" aca="1" ref="F410" ca="1">_FV(A410,"High")</f>
        <v>538</v>
      </c>
      <c r="G410" s="35">
        <f t="array" aca="1" ref="G410" ca="1">_FV(A410,"52 week low",TRUE)</f>
        <v>396.6</v>
      </c>
      <c r="H410" s="36">
        <f t="array" aca="1" ref="H410" ca="1">_FV(A410,"52 week high",TRUE)</f>
        <v>639.75</v>
      </c>
      <c r="I410" s="40">
        <f t="shared" ca="1" si="24"/>
        <v>18.225869480265732</v>
      </c>
      <c r="J410" s="39" t="str">
        <f t="shared" ca="1" si="25"/>
        <v>WATCH</v>
      </c>
      <c r="K410" s="54">
        <f t="shared" ca="1" si="26"/>
        <v>-31.908724155320211</v>
      </c>
      <c r="L410" s="20">
        <f t="array" aca="1" ref="L410" ca="1">_FV(A410,"Market cap",TRUE)/10000000</f>
        <v>18896.45</v>
      </c>
      <c r="M410" s="21" t="str">
        <f t="shared" ca="1" si="27"/>
        <v>MC</v>
      </c>
      <c r="N410" s="37" t="str">
        <f t="array" aca="1" ref="N410" ca="1">_FV(A410,"Industry")</f>
        <v>Metals &amp; Mining</v>
      </c>
    </row>
    <row r="411" spans="1:14">
      <c r="A411" s="107" t="e" vm="482">
        <v>#VALUE!</v>
      </c>
      <c r="B411" s="33">
        <f t="array" aca="1" ref="B411" ca="1">_FV(A411,"Change (%)",TRUE)</f>
        <v>-4.2819999999999995E-4</v>
      </c>
      <c r="C411" s="35">
        <f t="array" aca="1" ref="C411" ca="1">_FV(A411,"Previous close",TRUE)</f>
        <v>350.3</v>
      </c>
      <c r="D411" s="35">
        <f t="array" aca="1" ref="D411" ca="1">_FV(A411,"Price")</f>
        <v>350.15</v>
      </c>
      <c r="E411" s="35">
        <f t="array" aca="1" ref="E411" ca="1">_FV(A411,"Low")</f>
        <v>346.5</v>
      </c>
      <c r="F411" s="35">
        <f t="array" aca="1" ref="F411" ca="1">_FV(A411,"High")</f>
        <v>352.05</v>
      </c>
      <c r="G411" s="35">
        <f t="array" aca="1" ref="G411" ca="1">_FV(A411,"52 week low",TRUE)</f>
        <v>340.3</v>
      </c>
      <c r="H411" s="36">
        <f t="array" aca="1" ref="H411" ca="1">_FV(A411,"52 week high",TRUE)</f>
        <v>603.79999999999995</v>
      </c>
      <c r="I411" s="40">
        <f t="shared" ca="1" si="24"/>
        <v>42.008943358728054</v>
      </c>
      <c r="J411" s="39" t="str">
        <f t="shared" ca="1" si="25"/>
        <v>FIRST HSC BUY</v>
      </c>
      <c r="K411" s="54">
        <f t="shared" ca="1" si="26"/>
        <v>-2.8945048486629346</v>
      </c>
      <c r="L411" s="20">
        <f t="array" aca="1" ref="L411" ca="1">_FV(A411,"Market cap",TRUE)/10000000</f>
        <v>6731.4629999999997</v>
      </c>
      <c r="M411" s="21" t="str">
        <f t="shared" ca="1" si="27"/>
        <v>HSC</v>
      </c>
      <c r="N411" s="37" t="str">
        <f t="array" aca="1" ref="N411" ca="1">_FV(A411,"Industry")</f>
        <v>Media &amp; Publishing</v>
      </c>
    </row>
    <row r="412" spans="1:14">
      <c r="A412" s="107" t="e" vm="483">
        <v>#VALUE!</v>
      </c>
      <c r="B412" s="33">
        <f t="array" aca="1" ref="B412" ca="1">_FV(A412,"Change (%)",TRUE)</f>
        <v>6.9360000000000003E-3</v>
      </c>
      <c r="C412" s="35">
        <f t="array" aca="1" ref="C412" ca="1">_FV(A412,"Previous close",TRUE)</f>
        <v>3777.6</v>
      </c>
      <c r="D412" s="35">
        <f t="array" aca="1" ref="D412" ca="1">_FV(A412,"Price")</f>
        <v>3803.8</v>
      </c>
      <c r="E412" s="35">
        <f t="array" aca="1" ref="E412" ca="1">_FV(A412,"Low")</f>
        <v>3757.5</v>
      </c>
      <c r="F412" s="35">
        <f t="array" aca="1" ref="F412" ca="1">_FV(A412,"High")</f>
        <v>3816.8</v>
      </c>
      <c r="G412" s="35">
        <f t="array" aca="1" ref="G412" ca="1">_FV(A412,"52 week low",TRUE)</f>
        <v>2823</v>
      </c>
      <c r="H412" s="36">
        <f t="array" aca="1" ref="H412" ca="1">_FV(A412,"52 week high",TRUE)</f>
        <v>4392</v>
      </c>
      <c r="I412" s="40">
        <f t="shared" ca="1" si="24"/>
        <v>13.392531876138429</v>
      </c>
      <c r="J412" s="39" t="str">
        <f t="shared" ca="1" si="25"/>
        <v>WATCH</v>
      </c>
      <c r="K412" s="54">
        <f t="shared" ca="1" si="26"/>
        <v>-34.743181013106629</v>
      </c>
      <c r="L412" s="20">
        <f t="array" aca="1" ref="L412" ca="1">_FV(A412,"Market cap",TRUE)/10000000</f>
        <v>59045.279999999999</v>
      </c>
      <c r="M412" s="21" t="str">
        <f t="shared" ca="1" si="27"/>
        <v>HMC</v>
      </c>
      <c r="N412" s="37" t="str">
        <f t="array" aca="1" ref="N412" ca="1">_FV(A412,"Industry")</f>
        <v>Machinery, Equipment &amp; Components</v>
      </c>
    </row>
    <row r="413" spans="1:14">
      <c r="A413" s="107" t="e" vm="484">
        <v>#VALUE!</v>
      </c>
      <c r="B413" s="33">
        <f t="array" aca="1" ref="B413" ca="1">_FV(A413,"Change (%)",TRUE)</f>
        <v>-1.6508999999999999E-2</v>
      </c>
      <c r="C413" s="35">
        <f t="array" aca="1" ref="C413" ca="1">_FV(A413,"Previous close",TRUE)</f>
        <v>739</v>
      </c>
      <c r="D413" s="35">
        <f t="array" aca="1" ref="D413" ca="1">_FV(A413,"Price")</f>
        <v>726.8</v>
      </c>
      <c r="E413" s="35">
        <f t="array" aca="1" ref="E413" ca="1">_FV(A413,"Low")</f>
        <v>724.6</v>
      </c>
      <c r="F413" s="35">
        <f t="array" aca="1" ref="F413" ca="1">_FV(A413,"High")</f>
        <v>739.7</v>
      </c>
      <c r="G413" s="35">
        <f t="array" aca="1" ref="G413" ca="1">_FV(A413,"52 week low",TRUE)</f>
        <v>540</v>
      </c>
      <c r="H413" s="36">
        <f t="array" aca="1" ref="H413" ca="1">_FV(A413,"52 week high",TRUE)</f>
        <v>1052</v>
      </c>
      <c r="I413" s="40">
        <f t="shared" ca="1" si="24"/>
        <v>30.912547528517113</v>
      </c>
      <c r="J413" s="39" t="str">
        <f t="shared" ca="1" si="25"/>
        <v>MC BUY</v>
      </c>
      <c r="K413" s="54">
        <f t="shared" ca="1" si="26"/>
        <v>-34.592592592592588</v>
      </c>
      <c r="L413" s="20">
        <f t="array" aca="1" ref="L413" ca="1">_FV(A413,"Market cap",TRUE)/10000000</f>
        <v>17669.79</v>
      </c>
      <c r="M413" s="21" t="str">
        <f t="shared" ca="1" si="27"/>
        <v>MC</v>
      </c>
      <c r="N413" s="37" t="str">
        <f t="array" aca="1" ref="N413" ca="1">_FV(A413,"Industry")</f>
        <v>Machinery, Equipment &amp; Components</v>
      </c>
    </row>
    <row r="414" spans="1:14">
      <c r="A414" s="107" t="e" vm="485">
        <v>#VALUE!</v>
      </c>
      <c r="B414" s="33">
        <f t="array" aca="1" ref="B414" ca="1">_FV(A414,"Change (%)",TRUE)</f>
        <v>3.1699000000000005E-2</v>
      </c>
      <c r="C414" s="35">
        <f t="array" aca="1" ref="C414" ca="1">_FV(A414,"Previous close",TRUE)</f>
        <v>217.99</v>
      </c>
      <c r="D414" s="35">
        <f t="array" aca="1" ref="D414" ca="1">_FV(A414,"Price")</f>
        <v>224.9</v>
      </c>
      <c r="E414" s="35">
        <f t="array" aca="1" ref="E414" ca="1">_FV(A414,"Low")</f>
        <v>216.21</v>
      </c>
      <c r="F414" s="35">
        <f t="array" aca="1" ref="F414" ca="1">_FV(A414,"High")</f>
        <v>228.88</v>
      </c>
      <c r="G414" s="35">
        <f t="array" aca="1" ref="G414" ca="1">_FV(A414,"52 week low",TRUE)</f>
        <v>138.26</v>
      </c>
      <c r="H414" s="36">
        <f t="array" aca="1" ref="H414" ca="1">_FV(A414,"52 week high",TRUE)</f>
        <v>280.5</v>
      </c>
      <c r="I414" s="40">
        <f t="shared" ca="1" si="24"/>
        <v>19.821746880570405</v>
      </c>
      <c r="J414" s="39" t="str">
        <f t="shared" ca="1" si="25"/>
        <v>WATCH</v>
      </c>
      <c r="K414" s="54">
        <f t="shared" ca="1" si="26"/>
        <v>-62.664545060031841</v>
      </c>
      <c r="L414" s="20">
        <f t="array" aca="1" ref="L414" ca="1">_FV(A414,"Market cap",TRUE)/10000000</f>
        <v>10153.950000000001</v>
      </c>
      <c r="M414" s="21" t="str">
        <f t="shared" ca="1" si="27"/>
        <v>MC</v>
      </c>
      <c r="N414" s="37" t="str">
        <f t="array" aca="1" ref="N414" ca="1">_FV(A414,"Industry")</f>
        <v>Freight &amp; Logistics Services</v>
      </c>
    </row>
    <row r="415" spans="1:14">
      <c r="A415" s="107" t="e" vm="189">
        <v>#VALUE!</v>
      </c>
      <c r="B415" s="33">
        <f t="array" aca="1" ref="B415" ca="1">_FV(A415,"Change (%)",TRUE)</f>
        <v>1.0518000000000001E-2</v>
      </c>
      <c r="C415" s="35">
        <f t="array" aca="1" ref="C415" ca="1">_FV(A415,"Previous close",TRUE)</f>
        <v>26145</v>
      </c>
      <c r="D415" s="35">
        <f t="array" aca="1" ref="D415" ca="1">_FV(A415,"Price")</f>
        <v>26420</v>
      </c>
      <c r="E415" s="35">
        <f t="array" aca="1" ref="E415" ca="1">_FV(A415,"Low")</f>
        <v>26070</v>
      </c>
      <c r="F415" s="35">
        <f t="array" aca="1" ref="F415" ca="1">_FV(A415,"High")</f>
        <v>26490</v>
      </c>
      <c r="G415" s="35">
        <f t="array" aca="1" ref="G415" ca="1">_FV(A415,"52 week low",TRUE)</f>
        <v>24817.8</v>
      </c>
      <c r="H415" s="36">
        <f t="array" aca="1" ref="H415" ca="1">_FV(A415,"52 week high",TRUE)</f>
        <v>32490</v>
      </c>
      <c r="I415" s="40">
        <f t="shared" ca="1" si="24"/>
        <v>18.682671591258849</v>
      </c>
      <c r="J415" s="39" t="str">
        <f t="shared" ca="1" si="25"/>
        <v>FIRST HMC BUY</v>
      </c>
      <c r="K415" s="54">
        <f t="shared" ca="1" si="26"/>
        <v>-6.455850236523788</v>
      </c>
      <c r="L415" s="20">
        <f t="array" aca="1" ref="L415" ca="1">_FV(A415,"Market cap",TRUE)/10000000</f>
        <v>94333.119999999995</v>
      </c>
      <c r="M415" s="21" t="str">
        <f t="shared" ca="1" si="27"/>
        <v>HMC</v>
      </c>
      <c r="N415" s="37" t="str">
        <f t="array" aca="1" ref="N415" ca="1">_FV(A415,"Industry")</f>
        <v>Construction Materials</v>
      </c>
    </row>
    <row r="416" spans="1:14">
      <c r="A416" s="107" t="e" vm="149">
        <v>#VALUE!</v>
      </c>
      <c r="B416" s="33">
        <f t="array" aca="1" ref="B416" ca="1">_FV(A416,"Change (%)",TRUE)</f>
        <v>-1.3812999999999999E-2</v>
      </c>
      <c r="C416" s="35">
        <f t="array" aca="1" ref="C416" ca="1">_FV(A416,"Previous close",TRUE)</f>
        <v>973.7</v>
      </c>
      <c r="D416" s="35">
        <f t="array" aca="1" ref="D416" ca="1">_FV(A416,"Price")</f>
        <v>960.25</v>
      </c>
      <c r="E416" s="35">
        <f t="array" aca="1" ref="E416" ca="1">_FV(A416,"Low")</f>
        <v>956.7</v>
      </c>
      <c r="F416" s="35">
        <f t="array" aca="1" ref="F416" ca="1">_FV(A416,"High")</f>
        <v>978.75</v>
      </c>
      <c r="G416" s="35">
        <f t="array" aca="1" ref="G416" ca="1">_FV(A416,"52 week low",TRUE)</f>
        <v>493.35</v>
      </c>
      <c r="H416" s="36">
        <f t="array" aca="1" ref="H416" ca="1">_FV(A416,"52 week high",TRUE)</f>
        <v>983.7</v>
      </c>
      <c r="I416" s="40">
        <f t="shared" ca="1" si="24"/>
        <v>2.3838568669309792</v>
      </c>
      <c r="J416" s="39" t="str">
        <f t="shared" ca="1" si="25"/>
        <v>WATCH</v>
      </c>
      <c r="K416" s="54">
        <f t="shared" ca="1" si="26"/>
        <v>-94.638694638694631</v>
      </c>
      <c r="L416" s="20">
        <f t="array" aca="1" ref="L416" ca="1">_FV(A416,"Market cap",TRUE)/10000000</f>
        <v>183188.2</v>
      </c>
      <c r="M416" s="21" t="str">
        <f t="shared" ca="1" si="27"/>
        <v>LC</v>
      </c>
      <c r="N416" s="37" t="str">
        <f t="array" aca="1" ref="N416" ca="1">_FV(A416,"Industry")</f>
        <v>Banking Services</v>
      </c>
    </row>
    <row r="417" spans="1:14">
      <c r="A417" s="107" t="e" vm="108">
        <v>#VALUE!</v>
      </c>
      <c r="B417" s="33">
        <f t="array" aca="1" ref="B417" ca="1">_FV(A417,"Change (%)",TRUE)</f>
        <v>-6.7369999999999999E-3</v>
      </c>
      <c r="C417" s="35">
        <f t="array" aca="1" ref="C417" ca="1">_FV(A417,"Previous close",TRUE)</f>
        <v>823.75</v>
      </c>
      <c r="D417" s="35">
        <f t="array" aca="1" ref="D417" ca="1">_FV(A417,"Price")</f>
        <v>818.2</v>
      </c>
      <c r="E417" s="35">
        <f t="array" aca="1" ref="E417" ca="1">_FV(A417,"Low")</f>
        <v>816.05</v>
      </c>
      <c r="F417" s="35">
        <f t="array" aca="1" ref="F417" ca="1">_FV(A417,"High")</f>
        <v>829.35</v>
      </c>
      <c r="G417" s="35">
        <f t="array" aca="1" ref="G417" ca="1">_FV(A417,"52 week low",TRUE)</f>
        <v>628.25</v>
      </c>
      <c r="H417" s="36">
        <f t="array" aca="1" ref="H417" ca="1">_FV(A417,"52 week high",TRUE)</f>
        <v>1001</v>
      </c>
      <c r="I417" s="40">
        <f t="shared" ca="1" si="24"/>
        <v>18.261738261738259</v>
      </c>
      <c r="J417" s="39" t="str">
        <f t="shared" ca="1" si="25"/>
        <v>WATCH</v>
      </c>
      <c r="K417" s="54">
        <f t="shared" ca="1" si="26"/>
        <v>-30.234779148428178</v>
      </c>
      <c r="L417" s="20">
        <f t="array" aca="1" ref="L417" ca="1">_FV(A417,"Market cap",TRUE)/10000000</f>
        <v>22919.07</v>
      </c>
      <c r="M417" s="21" t="str">
        <f t="shared" ca="1" si="27"/>
        <v>MC</v>
      </c>
      <c r="N417" s="37" t="str">
        <f t="array" aca="1" ref="N417" ca="1">_FV(A417,"Industry")</f>
        <v>Metals &amp; Mining</v>
      </c>
    </row>
    <row r="418" spans="1:14">
      <c r="A418" s="107" t="e" vm="38">
        <v>#VALUE!</v>
      </c>
      <c r="B418" s="33">
        <f t="array" aca="1" ref="B418" ca="1">_FV(A418,"Change (%)",TRUE)</f>
        <v>1.1404000000000001E-2</v>
      </c>
      <c r="C418" s="35">
        <f t="array" aca="1" ref="C418" ca="1">_FV(A418,"Previous close",TRUE)</f>
        <v>2595.5</v>
      </c>
      <c r="D418" s="35">
        <f t="array" aca="1" ref="D418" ca="1">_FV(A418,"Price")</f>
        <v>2625.1</v>
      </c>
      <c r="E418" s="35">
        <f t="array" aca="1" ref="E418" ca="1">_FV(A418,"Low")</f>
        <v>2598.9</v>
      </c>
      <c r="F418" s="35">
        <f t="array" aca="1" ref="F418" ca="1">_FV(A418,"High")</f>
        <v>2644</v>
      </c>
      <c r="G418" s="35">
        <f t="array" aca="1" ref="G418" ca="1">_FV(A418,"52 week low",TRUE)</f>
        <v>2508.8000000000002</v>
      </c>
      <c r="H418" s="36">
        <f t="array" aca="1" ref="H418" ca="1">_FV(A418,"52 week high",TRUE)</f>
        <v>3625</v>
      </c>
      <c r="I418" s="40">
        <f t="shared" ca="1" si="24"/>
        <v>27.583448275862072</v>
      </c>
      <c r="J418" s="39" t="str">
        <f t="shared" ca="1" si="25"/>
        <v>HMC BUY</v>
      </c>
      <c r="K418" s="54">
        <f t="shared" ca="1" si="26"/>
        <v>-4.6356823979591724</v>
      </c>
      <c r="L418" s="20">
        <f t="array" aca="1" ref="L418" ca="1">_FV(A418,"Market cap",TRUE)/10000000</f>
        <v>92431.08</v>
      </c>
      <c r="M418" s="21" t="str">
        <f t="shared" ca="1" si="27"/>
        <v>HMC</v>
      </c>
      <c r="N418" s="37" t="str">
        <f t="array" aca="1" ref="N418" ca="1">_FV(A418,"Industry")</f>
        <v>Electrical Utilities &amp; IPPs</v>
      </c>
    </row>
    <row r="419" spans="1:14">
      <c r="A419" s="107" t="e" vm="109">
        <v>#VALUE!</v>
      </c>
      <c r="B419" s="33">
        <f t="array" aca="1" ref="B419" ca="1">_FV(A419,"Change (%)",TRUE)</f>
        <v>9.3610000000000004E-4</v>
      </c>
      <c r="C419" s="35">
        <f t="array" aca="1" ref="C419" ca="1">_FV(A419,"Previous close",TRUE)</f>
        <v>3098</v>
      </c>
      <c r="D419" s="35">
        <f t="array" aca="1" ref="D419" ca="1">_FV(A419,"Price")</f>
        <v>3100.9</v>
      </c>
      <c r="E419" s="35">
        <f t="array" aca="1" ref="E419" ca="1">_FV(A419,"Low")</f>
        <v>3088.4</v>
      </c>
      <c r="F419" s="35">
        <f t="array" aca="1" ref="F419" ca="1">_FV(A419,"High")</f>
        <v>3123</v>
      </c>
      <c r="G419" s="35">
        <f t="array" aca="1" ref="G419" ca="1">_FV(A419,"52 week low",TRUE)</f>
        <v>2376.4499999999998</v>
      </c>
      <c r="H419" s="36">
        <f t="array" aca="1" ref="H419" ca="1">_FV(A419,"52 week high",TRUE)</f>
        <v>3596.32</v>
      </c>
      <c r="I419" s="40">
        <f t="shared" ca="1" si="24"/>
        <v>13.775748542955021</v>
      </c>
      <c r="J419" s="39" t="str">
        <f t="shared" ca="1" si="25"/>
        <v>LC BUY</v>
      </c>
      <c r="K419" s="54">
        <f t="shared" ca="1" si="26"/>
        <v>-30.484546277009841</v>
      </c>
      <c r="L419" s="20">
        <f t="array" aca="1" ref="L419" ca="1">_FV(A419,"Market cap",TRUE)/10000000</f>
        <v>110326.1</v>
      </c>
      <c r="M419" s="21" t="str">
        <f t="shared" ca="1" si="27"/>
        <v>LC</v>
      </c>
      <c r="N419" s="37" t="str">
        <f t="array" aca="1" ref="N419" ca="1">_FV(A419,"Industry")</f>
        <v>Machinery, Equipment &amp; Components</v>
      </c>
    </row>
    <row r="420" spans="1:14">
      <c r="A420" s="107" t="e" vm="486">
        <v>#VALUE!</v>
      </c>
      <c r="B420" s="33">
        <f t="array" aca="1" ref="B420" ca="1">_FV(A420,"Change (%)",TRUE)</f>
        <v>-2.5409999999999999E-3</v>
      </c>
      <c r="C420" s="35">
        <f t="array" aca="1" ref="C420" ca="1">_FV(A420,"Previous close",TRUE)</f>
        <v>1141.5</v>
      </c>
      <c r="D420" s="35">
        <f t="array" aca="1" ref="D420" ca="1">_FV(A420,"Price")</f>
        <v>1138.5999999999999</v>
      </c>
      <c r="E420" s="35">
        <f t="array" aca="1" ref="E420" ca="1">_FV(A420,"Low")</f>
        <v>1131.5</v>
      </c>
      <c r="F420" s="35">
        <f t="array" aca="1" ref="F420" ca="1">_FV(A420,"High")</f>
        <v>1143.0999999999999</v>
      </c>
      <c r="G420" s="35">
        <f t="array" aca="1" ref="G420" ca="1">_FV(A420,"52 week low",TRUE)</f>
        <v>988</v>
      </c>
      <c r="H420" s="36">
        <f t="array" aca="1" ref="H420" ca="1">_FV(A420,"52 week high",TRUE)</f>
        <v>1414.8</v>
      </c>
      <c r="I420" s="40">
        <f t="shared" ca="1" si="24"/>
        <v>19.522193949674868</v>
      </c>
      <c r="J420" s="39" t="str">
        <f t="shared" ca="1" si="25"/>
        <v>WATCH</v>
      </c>
      <c r="K420" s="54">
        <f t="shared" ca="1" si="26"/>
        <v>-15.242914979757076</v>
      </c>
      <c r="L420" s="20">
        <f t="array" aca="1" ref="L420" ca="1">_FV(A420,"Market cap",TRUE)/10000000</f>
        <v>16039.3</v>
      </c>
      <c r="M420" s="21" t="str">
        <f t="shared" ca="1" si="27"/>
        <v>MC</v>
      </c>
      <c r="N420" s="37" t="str">
        <f t="array" aca="1" ref="N420" ca="1">_FV(A420,"Industry")</f>
        <v>Real Estate Operations</v>
      </c>
    </row>
    <row r="421" spans="1:14">
      <c r="A421" s="107" t="e" vm="487">
        <v>#VALUE!</v>
      </c>
      <c r="B421" s="33">
        <f t="array" aca="1" ref="B421" ca="1">_FV(A421,"Change (%)",TRUE)</f>
        <v>1.421E-3</v>
      </c>
      <c r="C421" s="35">
        <f t="array" aca="1" ref="C421" ca="1">_FV(A421,"Previous close",TRUE)</f>
        <v>1477.5</v>
      </c>
      <c r="D421" s="35">
        <f t="array" aca="1" ref="D421" ca="1">_FV(A421,"Price")</f>
        <v>1479.6</v>
      </c>
      <c r="E421" s="35">
        <f t="array" aca="1" ref="E421" ca="1">_FV(A421,"Low")</f>
        <v>1464.1</v>
      </c>
      <c r="F421" s="35">
        <f t="array" aca="1" ref="F421" ca="1">_FV(A421,"High")</f>
        <v>1492.8</v>
      </c>
      <c r="G421" s="35">
        <f t="array" aca="1" ref="G421" ca="1">_FV(A421,"52 week low",TRUE)</f>
        <v>1075.3</v>
      </c>
      <c r="H421" s="36">
        <f t="array" aca="1" ref="H421" ca="1">_FV(A421,"52 week high",TRUE)</f>
        <v>1732.5</v>
      </c>
      <c r="I421" s="40">
        <f t="shared" ca="1" si="24"/>
        <v>14.597402597402601</v>
      </c>
      <c r="J421" s="39" t="str">
        <f t="shared" ca="1" si="25"/>
        <v>WATCH</v>
      </c>
      <c r="K421" s="54">
        <f t="shared" ca="1" si="26"/>
        <v>-37.598809634520592</v>
      </c>
      <c r="L421" s="20">
        <f t="array" aca="1" ref="L421" ca="1">_FV(A421,"Market cap",TRUE)/10000000</f>
        <v>15800.42</v>
      </c>
      <c r="M421" s="21" t="str">
        <f t="shared" ca="1" si="27"/>
        <v>MC</v>
      </c>
      <c r="N421" s="37" t="str">
        <f t="array" aca="1" ref="N421" ca="1">_FV(A421,"Industry")</f>
        <v>Real Estate Operations</v>
      </c>
    </row>
    <row r="422" spans="1:14">
      <c r="A422" s="107" t="e" vm="110">
        <v>#VALUE!</v>
      </c>
      <c r="B422" s="33">
        <f t="array" aca="1" ref="B422" ca="1">_FV(A422,"Change (%)",TRUE)</f>
        <v>-3.8449999999999999E-3</v>
      </c>
      <c r="C422" s="35">
        <f t="array" aca="1" ref="C422" ca="1">_FV(A422,"Previous close",TRUE)</f>
        <v>12485</v>
      </c>
      <c r="D422" s="35">
        <f t="array" aca="1" ref="D422" ca="1">_FV(A422,"Price")</f>
        <v>12437</v>
      </c>
      <c r="E422" s="35">
        <f t="array" aca="1" ref="E422" ca="1">_FV(A422,"Low")</f>
        <v>12410</v>
      </c>
      <c r="F422" s="35">
        <f t="array" aca="1" ref="F422" ca="1">_FV(A422,"High")</f>
        <v>12736</v>
      </c>
      <c r="G422" s="35">
        <f t="array" aca="1" ref="G422" ca="1">_FV(A422,"52 week low",TRUE)</f>
        <v>8482.5</v>
      </c>
      <c r="H422" s="36">
        <f t="array" aca="1" ref="H422" ca="1">_FV(A422,"52 week high",TRUE)</f>
        <v>17820</v>
      </c>
      <c r="I422" s="40">
        <f t="shared" ca="1" si="24"/>
        <v>30.207631874298542</v>
      </c>
      <c r="J422" s="39" t="str">
        <f t="shared" ca="1" si="25"/>
        <v>SURE LC BUY</v>
      </c>
      <c r="K422" s="54">
        <f t="shared" ca="1" si="26"/>
        <v>-46.619510757441795</v>
      </c>
      <c r="L422" s="20">
        <f t="array" aca="1" ref="L422" ca="1">_FV(A422,"Market cap",TRUE)/10000000</f>
        <v>112976.8</v>
      </c>
      <c r="M422" s="21" t="str">
        <f t="shared" ca="1" si="27"/>
        <v>LC</v>
      </c>
      <c r="N422" s="37" t="str">
        <f t="array" aca="1" ref="N422" ca="1">_FV(A422,"Industry")</f>
        <v>Chemicals</v>
      </c>
    </row>
    <row r="423" spans="1:14">
      <c r="A423" s="107" t="e" vm="488">
        <v>#VALUE!</v>
      </c>
      <c r="B423" s="33">
        <f t="array" aca="1" ref="B423" ca="1">_FV(A423,"Change (%)",TRUE)</f>
        <v>-3.9259999999999998E-3</v>
      </c>
      <c r="C423" s="35">
        <f t="array" aca="1" ref="C423" ca="1">_FV(A423,"Previous close",TRUE)</f>
        <v>484</v>
      </c>
      <c r="D423" s="35">
        <f t="array" aca="1" ref="D423" ca="1">_FV(A423,"Price")</f>
        <v>482.1</v>
      </c>
      <c r="E423" s="35">
        <f t="array" aca="1" ref="E423" ca="1">_FV(A423,"Low")</f>
        <v>480.8</v>
      </c>
      <c r="F423" s="35">
        <f t="array" aca="1" ref="F423" ca="1">_FV(A423,"High")</f>
        <v>487.8</v>
      </c>
      <c r="G423" s="35">
        <f t="array" aca="1" ref="G423" ca="1">_FV(A423,"52 week low",TRUE)</f>
        <v>380</v>
      </c>
      <c r="H423" s="36">
        <f t="array" aca="1" ref="H423" ca="1">_FV(A423,"52 week high",TRUE)</f>
        <v>607.29999999999995</v>
      </c>
      <c r="I423" s="40">
        <f t="shared" ca="1" si="24"/>
        <v>20.615840605960798</v>
      </c>
      <c r="J423" s="39" t="str">
        <f t="shared" ca="1" si="25"/>
        <v>FIRST MC BUY</v>
      </c>
      <c r="K423" s="54">
        <f t="shared" ca="1" si="26"/>
        <v>-26.868421052631582</v>
      </c>
      <c r="L423" s="20">
        <f t="array" aca="1" ref="L423" ca="1">_FV(A423,"Market cap",TRUE)/10000000</f>
        <v>30091.29</v>
      </c>
      <c r="M423" s="21" t="str">
        <f t="shared" ca="1" si="27"/>
        <v>MC</v>
      </c>
      <c r="N423" s="37" t="str">
        <f t="array" aca="1" ref="N423" ca="1">_FV(A423,"Industry")</f>
        <v>Automobiles &amp; Auto Parts</v>
      </c>
    </row>
    <row r="424" spans="1:14">
      <c r="A424" s="107" t="e" vm="489">
        <v>#VALUE!</v>
      </c>
      <c r="B424" s="33">
        <f t="array" aca="1" ref="B424" ca="1">_FV(A424,"Change (%)",TRUE)</f>
        <v>2.0740999999999999E-2</v>
      </c>
      <c r="C424" s="35">
        <f t="array" aca="1" ref="C424" ca="1">_FV(A424,"Previous close",TRUE)</f>
        <v>359.2</v>
      </c>
      <c r="D424" s="35">
        <f t="array" aca="1" ref="D424" ca="1">_FV(A424,"Price")</f>
        <v>366.65</v>
      </c>
      <c r="E424" s="35">
        <f t="array" aca="1" ref="E424" ca="1">_FV(A424,"Low")</f>
        <v>356.55</v>
      </c>
      <c r="F424" s="35">
        <f t="array" aca="1" ref="F424" ca="1">_FV(A424,"High")</f>
        <v>370.85</v>
      </c>
      <c r="G424" s="35">
        <f t="array" aca="1" ref="G424" ca="1">_FV(A424,"52 week low",TRUE)</f>
        <v>286.39999999999998</v>
      </c>
      <c r="H424" s="36">
        <f t="array" aca="1" ref="H424" ca="1">_FV(A424,"52 week high",TRUE)</f>
        <v>640</v>
      </c>
      <c r="I424" s="40">
        <f t="shared" ca="1" si="24"/>
        <v>42.710937500000007</v>
      </c>
      <c r="J424" s="39" t="str">
        <f t="shared" ca="1" si="25"/>
        <v>FIRST HSC BUY</v>
      </c>
      <c r="K424" s="54">
        <f t="shared" ca="1" si="26"/>
        <v>-28.020251396648046</v>
      </c>
      <c r="L424" s="20">
        <f t="array" aca="1" ref="L424" ca="1">_FV(A424,"Market cap",TRUE)/10000000</f>
        <v>9964.4369999999999</v>
      </c>
      <c r="M424" s="21" t="str">
        <f t="shared" ca="1" si="27"/>
        <v>HSC</v>
      </c>
      <c r="N424" s="37" t="str">
        <f t="array" aca="1" ref="N424" ca="1">_FV(A424,"Industry")</f>
        <v>Software &amp; IT Services</v>
      </c>
    </row>
    <row r="425" spans="1:14">
      <c r="A425" s="107" t="e" vm="490">
        <v>#VALUE!</v>
      </c>
      <c r="B425" s="33">
        <f t="array" aca="1" ref="B425" ca="1">_FV(A425,"Change (%)",TRUE)</f>
        <v>-2.1835E-2</v>
      </c>
      <c r="C425" s="35">
        <f t="array" aca="1" ref="C425" ca="1">_FV(A425,"Previous close",TRUE)</f>
        <v>453.4</v>
      </c>
      <c r="D425" s="35">
        <f t="array" aca="1" ref="D425" ca="1">_FV(A425,"Price")</f>
        <v>443.5</v>
      </c>
      <c r="E425" s="35">
        <f t="array" aca="1" ref="E425" ca="1">_FV(A425,"Low")</f>
        <v>442.55</v>
      </c>
      <c r="F425" s="35">
        <f t="array" aca="1" ref="F425" ca="1">_FV(A425,"High")</f>
        <v>457</v>
      </c>
      <c r="G425" s="35">
        <f t="array" aca="1" ref="G425" ca="1">_FV(A425,"52 week low",TRUE)</f>
        <v>327.3</v>
      </c>
      <c r="H425" s="36">
        <f t="array" aca="1" ref="H425" ca="1">_FV(A425,"52 week high",TRUE)</f>
        <v>534</v>
      </c>
      <c r="I425" s="40">
        <f t="shared" ca="1" si="24"/>
        <v>16.94756554307116</v>
      </c>
      <c r="J425" s="39" t="str">
        <f t="shared" ca="1" si="25"/>
        <v>WATCH</v>
      </c>
      <c r="K425" s="54">
        <f t="shared" ca="1" si="26"/>
        <v>-35.502597005805065</v>
      </c>
      <c r="L425" s="20">
        <f t="array" aca="1" ref="L425" ca="1">_FV(A425,"Market cap",TRUE)/10000000</f>
        <v>26075.58</v>
      </c>
      <c r="M425" s="21" t="str">
        <f t="shared" ca="1" si="27"/>
        <v>MC</v>
      </c>
      <c r="N425" s="37" t="str">
        <f t="array" aca="1" ref="N425" ca="1">_FV(A425,"Industry")</f>
        <v>Insurance</v>
      </c>
    </row>
    <row r="426" spans="1:14">
      <c r="A426" s="107" t="e" vm="104">
        <v>#VALUE!</v>
      </c>
      <c r="B426" s="33">
        <f t="array" aca="1" ref="B426" ca="1">_FV(A426,"Change (%)",TRUE)</f>
        <v>-2.735E-3</v>
      </c>
      <c r="C426" s="35">
        <f t="array" aca="1" ref="C426" ca="1">_FV(A426,"Previous close",TRUE)</f>
        <v>968.95</v>
      </c>
      <c r="D426" s="35">
        <f t="array" aca="1" ref="D426" ca="1">_FV(A426,"Price")</f>
        <v>966.3</v>
      </c>
      <c r="E426" s="35">
        <f t="array" aca="1" ref="E426" ca="1">_FV(A426,"Low")</f>
        <v>964.75</v>
      </c>
      <c r="F426" s="35">
        <f t="array" aca="1" ref="F426" ca="1">_FV(A426,"High")</f>
        <v>971</v>
      </c>
      <c r="G426" s="35">
        <f t="array" aca="1" ref="G426" ca="1">_FV(A426,"52 week low",TRUE)</f>
        <v>680</v>
      </c>
      <c r="H426" s="36">
        <f t="array" aca="1" ref="H426" ca="1">_FV(A426,"52 week high",TRUE)</f>
        <v>999</v>
      </c>
      <c r="I426" s="40">
        <f t="shared" ca="1" si="24"/>
        <v>3.2732732732732779</v>
      </c>
      <c r="J426" s="39" t="str">
        <f t="shared" ca="1" si="25"/>
        <v>WATCH</v>
      </c>
      <c r="K426" s="54">
        <f t="shared" ca="1" si="26"/>
        <v>-42.10294117647058</v>
      </c>
      <c r="L426" s="20">
        <f t="array" aca="1" ref="L426" ca="1">_FV(A426,"Market cap",TRUE)/10000000</f>
        <v>891954.6</v>
      </c>
      <c r="M426" s="21" t="str">
        <f t="shared" ca="1" si="27"/>
        <v>HLC</v>
      </c>
      <c r="N426" s="37" t="str">
        <f t="array" aca="1" ref="N426" ca="1">_FV(A426,"Industry")</f>
        <v>Banking Services</v>
      </c>
    </row>
    <row r="427" spans="1:14">
      <c r="A427" s="107" t="e" vm="491">
        <v>#VALUE!</v>
      </c>
      <c r="B427" s="33">
        <f t="array" aca="1" ref="B427" ca="1">_FV(A427,"Change (%)",TRUE)</f>
        <v>3.565E-3</v>
      </c>
      <c r="C427" s="35">
        <f t="array" aca="1" ref="C427" ca="1">_FV(A427,"Previous close",TRUE)</f>
        <v>131.85</v>
      </c>
      <c r="D427" s="35">
        <f t="array" aca="1" ref="D427" ca="1">_FV(A427,"Price")</f>
        <v>132.32</v>
      </c>
      <c r="E427" s="35">
        <f t="array" aca="1" ref="E427" ca="1">_FV(A427,"Low")</f>
        <v>130.6</v>
      </c>
      <c r="F427" s="35">
        <f t="array" aca="1" ref="F427" ca="1">_FV(A427,"High")</f>
        <v>132.78</v>
      </c>
      <c r="G427" s="35">
        <f t="array" aca="1" ref="G427" ca="1">_FV(A427,"52 week low",TRUE)</f>
        <v>99.15</v>
      </c>
      <c r="H427" s="36">
        <f t="array" aca="1" ref="H427" ca="1">_FV(A427,"52 week high",TRUE)</f>
        <v>145.9</v>
      </c>
      <c r="I427" s="40">
        <f t="shared" ca="1" si="24"/>
        <v>9.3077450308430514</v>
      </c>
      <c r="J427" s="39" t="str">
        <f t="shared" ca="1" si="25"/>
        <v>WATCH</v>
      </c>
      <c r="K427" s="54">
        <f t="shared" ca="1" si="26"/>
        <v>-33.454362077660093</v>
      </c>
      <c r="L427" s="20">
        <f t="array" aca="1" ref="L427" ca="1">_FV(A427,"Market cap",TRUE)/10000000</f>
        <v>54460.98</v>
      </c>
      <c r="M427" s="21" t="str">
        <f t="shared" ca="1" si="27"/>
        <v>HMC</v>
      </c>
      <c r="N427" s="37" t="str">
        <f t="array" aca="1" ref="N427" ca="1">_FV(A427,"Industry")</f>
        <v>Metals &amp; Mining</v>
      </c>
    </row>
    <row r="428" spans="1:14">
      <c r="A428" s="107" t="e" vm="492">
        <v>#VALUE!</v>
      </c>
      <c r="B428" s="33">
        <f t="array" aca="1" ref="B428" ca="1">_FV(A428,"Change (%)",TRUE)</f>
        <v>6.3160000000000004E-3</v>
      </c>
      <c r="C428" s="35">
        <f t="array" aca="1" ref="C428" ca="1">_FV(A428,"Previous close",TRUE)</f>
        <v>459.15</v>
      </c>
      <c r="D428" s="35">
        <f t="array" aca="1" ref="D428" ca="1">_FV(A428,"Price")</f>
        <v>462.05</v>
      </c>
      <c r="E428" s="35">
        <f t="array" aca="1" ref="E428" ca="1">_FV(A428,"Low")</f>
        <v>455.85</v>
      </c>
      <c r="F428" s="35">
        <f t="array" aca="1" ref="F428" ca="1">_FV(A428,"High")</f>
        <v>463.6</v>
      </c>
      <c r="G428" s="35">
        <f t="array" aca="1" ref="G428" ca="1">_FV(A428,"52 week low",TRUE)</f>
        <v>432.2</v>
      </c>
      <c r="H428" s="36">
        <f t="array" aca="1" ref="H428" ca="1">_FV(A428,"52 week high",TRUE)</f>
        <v>665</v>
      </c>
      <c r="I428" s="40">
        <f t="shared" ca="1" si="24"/>
        <v>30.518796992481203</v>
      </c>
      <c r="J428" s="39" t="str">
        <f t="shared" ca="1" si="25"/>
        <v>MC BUY</v>
      </c>
      <c r="K428" s="54">
        <f t="shared" ca="1" si="26"/>
        <v>-6.9065247570569239</v>
      </c>
      <c r="L428" s="20">
        <f t="array" aca="1" ref="L428" ca="1">_FV(A428,"Market cap",TRUE)/10000000</f>
        <v>22918.28</v>
      </c>
      <c r="M428" s="21" t="str">
        <f t="shared" ca="1" si="27"/>
        <v>MC</v>
      </c>
      <c r="N428" s="37" t="str">
        <f t="array" aca="1" ref="N428" ca="1">_FV(A428,"Industry")</f>
        <v>Chemicals</v>
      </c>
    </row>
    <row r="429" spans="1:14">
      <c r="A429" s="107" t="e" vm="161">
        <v>#VALUE!</v>
      </c>
      <c r="B429" s="33">
        <f t="array" aca="1" ref="B429" ca="1">_FV(A429,"Change (%)",TRUE)</f>
        <v>-1.0075000000000001E-2</v>
      </c>
      <c r="C429" s="35">
        <f t="array" aca="1" ref="C429" ca="1">_FV(A429,"Previous close",TRUE)</f>
        <v>1737</v>
      </c>
      <c r="D429" s="35">
        <f t="array" aca="1" ref="D429" ca="1">_FV(A429,"Price")</f>
        <v>1719.5</v>
      </c>
      <c r="E429" s="35">
        <f t="array" aca="1" ref="E429" ca="1">_FV(A429,"Low")</f>
        <v>1708</v>
      </c>
      <c r="F429" s="35">
        <f t="array" aca="1" ref="F429" ca="1">_FV(A429,"High")</f>
        <v>1737</v>
      </c>
      <c r="G429" s="35">
        <f t="array" aca="1" ref="G429" ca="1">_FV(A429,"52 week low",TRUE)</f>
        <v>1548</v>
      </c>
      <c r="H429" s="36">
        <f t="array" aca="1" ref="H429" ca="1">_FV(A429,"52 week high",TRUE)</f>
        <v>1910</v>
      </c>
      <c r="I429" s="40">
        <f t="shared" ca="1" si="24"/>
        <v>9.9738219895287958</v>
      </c>
      <c r="J429" s="39" t="str">
        <f t="shared" ca="1" si="25"/>
        <v>WATCH</v>
      </c>
      <c r="K429" s="54">
        <f t="shared" ca="1" si="26"/>
        <v>-11.078811369509044</v>
      </c>
      <c r="L429" s="20">
        <f t="array" aca="1" ref="L429" ca="1">_FV(A429,"Market cap",TRUE)/10000000</f>
        <v>416764.5</v>
      </c>
      <c r="M429" s="21" t="str">
        <f t="shared" ca="1" si="27"/>
        <v>LC</v>
      </c>
      <c r="N429" s="37" t="str">
        <f t="array" aca="1" ref="N429" ca="1">_FV(A429,"Industry")</f>
        <v>Pharmaceuticals</v>
      </c>
    </row>
    <row r="430" spans="1:14">
      <c r="A430" s="107" t="e" vm="493">
        <v>#VALUE!</v>
      </c>
      <c r="B430" s="33">
        <f t="array" aca="1" ref="B430" ca="1">_FV(A430,"Change (%)",TRUE)</f>
        <v>-6.7710000000000001E-3</v>
      </c>
      <c r="C430" s="35">
        <f t="array" aca="1" ref="C430" ca="1">_FV(A430,"Previous close",TRUE)</f>
        <v>576</v>
      </c>
      <c r="D430" s="35">
        <f t="array" aca="1" ref="D430" ca="1">_FV(A430,"Price")</f>
        <v>572.1</v>
      </c>
      <c r="E430" s="35">
        <f t="array" aca="1" ref="E430" ca="1">_FV(A430,"Low")</f>
        <v>570</v>
      </c>
      <c r="F430" s="35">
        <f t="array" aca="1" ref="F430" ca="1">_FV(A430,"High")</f>
        <v>581.9</v>
      </c>
      <c r="G430" s="35">
        <f t="array" aca="1" ref="G430" ca="1">_FV(A430,"52 week low",TRUE)</f>
        <v>518.04999999999995</v>
      </c>
      <c r="H430" s="36">
        <f t="array" aca="1" ref="H430" ca="1">_FV(A430,"52 week high",TRUE)</f>
        <v>715.8</v>
      </c>
      <c r="I430" s="40">
        <f t="shared" ca="1" si="24"/>
        <v>20.07544006705783</v>
      </c>
      <c r="J430" s="39" t="str">
        <f t="shared" ca="1" si="25"/>
        <v>FIRST MC BUY</v>
      </c>
      <c r="K430" s="54">
        <f t="shared" ca="1" si="26"/>
        <v>-10.433355853682093</v>
      </c>
      <c r="L430" s="20">
        <f t="array" aca="1" ref="L430" ca="1">_FV(A430,"Market cap",TRUE)/10000000</f>
        <v>22699.27</v>
      </c>
      <c r="M430" s="21" t="str">
        <f t="shared" ca="1" si="27"/>
        <v>MC</v>
      </c>
      <c r="N430" s="37" t="str">
        <f t="array" aca="1" ref="N430" ca="1">_FV(A430,"Industry")</f>
        <v>Media &amp; Publishing</v>
      </c>
    </row>
    <row r="431" spans="1:14">
      <c r="A431" s="107" t="e" vm="494">
        <v>#VALUE!</v>
      </c>
      <c r="B431" s="33">
        <f t="array" aca="1" ref="B431" ca="1">_FV(A431,"Change (%)",TRUE)</f>
        <v>-1.0280000000000001E-3</v>
      </c>
      <c r="C431" s="35">
        <f t="array" aca="1" ref="C431" ca="1">_FV(A431,"Previous close",TRUE)</f>
        <v>5154.6000000000004</v>
      </c>
      <c r="D431" s="35">
        <f t="array" aca="1" ref="D431" ca="1">_FV(A431,"Price")</f>
        <v>5149.3</v>
      </c>
      <c r="E431" s="35">
        <f t="array" aca="1" ref="E431" ca="1">_FV(A431,"Low")</f>
        <v>5051.5</v>
      </c>
      <c r="F431" s="35">
        <f t="array" aca="1" ref="F431" ca="1">_FV(A431,"High")</f>
        <v>5180.8999999999996</v>
      </c>
      <c r="G431" s="35">
        <f t="array" aca="1" ref="G431" ca="1">_FV(A431,"52 week low",TRUE)</f>
        <v>4066.8</v>
      </c>
      <c r="H431" s="36">
        <f t="array" aca="1" ref="H431" ca="1">_FV(A431,"52 week high",TRUE)</f>
        <v>5419</v>
      </c>
      <c r="I431" s="40">
        <f t="shared" ca="1" si="24"/>
        <v>4.9769330134711165</v>
      </c>
      <c r="J431" s="39" t="str">
        <f t="shared" ca="1" si="25"/>
        <v>WATCH</v>
      </c>
      <c r="K431" s="54">
        <f t="shared" ca="1" si="26"/>
        <v>-26.617979738369232</v>
      </c>
      <c r="L431" s="20">
        <f t="array" aca="1" ref="L431" ca="1">_FV(A431,"Market cap",TRUE)/10000000</f>
        <v>56798.48</v>
      </c>
      <c r="M431" s="21" t="str">
        <f t="shared" ca="1" si="27"/>
        <v>HMC</v>
      </c>
      <c r="N431" s="37" t="str">
        <f t="array" aca="1" ref="N431" ca="1">_FV(A431,"Industry")</f>
        <v>Banking Services</v>
      </c>
    </row>
    <row r="432" spans="1:14">
      <c r="A432" s="107" t="e" vm="495">
        <v>#VALUE!</v>
      </c>
      <c r="B432" s="33">
        <f t="array" aca="1" ref="B432" ca="1">_FV(A432,"Change (%)",TRUE)</f>
        <v>-6.9769999999999997E-3</v>
      </c>
      <c r="C432" s="35">
        <f t="array" aca="1" ref="C432" ca="1">_FV(A432,"Previous close",TRUE)</f>
        <v>938.75</v>
      </c>
      <c r="D432" s="35">
        <f t="array" aca="1" ref="D432" ca="1">_FV(A432,"Price")</f>
        <v>932.2</v>
      </c>
      <c r="E432" s="35">
        <f t="array" aca="1" ref="E432" ca="1">_FV(A432,"Low")</f>
        <v>930.55</v>
      </c>
      <c r="F432" s="35">
        <f t="array" aca="1" ref="F432" ca="1">_FV(A432,"High")</f>
        <v>943.85</v>
      </c>
      <c r="G432" s="35">
        <f t="array" aca="1" ref="G432" ca="1">_FV(A432,"52 week low",TRUE)</f>
        <v>831.15</v>
      </c>
      <c r="H432" s="36">
        <f t="array" aca="1" ref="H432" ca="1">_FV(A432,"52 week high",TRUE)</f>
        <v>1105.95</v>
      </c>
      <c r="I432" s="40">
        <f t="shared" ca="1" si="24"/>
        <v>15.710475157104751</v>
      </c>
      <c r="J432" s="39" t="str">
        <f t="shared" ca="1" si="25"/>
        <v>WATCH</v>
      </c>
      <c r="K432" s="54">
        <f t="shared" ca="1" si="26"/>
        <v>-12.157853576370099</v>
      </c>
      <c r="L432" s="20">
        <f t="array" aca="1" ref="L432" ca="1">_FV(A432,"Market cap",TRUE)/10000000</f>
        <v>19588.169999999998</v>
      </c>
      <c r="M432" s="21" t="str">
        <f t="shared" ca="1" si="27"/>
        <v>MC</v>
      </c>
      <c r="N432" s="37" t="str">
        <f t="array" aca="1" ref="N432" ca="1">_FV(A432,"Industry")</f>
        <v>Automobiles &amp; Auto Parts</v>
      </c>
    </row>
    <row r="433" spans="1:14">
      <c r="A433" s="107" t="e" vm="113">
        <v>#VALUE!</v>
      </c>
      <c r="B433" s="33">
        <f t="array" aca="1" ref="B433" ca="1">_FV(A433,"Change (%)",TRUE)</f>
        <v>-1.4215999999999999E-2</v>
      </c>
      <c r="C433" s="35">
        <f t="array" aca="1" ref="C433" ca="1">_FV(A433,"Previous close",TRUE)</f>
        <v>3320.3</v>
      </c>
      <c r="D433" s="35">
        <f t="array" aca="1" ref="D433" ca="1">_FV(A433,"Price")</f>
        <v>3273.1</v>
      </c>
      <c r="E433" s="35">
        <f t="array" aca="1" ref="E433" ca="1">_FV(A433,"Low")</f>
        <v>3265</v>
      </c>
      <c r="F433" s="35">
        <f t="array" aca="1" ref="F433" ca="1">_FV(A433,"High")</f>
        <v>3331.6</v>
      </c>
      <c r="G433" s="35">
        <f t="array" aca="1" ref="G433" ca="1">_FV(A433,"52 week low",TRUE)</f>
        <v>3095</v>
      </c>
      <c r="H433" s="36">
        <f t="array" aca="1" ref="H433" ca="1">_FV(A433,"52 week high",TRUE)</f>
        <v>4861.45</v>
      </c>
      <c r="I433" s="40">
        <f t="shared" ca="1" si="24"/>
        <v>32.672350841827026</v>
      </c>
      <c r="J433" s="39" t="str">
        <f t="shared" ca="1" si="25"/>
        <v>SURE HMC BUY</v>
      </c>
      <c r="K433" s="54">
        <f t="shared" ca="1" si="26"/>
        <v>-5.7544426494345693</v>
      </c>
      <c r="L433" s="20">
        <f t="array" aca="1" ref="L433" ca="1">_FV(A433,"Market cap",TRUE)/10000000</f>
        <v>42176.73</v>
      </c>
      <c r="M433" s="21" t="str">
        <f t="shared" ca="1" si="27"/>
        <v>HMC</v>
      </c>
      <c r="N433" s="37" t="str">
        <f t="array" aca="1" ref="N433" ca="1">_FV(A433,"Industry")</f>
        <v>Chemicals</v>
      </c>
    </row>
    <row r="434" spans="1:14">
      <c r="A434" s="107" t="e" vm="496">
        <v>#VALUE!</v>
      </c>
      <c r="B434" s="33">
        <f t="array" aca="1" ref="B434" ca="1">_FV(A434,"Change (%)",TRUE)</f>
        <v>-1.8759999999999998E-3</v>
      </c>
      <c r="C434" s="35">
        <f t="array" aca="1" ref="C434" ca="1">_FV(A434,"Previous close",TRUE)</f>
        <v>53.3</v>
      </c>
      <c r="D434" s="35">
        <f t="array" aca="1" ref="D434" ca="1">_FV(A434,"Price")</f>
        <v>53.2</v>
      </c>
      <c r="E434" s="35">
        <f t="array" aca="1" ref="E434" ca="1">_FV(A434,"Low")</f>
        <v>53.1</v>
      </c>
      <c r="F434" s="35">
        <f t="array" aca="1" ref="F434" ca="1">_FV(A434,"High")</f>
        <v>54.13</v>
      </c>
      <c r="G434" s="35">
        <f t="array" aca="1" ref="G434" ca="1">_FV(A434,"52 week low",TRUE)</f>
        <v>46.15</v>
      </c>
      <c r="H434" s="36">
        <f t="array" aca="1" ref="H434" ca="1">_FV(A434,"52 week high",TRUE)</f>
        <v>74.3</v>
      </c>
      <c r="I434" s="40">
        <f t="shared" ca="1" si="24"/>
        <v>28.398384925975769</v>
      </c>
      <c r="J434" s="39" t="str">
        <f t="shared" ca="1" si="25"/>
        <v>HMC BUY</v>
      </c>
      <c r="K434" s="54">
        <f t="shared" ca="1" si="26"/>
        <v>-15.276273022751907</v>
      </c>
      <c r="L434" s="20">
        <f t="array" aca="1" ref="L434" ca="1">_FV(A434,"Market cap",TRUE)/10000000</f>
        <v>72949.600000000006</v>
      </c>
      <c r="M434" s="21" t="str">
        <f t="shared" ca="1" si="27"/>
        <v>HMC</v>
      </c>
      <c r="N434" s="37" t="str">
        <f t="array" aca="1" ref="N434" ca="1">_FV(A434,"Industry")</f>
        <v>Renewable Energy</v>
      </c>
    </row>
    <row r="435" spans="1:14">
      <c r="A435" s="107" t="e" vm="497">
        <v>#VALUE!</v>
      </c>
      <c r="B435" s="33">
        <f t="array" aca="1" ref="B435" ca="1">_FV(A435,"Change (%)",TRUE)</f>
        <v>1.102E-2</v>
      </c>
      <c r="C435" s="35">
        <f t="array" aca="1" ref="C435" ca="1">_FV(A435,"Previous close",TRUE)</f>
        <v>462.8</v>
      </c>
      <c r="D435" s="35">
        <f t="array" aca="1" ref="D435" ca="1">_FV(A435,"Price")</f>
        <v>467.9</v>
      </c>
      <c r="E435" s="35">
        <f t="array" aca="1" ref="E435" ca="1">_FV(A435,"Low")</f>
        <v>459</v>
      </c>
      <c r="F435" s="35">
        <f t="array" aca="1" ref="F435" ca="1">_FV(A435,"High")</f>
        <v>471.3</v>
      </c>
      <c r="G435" s="35">
        <f t="array" aca="1" ref="G435" ca="1">_FV(A435,"52 week low",TRUE)</f>
        <v>362.2</v>
      </c>
      <c r="H435" s="36">
        <f t="array" aca="1" ref="H435" ca="1">_FV(A435,"52 week high",TRUE)</f>
        <v>771.4</v>
      </c>
      <c r="I435" s="40">
        <f t="shared" ca="1" si="24"/>
        <v>39.344049779621471</v>
      </c>
      <c r="J435" s="39" t="str">
        <f t="shared" ca="1" si="25"/>
        <v>MC BUY</v>
      </c>
      <c r="K435" s="54">
        <f t="shared" ca="1" si="26"/>
        <v>-29.182771949199335</v>
      </c>
      <c r="L435" s="20">
        <f t="array" aca="1" ref="L435" ca="1">_FV(A435,"Market cap",TRUE)/10000000</f>
        <v>14666.65</v>
      </c>
      <c r="M435" s="21" t="str">
        <f t="shared" ca="1" si="27"/>
        <v>MC</v>
      </c>
      <c r="N435" s="37" t="str">
        <f t="array" aca="1" ref="N435" ca="1">_FV(A435,"Industry")</f>
        <v>Textiles &amp; Apparel</v>
      </c>
    </row>
    <row r="436" spans="1:14">
      <c r="A436" s="107" t="e" vm="498">
        <v>#VALUE!</v>
      </c>
      <c r="B436" s="33">
        <f t="array" aca="1" ref="B436" ca="1">_FV(A436,"Change (%)",TRUE)</f>
        <v>-2.0371999999999998E-2</v>
      </c>
      <c r="C436" s="35">
        <f t="array" aca="1" ref="C436" ca="1">_FV(A436,"Previous close",TRUE)</f>
        <v>400.05</v>
      </c>
      <c r="D436" s="35">
        <f t="array" aca="1" ref="D436" ca="1">_FV(A436,"Price")</f>
        <v>391.9</v>
      </c>
      <c r="E436" s="35">
        <f t="array" aca="1" ref="E436" ca="1">_FV(A436,"Low")</f>
        <v>391</v>
      </c>
      <c r="F436" s="35">
        <f t="array" aca="1" ref="F436" ca="1">_FV(A436,"High")</f>
        <v>396.4</v>
      </c>
      <c r="G436" s="35">
        <f t="array" aca="1" ref="G436" ca="1">_FV(A436,"52 week low",TRUE)</f>
        <v>297</v>
      </c>
      <c r="H436" s="36">
        <f t="array" aca="1" ref="H436" ca="1">_FV(A436,"52 week high",TRUE)</f>
        <v>617.29999999999995</v>
      </c>
      <c r="I436" s="40">
        <f t="shared" ca="1" si="24"/>
        <v>36.513850639883358</v>
      </c>
      <c r="J436" s="39" t="str">
        <f t="shared" ca="1" si="25"/>
        <v>SURE LC BUY</v>
      </c>
      <c r="K436" s="54">
        <f t="shared" ca="1" si="26"/>
        <v>-31.952861952861948</v>
      </c>
      <c r="L436" s="20">
        <f t="array" aca="1" ref="L436" ca="1">_FV(A436,"Market cap",TRUE)/10000000</f>
        <v>103768.3</v>
      </c>
      <c r="M436" s="21" t="str">
        <f t="shared" ca="1" si="27"/>
        <v>LC</v>
      </c>
      <c r="N436" s="37" t="str">
        <f t="array" aca="1" ref="N436" ca="1">_FV(A436,"Industry")</f>
        <v>Software &amp; IT Services</v>
      </c>
    </row>
    <row r="437" spans="1:14">
      <c r="A437" s="107" t="e" vm="499">
        <v>#VALUE!</v>
      </c>
      <c r="B437" s="33">
        <f t="array" aca="1" ref="B437" ca="1">_FV(A437,"Change (%)",TRUE)</f>
        <v>2.6040000000000004E-3</v>
      </c>
      <c r="C437" s="35">
        <f t="array" aca="1" ref="C437" ca="1">_FV(A437,"Previous close",TRUE)</f>
        <v>652.95000000000005</v>
      </c>
      <c r="D437" s="35">
        <f t="array" aca="1" ref="D437" ca="1">_FV(A437,"Price")</f>
        <v>654.65</v>
      </c>
      <c r="E437" s="35">
        <f t="array" aca="1" ref="E437" ca="1">_FV(A437,"Low")</f>
        <v>648.79999999999995</v>
      </c>
      <c r="F437" s="35">
        <f t="array" aca="1" ref="F437" ca="1">_FV(A437,"High")</f>
        <v>656.25</v>
      </c>
      <c r="G437" s="35">
        <f t="array" aca="1" ref="G437" ca="1">_FV(A437,"52 week low",TRUE)</f>
        <v>599.54999999999995</v>
      </c>
      <c r="H437" s="36">
        <f t="array" aca="1" ref="H437" ca="1">_FV(A437,"52 week high",TRUE)</f>
        <v>895.75</v>
      </c>
      <c r="I437" s="40">
        <f t="shared" ca="1" si="24"/>
        <v>26.915992185319567</v>
      </c>
      <c r="J437" s="39" t="str">
        <f t="shared" ca="1" si="25"/>
        <v>FIRST MC BUY</v>
      </c>
      <c r="K437" s="54">
        <f t="shared" ca="1" si="26"/>
        <v>-9.1902260028354643</v>
      </c>
      <c r="L437" s="20">
        <f t="array" aca="1" ref="L437" ca="1">_FV(A437,"Market cap",TRUE)/10000000</f>
        <v>26230.04</v>
      </c>
      <c r="M437" s="21" t="str">
        <f t="shared" ca="1" si="27"/>
        <v>MC</v>
      </c>
      <c r="N437" s="37" t="str">
        <f t="array" aca="1" ref="N437" ca="1">_FV(A437,"Industry")</f>
        <v>Biotechnology &amp; Medical Research</v>
      </c>
    </row>
    <row r="438" spans="1:14">
      <c r="A438" s="107" t="e" vm="500">
        <v>#VALUE!</v>
      </c>
      <c r="B438" s="33">
        <f t="array" aca="1" ref="B438" ca="1">_FV(A438,"Change (%)",TRUE)</f>
        <v>5.2459999999999998E-3</v>
      </c>
      <c r="C438" s="35">
        <f t="array" aca="1" ref="C438" ca="1">_FV(A438,"Previous close",TRUE)</f>
        <v>733.85</v>
      </c>
      <c r="D438" s="35">
        <f t="array" aca="1" ref="D438" ca="1">_FV(A438,"Price")</f>
        <v>737.7</v>
      </c>
      <c r="E438" s="35">
        <f t="array" aca="1" ref="E438" ca="1">_FV(A438,"Low")</f>
        <v>727</v>
      </c>
      <c r="F438" s="35">
        <f t="array" aca="1" ref="F438" ca="1">_FV(A438,"High")</f>
        <v>741.9</v>
      </c>
      <c r="G438" s="35">
        <f t="array" aca="1" ref="G438" ca="1">_FV(A438,"52 week low",TRUE)</f>
        <v>370</v>
      </c>
      <c r="H438" s="36">
        <f t="array" aca="1" ref="H438" ca="1">_FV(A438,"52 week high",TRUE)</f>
        <v>909.9</v>
      </c>
      <c r="I438" s="40">
        <f t="shared" ca="1" si="24"/>
        <v>18.925156610616543</v>
      </c>
      <c r="J438" s="39" t="str">
        <f t="shared" ca="1" si="25"/>
        <v>WATCH</v>
      </c>
      <c r="K438" s="54">
        <f t="shared" ca="1" si="26"/>
        <v>-99.3783783783784</v>
      </c>
      <c r="L438" s="20">
        <f t="array" aca="1" ref="L438" ca="1">_FV(A438,"Market cap",TRUE)/10000000</f>
        <v>14139.53</v>
      </c>
      <c r="M438" s="21" t="str">
        <f t="shared" ca="1" si="27"/>
        <v>MC</v>
      </c>
      <c r="N438" s="37" t="str">
        <f t="array" aca="1" ref="N438" ca="1">_FV(A438,"Industry")</f>
        <v>Electronic Equipment &amp; Parts</v>
      </c>
    </row>
    <row r="439" spans="1:14">
      <c r="A439" s="107" t="e" vm="501">
        <v>#VALUE!</v>
      </c>
      <c r="B439" s="33">
        <f t="array" aca="1" ref="B439" ca="1">_FV(A439,"Change (%)",TRUE)</f>
        <v>-1.82E-3</v>
      </c>
      <c r="C439" s="35">
        <f t="array" aca="1" ref="C439" ca="1">_FV(A439,"Previous close",TRUE)</f>
        <v>1703.5</v>
      </c>
      <c r="D439" s="35">
        <f t="array" aca="1" ref="D439" ca="1">_FV(A439,"Price")</f>
        <v>1700.4</v>
      </c>
      <c r="E439" s="35">
        <f t="array" aca="1" ref="E439" ca="1">_FV(A439,"Low")</f>
        <v>1682.5</v>
      </c>
      <c r="F439" s="35">
        <f t="array" aca="1" ref="F439" ca="1">_FV(A439,"High")</f>
        <v>1720</v>
      </c>
      <c r="G439" s="35">
        <f t="array" aca="1" ref="G439" ca="1">_FV(A439,"52 week low",TRUE)</f>
        <v>996</v>
      </c>
      <c r="H439" s="36">
        <f t="array" aca="1" ref="H439" ca="1">_FV(A439,"52 week high",TRUE)</f>
        <v>1845.55</v>
      </c>
      <c r="I439" s="40">
        <f t="shared" ca="1" si="24"/>
        <v>7.8648641326433779</v>
      </c>
      <c r="J439" s="39" t="str">
        <f t="shared" ca="1" si="25"/>
        <v>WATCH</v>
      </c>
      <c r="K439" s="54">
        <f t="shared" ca="1" si="26"/>
        <v>-70.722891566265076</v>
      </c>
      <c r="L439" s="20">
        <f t="array" aca="1" ref="L439" ca="1">_FV(A439,"Market cap",TRUE)/10000000</f>
        <v>18128.98</v>
      </c>
      <c r="M439" s="21" t="str">
        <f t="shared" ca="1" si="27"/>
        <v>MC</v>
      </c>
      <c r="N439" s="37" t="str">
        <f t="array" aca="1" ref="N439" ca="1">_FV(A439,"Industry")</f>
        <v>Hotels &amp; Entertainment Services</v>
      </c>
    </row>
    <row r="440" spans="1:14">
      <c r="A440" s="107" t="e" vm="182">
        <v>#VALUE!</v>
      </c>
      <c r="B440" s="33">
        <f t="array" aca="1" ref="B440" ca="1">_FV(A440,"Change (%)",TRUE)</f>
        <v>-8.4849999999999995E-3</v>
      </c>
      <c r="C440" s="35">
        <f t="array" aca="1" ref="C440" ca="1">_FV(A440,"Previous close",TRUE)</f>
        <v>3665.2</v>
      </c>
      <c r="D440" s="35">
        <f t="array" aca="1" ref="D440" ca="1">_FV(A440,"Price")</f>
        <v>3634.1</v>
      </c>
      <c r="E440" s="35">
        <f t="array" aca="1" ref="E440" ca="1">_FV(A440,"Low")</f>
        <v>3626.4</v>
      </c>
      <c r="F440" s="35">
        <f t="array" aca="1" ref="F440" ca="1">_FV(A440,"High")</f>
        <v>3675.1</v>
      </c>
      <c r="G440" s="35">
        <f t="array" aca="1" ref="G440" ca="1">_FV(A440,"52 week low",TRUE)</f>
        <v>2171.4</v>
      </c>
      <c r="H440" s="36">
        <f t="array" aca="1" ref="H440" ca="1">_FV(A440,"52 week high",TRUE)</f>
        <v>3734.9</v>
      </c>
      <c r="I440" s="40">
        <f t="shared" ca="1" si="24"/>
        <v>2.6988674395566195</v>
      </c>
      <c r="J440" s="39" t="str">
        <f t="shared" ca="1" si="25"/>
        <v>WATCH</v>
      </c>
      <c r="K440" s="54">
        <f t="shared" ca="1" si="26"/>
        <v>-67.362070553559903</v>
      </c>
      <c r="L440" s="20">
        <f t="array" aca="1" ref="L440" ca="1">_FV(A440,"Market cap",TRUE)/10000000</f>
        <v>174067.4</v>
      </c>
      <c r="M440" s="21" t="str">
        <f t="shared" ca="1" si="27"/>
        <v>LC</v>
      </c>
      <c r="N440" s="37" t="str">
        <f t="array" aca="1" ref="N440" ca="1">_FV(A440,"Industry")</f>
        <v>Automobiles &amp; Auto Parts</v>
      </c>
    </row>
    <row r="441" spans="1:14">
      <c r="A441" s="107" t="e" vm="115">
        <v>#VALUE!</v>
      </c>
      <c r="B441" s="33">
        <f t="array" aca="1" ref="B441" ca="1">_FV(A441,"Change (%)",TRUE)</f>
        <v>-3.2009999999999999E-3</v>
      </c>
      <c r="C441" s="35">
        <f t="array" aca="1" ref="C441" ca="1">_FV(A441,"Previous close",TRUE)</f>
        <v>765.45</v>
      </c>
      <c r="D441" s="35">
        <f t="array" aca="1" ref="D441" ca="1">_FV(A441,"Price")</f>
        <v>763</v>
      </c>
      <c r="E441" s="35">
        <f t="array" aca="1" ref="E441" ca="1">_FV(A441,"Low")</f>
        <v>758</v>
      </c>
      <c r="F441" s="35">
        <f t="array" aca="1" ref="F441" ca="1">_FV(A441,"High")</f>
        <v>772.7</v>
      </c>
      <c r="G441" s="35">
        <f t="array" aca="1" ref="G441" ca="1">_FV(A441,"52 week low",TRUE)</f>
        <v>745.1</v>
      </c>
      <c r="H441" s="36">
        <f t="array" aca="1" ref="H441" ca="1">_FV(A441,"52 week high",TRUE)</f>
        <v>1107</v>
      </c>
      <c r="I441" s="40">
        <f t="shared" ca="1" si="24"/>
        <v>31.074977416440831</v>
      </c>
      <c r="J441" s="39" t="str">
        <f t="shared" ca="1" si="25"/>
        <v>MC BUY</v>
      </c>
      <c r="K441" s="54">
        <f t="shared" ca="1" si="26"/>
        <v>-2.4023620990471048</v>
      </c>
      <c r="L441" s="20">
        <f t="array" aca="1" ref="L441" ca="1">_FV(A441,"Market cap",TRUE)/10000000</f>
        <v>19500.32</v>
      </c>
      <c r="M441" s="21" t="str">
        <f t="shared" ca="1" si="27"/>
        <v>MC</v>
      </c>
      <c r="N441" s="37" t="str">
        <f t="array" aca="1" ref="N441" ca="1">_FV(A441,"Industry")</f>
        <v>Chemicals</v>
      </c>
    </row>
    <row r="442" spans="1:14">
      <c r="A442" s="107" t="e" vm="502">
        <v>#VALUE!</v>
      </c>
      <c r="B442" s="33">
        <f t="array" aca="1" ref="B442" ca="1">_FV(A442,"Change (%)",TRUE)</f>
        <v>3.4999999999999996E-3</v>
      </c>
      <c r="C442" s="35">
        <f t="array" aca="1" ref="C442" ca="1">_FV(A442,"Previous close",TRUE)</f>
        <v>1771.4</v>
      </c>
      <c r="D442" s="35">
        <f t="array" aca="1" ref="D442" ca="1">_FV(A442,"Price")</f>
        <v>1777.6</v>
      </c>
      <c r="E442" s="35">
        <f t="array" aca="1" ref="E442" ca="1">_FV(A442,"Low")</f>
        <v>1770.1</v>
      </c>
      <c r="F442" s="35">
        <f t="array" aca="1" ref="F442" ca="1">_FV(A442,"High")</f>
        <v>1804.4</v>
      </c>
      <c r="G442" s="35">
        <f t="array" aca="1" ref="G442" ca="1">_FV(A442,"52 week low",TRUE)</f>
        <v>1291</v>
      </c>
      <c r="H442" s="36">
        <f t="array" aca="1" ref="H442" ca="1">_FV(A442,"52 week high",TRUE)</f>
        <v>2004</v>
      </c>
      <c r="I442" s="40">
        <f t="shared" ca="1" si="24"/>
        <v>11.297405189620761</v>
      </c>
      <c r="J442" s="39" t="str">
        <f t="shared" ca="1" si="25"/>
        <v>WATCH</v>
      </c>
      <c r="K442" s="54">
        <f t="shared" ca="1" si="26"/>
        <v>-37.691711851278072</v>
      </c>
      <c r="L442" s="20">
        <f t="array" aca="1" ref="L442" ca="1">_FV(A442,"Market cap",TRUE)/10000000</f>
        <v>50484.9</v>
      </c>
      <c r="M442" s="21" t="str">
        <f t="shared" ca="1" si="27"/>
        <v>HMC</v>
      </c>
      <c r="N442" s="37" t="str">
        <f t="array" aca="1" ref="N442" ca="1">_FV(A442,"Industry")</f>
        <v>Telecommunications Services</v>
      </c>
    </row>
    <row r="443" spans="1:14">
      <c r="A443" s="107" t="e" vm="121">
        <v>#VALUE!</v>
      </c>
      <c r="B443" s="33">
        <f t="array" aca="1" ref="B443" ca="1">_FV(A443,"Change (%)",TRUE)</f>
        <v>-1.1751000000000001E-2</v>
      </c>
      <c r="C443" s="35">
        <f t="array" aca="1" ref="C443" ca="1">_FV(A443,"Previous close",TRUE)</f>
        <v>3319</v>
      </c>
      <c r="D443" s="35">
        <f t="array" aca="1" ref="D443" ca="1">_FV(A443,"Price")</f>
        <v>3280</v>
      </c>
      <c r="E443" s="35">
        <f t="array" aca="1" ref="E443" ca="1">_FV(A443,"Low")</f>
        <v>3271.8</v>
      </c>
      <c r="F443" s="35">
        <f t="array" aca="1" ref="F443" ca="1">_FV(A443,"High")</f>
        <v>3320</v>
      </c>
      <c r="G443" s="35">
        <f t="array" aca="1" ref="G443" ca="1">_FV(A443,"52 week low",TRUE)</f>
        <v>2866.6</v>
      </c>
      <c r="H443" s="36">
        <f t="array" aca="1" ref="H443" ca="1">_FV(A443,"52 week high",TRUE)</f>
        <v>4255.12</v>
      </c>
      <c r="I443" s="40">
        <f t="shared" ca="1" si="24"/>
        <v>22.916392487168398</v>
      </c>
      <c r="J443" s="39" t="str">
        <f t="shared" ca="1" si="25"/>
        <v>SURE HLC BUY</v>
      </c>
      <c r="K443" s="54">
        <f t="shared" ca="1" si="26"/>
        <v>-14.421265610828161</v>
      </c>
      <c r="L443" s="20">
        <f t="array" aca="1" ref="L443" ca="1">_FV(A443,"Market cap",TRUE)/10000000</f>
        <v>1186733</v>
      </c>
      <c r="M443" s="21" t="str">
        <f t="shared" ca="1" si="27"/>
        <v>HLC</v>
      </c>
      <c r="N443" s="37" t="str">
        <f t="array" aca="1" ref="N443" ca="1">_FV(A443,"Industry")</f>
        <v>Software &amp; IT Services</v>
      </c>
    </row>
    <row r="444" spans="1:14">
      <c r="A444" s="107" t="e" vm="116">
        <v>#VALUE!</v>
      </c>
      <c r="B444" s="33">
        <f t="array" aca="1" ref="B444" ca="1">_FV(A444,"Change (%)",TRUE)</f>
        <v>-2.9680000000000002E-3</v>
      </c>
      <c r="C444" s="35">
        <f t="array" aca="1" ref="C444" ca="1">_FV(A444,"Previous close",TRUE)</f>
        <v>1179.2</v>
      </c>
      <c r="D444" s="35">
        <f t="array" aca="1" ref="D444" ca="1">_FV(A444,"Price")</f>
        <v>1175.7</v>
      </c>
      <c r="E444" s="35">
        <f t="array" aca="1" ref="E444" ca="1">_FV(A444,"Low")</f>
        <v>1172</v>
      </c>
      <c r="F444" s="35">
        <f t="array" aca="1" ref="F444" ca="1">_FV(A444,"High")</f>
        <v>1179.8</v>
      </c>
      <c r="G444" s="35">
        <f t="array" aca="1" ref="G444" ca="1">_FV(A444,"52 week low",TRUE)</f>
        <v>890</v>
      </c>
      <c r="H444" s="36">
        <f t="array" aca="1" ref="H444" ca="1">_FV(A444,"52 week high",TRUE)</f>
        <v>1202.8</v>
      </c>
      <c r="I444" s="40">
        <f t="shared" ca="1" si="24"/>
        <v>2.2530761556368399</v>
      </c>
      <c r="J444" s="39" t="str">
        <f t="shared" ca="1" si="25"/>
        <v>WATCH</v>
      </c>
      <c r="K444" s="54">
        <f t="shared" ca="1" si="26"/>
        <v>-32.101123595505619</v>
      </c>
      <c r="L444" s="20">
        <f t="array" aca="1" ref="L444" ca="1">_FV(A444,"Market cap",TRUE)/10000000</f>
        <v>116687.3</v>
      </c>
      <c r="M444" s="21" t="str">
        <f t="shared" ca="1" si="27"/>
        <v>LC</v>
      </c>
      <c r="N444" s="37" t="str">
        <f t="array" aca="1" ref="N444" ca="1">_FV(A444,"Industry")</f>
        <v>Food &amp; Tobacco</v>
      </c>
    </row>
    <row r="445" spans="1:14">
      <c r="A445" s="107" t="e" vm="117">
        <v>#VALUE!</v>
      </c>
      <c r="B445" s="33">
        <f t="array" aca="1" ref="B445" ca="1">_FV(A445,"Change (%)",TRUE)</f>
        <v>-7.332E-3</v>
      </c>
      <c r="C445" s="35">
        <f t="array" aca="1" ref="C445" ca="1">_FV(A445,"Previous close",TRUE)</f>
        <v>5387.5</v>
      </c>
      <c r="D445" s="35">
        <f t="array" aca="1" ref="D445" ca="1">_FV(A445,"Price")</f>
        <v>5348</v>
      </c>
      <c r="E445" s="35">
        <f t="array" aca="1" ref="E445" ca="1">_FV(A445,"Low")</f>
        <v>5335</v>
      </c>
      <c r="F445" s="35">
        <f t="array" aca="1" ref="F445" ca="1">_FV(A445,"High")</f>
        <v>5425</v>
      </c>
      <c r="G445" s="35">
        <f t="array" aca="1" ref="G445" ca="1">_FV(A445,"52 week low",TRUE)</f>
        <v>4700</v>
      </c>
      <c r="H445" s="36">
        <f t="array" aca="1" ref="H445" ca="1">_FV(A445,"52 week high",TRUE)</f>
        <v>7037.7</v>
      </c>
      <c r="I445" s="40">
        <f t="shared" ca="1" si="24"/>
        <v>24.009264390354801</v>
      </c>
      <c r="J445" s="39" t="str">
        <f t="shared" ca="1" si="25"/>
        <v>FIRST MC BUY</v>
      </c>
      <c r="K445" s="54">
        <f t="shared" ca="1" si="26"/>
        <v>-13.787234042553191</v>
      </c>
      <c r="L445" s="20">
        <f t="array" aca="1" ref="L445" ca="1">_FV(A445,"Market cap",TRUE)/10000000</f>
        <v>33561.550000000003</v>
      </c>
      <c r="M445" s="21" t="str">
        <f t="shared" ca="1" si="27"/>
        <v>MC</v>
      </c>
      <c r="N445" s="37" t="str">
        <f t="array" aca="1" ref="N445" ca="1">_FV(A445,"Industry")</f>
        <v>Software &amp; IT Services</v>
      </c>
    </row>
    <row r="446" spans="1:14">
      <c r="A446" s="107" t="e" vm="503">
        <v>#VALUE!</v>
      </c>
      <c r="B446" s="33">
        <f t="array" aca="1" ref="B446" ca="1">_FV(A446,"Change (%)",TRUE)</f>
        <v>-6.8100000000000001E-3</v>
      </c>
      <c r="C446" s="35">
        <f t="array" aca="1" ref="C446" ca="1">_FV(A446,"Previous close",TRUE)</f>
        <v>712.15</v>
      </c>
      <c r="D446" s="35">
        <f t="array" aca="1" ref="D446" ca="1">_FV(A446,"Price")</f>
        <v>707.3</v>
      </c>
      <c r="E446" s="35">
        <f t="array" aca="1" ref="E446" ca="1">_FV(A446,"Low")</f>
        <v>704.65</v>
      </c>
      <c r="F446" s="35">
        <f t="array" aca="1" ref="F446" ca="1">_FV(A446,"High")</f>
        <v>712.85</v>
      </c>
      <c r="G446" s="35">
        <f t="array" aca="1" ref="G446" ca="1">_FV(A446,"52 week low",TRUE)</f>
        <v>514.52</v>
      </c>
      <c r="H446" s="36">
        <f t="array" aca="1" ref="H446" ca="1">_FV(A446,"52 week high",TRUE)</f>
        <v>1184.7</v>
      </c>
      <c r="I446" s="40">
        <f t="shared" ca="1" si="24"/>
        <v>40.297121634168995</v>
      </c>
      <c r="J446" s="39" t="str">
        <f t="shared" ca="1" si="25"/>
        <v>SURE MC BUY</v>
      </c>
      <c r="K446" s="54">
        <f t="shared" ca="1" si="26"/>
        <v>-37.46793127575215</v>
      </c>
      <c r="L446" s="20">
        <f t="array" aca="1" ref="L446" ca="1">_FV(A446,"Market cap",TRUE)/10000000</f>
        <v>36031.440000000002</v>
      </c>
      <c r="M446" s="21" t="str">
        <f t="shared" ca="1" si="27"/>
        <v>MC</v>
      </c>
      <c r="N446" s="37" t="str">
        <f t="array" aca="1" ref="N446" ca="1">_FV(A446,"Industry")</f>
        <v>Investment Banking &amp; Investment Services</v>
      </c>
    </row>
    <row r="447" spans="1:14">
      <c r="A447" s="107" t="e" vm="126">
        <v>#VALUE!</v>
      </c>
      <c r="B447" s="33">
        <f t="array" aca="1" ref="B447" ca="1">_FV(A447,"Change (%)",TRUE)</f>
        <v>-1.114E-3</v>
      </c>
      <c r="C447" s="35">
        <f t="array" aca="1" ref="C447" ca="1">_FV(A447,"Previous close",TRUE)</f>
        <v>359.2</v>
      </c>
      <c r="D447" s="35">
        <f t="array" aca="1" ref="D447" ca="1">_FV(A447,"Price")</f>
        <v>358.8</v>
      </c>
      <c r="E447" s="35">
        <f t="array" aca="1" ref="E447" ca="1">_FV(A447,"Low")</f>
        <v>354.7</v>
      </c>
      <c r="F447" s="35">
        <f t="array" aca="1" ref="F447" ca="1">_FV(A447,"High")</f>
        <v>360.4</v>
      </c>
      <c r="G447" s="35">
        <f t="array" aca="1" ref="G447" ca="1">_FV(A447,"52 week low",TRUE)</f>
        <v>324.33</v>
      </c>
      <c r="H447" s="36">
        <f t="array" aca="1" ref="H447" ca="1">_FV(A447,"52 week high",TRUE)</f>
        <v>490.35</v>
      </c>
      <c r="I447" s="40">
        <f t="shared" ca="1" si="24"/>
        <v>26.827776078311413</v>
      </c>
      <c r="J447" s="39" t="str">
        <f t="shared" ca="1" si="25"/>
        <v>SURE LC BUY</v>
      </c>
      <c r="K447" s="54">
        <f t="shared" ca="1" si="26"/>
        <v>-10.628064008879853</v>
      </c>
      <c r="L447" s="20">
        <f t="array" aca="1" ref="L447" ca="1">_FV(A447,"Market cap",TRUE)/10000000</f>
        <v>132269.29999999999</v>
      </c>
      <c r="M447" s="21" t="str">
        <f t="shared" ca="1" si="27"/>
        <v>LC</v>
      </c>
      <c r="N447" s="37" t="str">
        <f t="array" aca="1" ref="N447" ca="1">_FV(A447,"Industry")</f>
        <v>Automobiles &amp; Auto Parts</v>
      </c>
    </row>
    <row r="448" spans="1:14">
      <c r="A448" s="107" t="e" vm="118">
        <v>#VALUE!</v>
      </c>
      <c r="B448" s="33">
        <f t="array" aca="1" ref="B448" ca="1">_FV(A448,"Change (%)",TRUE)</f>
        <v>-3.9500000000000001E-4</v>
      </c>
      <c r="C448" s="35">
        <f t="array" aca="1" ref="C448" ca="1">_FV(A448,"Previous close",TRUE)</f>
        <v>379.7</v>
      </c>
      <c r="D448" s="35">
        <f t="array" aca="1" ref="D448" ca="1">_FV(A448,"Price")</f>
        <v>379.55</v>
      </c>
      <c r="E448" s="35">
        <f t="array" aca="1" ref="E448" ca="1">_FV(A448,"Low")</f>
        <v>378.1</v>
      </c>
      <c r="F448" s="35">
        <f t="array" aca="1" ref="F448" ca="1">_FV(A448,"High")</f>
        <v>381.9</v>
      </c>
      <c r="G448" s="35">
        <f t="array" aca="1" ref="G448" ca="1">_FV(A448,"52 week low",TRUE)</f>
        <v>326.35000000000002</v>
      </c>
      <c r="H448" s="36">
        <f t="array" aca="1" ref="H448" ca="1">_FV(A448,"52 week high",TRUE)</f>
        <v>416.8</v>
      </c>
      <c r="I448" s="40">
        <f t="shared" ref="I448:I500" ca="1" si="28">(H448-D448)*100/H448</f>
        <v>8.9371401151631478</v>
      </c>
      <c r="J448" s="39" t="str">
        <f t="shared" ref="J448:J500" ca="1" si="29">IF(AND(M448="HLC", I448&gt;12), "SURE HLC BUY",IF(AND(M448="HLC", I448&gt;7), "FIRST HLC BUY",IF(AND(M448="LC", I448&gt;20), "SURE LC BUY",IF(AND(M448="LC", I448&gt;10), "LC BUY",IF(AND(M448="HMC", I448&gt;30), "SURE HMC BUY",IF(AND(M448="HMC", I448&gt;20), "HMC BUY",IF(AND(M448="HMC", I448&gt;15), "FIRST HMC BUY",IF(AND(M448="MC", I448&gt;40), "SURE MC BUY",IF(AND(M448="MC", I448&gt;30), "MC BUY",IF(AND(M448="MC", I448&gt;20), "FIRST MC BUY",IF(AND(M448="HSC", I448&gt;60), "SURE HSC BUY",IF(AND(M448="HSC", I448&gt;50), "HSC BUY",IF(AND(M448="HSC", I448&gt;40), "FIRST HSC BUY",IF(AND(M448="SC", I448&gt;70), "SURE SC BUY",IF(AND(M448="SC", I448&gt;60), "SC BUY",IF(AND(M448="SC", I448&gt;50), "FIRST SC BUY",IF(AND(M448="VSC", I448&gt;80), "SURE VSC BUY",IF(AND(M448="VSC", I448&gt;70), "VSC BUY",IF(AND(M448="VSC", I448&gt;60), "FIRST VSC BUY","WATCH")))))))))))))))))))</f>
        <v>WATCH</v>
      </c>
      <c r="K448" s="54">
        <f t="shared" ref="K448:K500" ca="1" si="30">(G448-D448)*100/G448</f>
        <v>-16.301516776466979</v>
      </c>
      <c r="L448" s="20">
        <f t="array" aca="1" ref="L448" ca="1">_FV(A448,"Market cap",TRUE)/10000000</f>
        <v>121327</v>
      </c>
      <c r="M448" s="21" t="str">
        <f t="shared" ref="M448:M500" ca="1" si="31">IF(L448&gt;500000,"HLC",IF(L448 &gt;100000,"LC",IF(L448 &gt;40000,"HMC",IF(L448 &gt;10000,"MC",IF(L448 &gt;=5000,"HSC",IF(L448 &gt;1000,"SC","VSC"))))))</f>
        <v>LC</v>
      </c>
      <c r="N448" s="37" t="str">
        <f t="array" aca="1" ref="N448" ca="1">_FV(A448,"Industry")</f>
        <v>Electrical Utilities &amp; IPPs</v>
      </c>
    </row>
    <row r="449" spans="1:14">
      <c r="A449" s="107" t="e" vm="119">
        <v>#VALUE!</v>
      </c>
      <c r="B449" s="33">
        <f t="array" aca="1" ref="B449" ca="1">_FV(A449,"Change (%)",TRUE)</f>
        <v>-5.5859999999999998E-3</v>
      </c>
      <c r="C449" s="35">
        <f t="array" aca="1" ref="C449" ca="1">_FV(A449,"Previous close",TRUE)</f>
        <v>170.07</v>
      </c>
      <c r="D449" s="35">
        <f t="array" aca="1" ref="D449" ca="1">_FV(A449,"Price")</f>
        <v>169.12</v>
      </c>
      <c r="E449" s="35">
        <f t="array" aca="1" ref="E449" ca="1">_FV(A449,"Low")</f>
        <v>167.82</v>
      </c>
      <c r="F449" s="35">
        <f t="array" aca="1" ref="F449" ca="1">_FV(A449,"High")</f>
        <v>169.9</v>
      </c>
      <c r="G449" s="35">
        <f t="array" aca="1" ref="G449" ca="1">_FV(A449,"52 week low",TRUE)</f>
        <v>122.62</v>
      </c>
      <c r="H449" s="36">
        <f t="array" aca="1" ref="H449" ca="1">_FV(A449,"52 week high",TRUE)</f>
        <v>186.94</v>
      </c>
      <c r="I449" s="40">
        <f t="shared" ca="1" si="28"/>
        <v>9.5324703113298348</v>
      </c>
      <c r="J449" s="39" t="str">
        <f t="shared" ca="1" si="29"/>
        <v>WATCH</v>
      </c>
      <c r="K449" s="54">
        <f t="shared" ca="1" si="30"/>
        <v>-37.92203555700538</v>
      </c>
      <c r="L449" s="20">
        <f t="array" aca="1" ref="L449" ca="1">_FV(A449,"Market cap",TRUE)/10000000</f>
        <v>212307.4</v>
      </c>
      <c r="M449" s="21" t="str">
        <f t="shared" ca="1" si="31"/>
        <v>LC</v>
      </c>
      <c r="N449" s="37" t="str">
        <f t="array" aca="1" ref="N449" ca="1">_FV(A449,"Industry")</f>
        <v>Metals &amp; Mining</v>
      </c>
    </row>
    <row r="450" spans="1:14">
      <c r="A450" s="107" t="e" vm="120">
        <v>#VALUE!</v>
      </c>
      <c r="B450" s="33">
        <f t="array" aca="1" ref="B450" ca="1">_FV(A450,"Change (%)",TRUE)</f>
        <v>-4.6379999999999998E-3</v>
      </c>
      <c r="C450" s="35">
        <f t="array" aca="1" ref="C450" ca="1">_FV(A450,"Previous close",TRUE)</f>
        <v>657.6</v>
      </c>
      <c r="D450" s="35">
        <f t="array" aca="1" ref="D450" ca="1">_FV(A450,"Price")</f>
        <v>654.54999999999995</v>
      </c>
      <c r="E450" s="35">
        <f t="array" aca="1" ref="E450" ca="1">_FV(A450,"Low")</f>
        <v>652.45000000000005</v>
      </c>
      <c r="F450" s="35">
        <f t="array" aca="1" ref="F450" ca="1">_FV(A450,"High")</f>
        <v>662.05</v>
      </c>
      <c r="G450" s="35">
        <f t="array" aca="1" ref="G450" ca="1">_FV(A450,"52 week low",TRUE)</f>
        <v>594.35</v>
      </c>
      <c r="H450" s="36">
        <f t="array" aca="1" ref="H450" ca="1">_FV(A450,"52 week high",TRUE)</f>
        <v>918.8</v>
      </c>
      <c r="I450" s="40">
        <f t="shared" ca="1" si="28"/>
        <v>28.760339573356553</v>
      </c>
      <c r="J450" s="39" t="str">
        <f t="shared" ca="1" si="29"/>
        <v>FIRST MC BUY</v>
      </c>
      <c r="K450" s="54">
        <f t="shared" ca="1" si="30"/>
        <v>-10.128712038361222</v>
      </c>
      <c r="L450" s="20">
        <f t="array" aca="1" ref="L450" ca="1">_FV(A450,"Market cap",TRUE)/10000000</f>
        <v>26681.7</v>
      </c>
      <c r="M450" s="21" t="str">
        <f t="shared" ca="1" si="31"/>
        <v>MC</v>
      </c>
      <c r="N450" s="37" t="str">
        <f t="array" aca="1" ref="N450" ca="1">_FV(A450,"Industry")</f>
        <v>Integrated Hardware &amp; Software</v>
      </c>
    </row>
    <row r="451" spans="1:14">
      <c r="A451" s="107" t="e" vm="504">
        <v>#VALUE!</v>
      </c>
      <c r="B451" s="33">
        <f t="array" aca="1" ref="B451" ca="1">_FV(A451,"Change (%)",TRUE)</f>
        <v>-1.6284E-2</v>
      </c>
      <c r="C451" s="35">
        <f t="array" aca="1" ref="C451" ca="1">_FV(A451,"Previous close",TRUE)</f>
        <v>50.97</v>
      </c>
      <c r="D451" s="35">
        <f t="array" aca="1" ref="D451" ca="1">_FV(A451,"Price")</f>
        <v>50.14</v>
      </c>
      <c r="E451" s="35">
        <f t="array" aca="1" ref="E451" ca="1">_FV(A451,"Low")</f>
        <v>50.05</v>
      </c>
      <c r="F451" s="35">
        <f t="array" aca="1" ref="F451" ca="1">_FV(A451,"High")</f>
        <v>50.68</v>
      </c>
      <c r="G451" s="35">
        <f t="array" aca="1" ref="G451" ca="1">_FV(A451,"52 week low",TRUE)</f>
        <v>44.52</v>
      </c>
      <c r="H451" s="36">
        <f t="array" aca="1" ref="H451" ca="1">_FV(A451,"52 week high",TRUE)</f>
        <v>84.5</v>
      </c>
      <c r="I451" s="40">
        <f t="shared" ca="1" si="28"/>
        <v>40.662721893491124</v>
      </c>
      <c r="J451" s="39" t="str">
        <f t="shared" ca="1" si="29"/>
        <v>FIRST HSC BUY</v>
      </c>
      <c r="K451" s="54">
        <f t="shared" ca="1" si="30"/>
        <v>-12.623539982030541</v>
      </c>
      <c r="L451" s="20">
        <f t="array" aca="1" ref="L451" ca="1">_FV(A451,"Market cap",TRUE)/10000000</f>
        <v>9964.2659999999996</v>
      </c>
      <c r="M451" s="21" t="str">
        <f t="shared" ca="1" si="31"/>
        <v>HSC</v>
      </c>
      <c r="N451" s="37" t="str">
        <f t="array" aca="1" ref="N451" ca="1">_FV(A451,"Industry")</f>
        <v>Telecommunications Services</v>
      </c>
    </row>
    <row r="452" spans="1:14">
      <c r="A452" s="107" t="e" vm="122">
        <v>#VALUE!</v>
      </c>
      <c r="B452" s="33">
        <f t="array" aca="1" ref="B452" ca="1">_FV(A452,"Change (%)",TRUE)</f>
        <v>-1.1768000000000001E-2</v>
      </c>
      <c r="C452" s="35">
        <f t="array" aca="1" ref="C452" ca="1">_FV(A452,"Previous close",TRUE)</f>
        <v>1631.5</v>
      </c>
      <c r="D452" s="35">
        <f t="array" aca="1" ref="D452" ca="1">_FV(A452,"Price")</f>
        <v>1612.3</v>
      </c>
      <c r="E452" s="35">
        <f t="array" aca="1" ref="E452" ca="1">_FV(A452,"Low")</f>
        <v>1608</v>
      </c>
      <c r="F452" s="35">
        <f t="array" aca="1" ref="F452" ca="1">_FV(A452,"High")</f>
        <v>1633.7</v>
      </c>
      <c r="G452" s="35">
        <f t="array" aca="1" ref="G452" ca="1">_FV(A452,"52 week low",TRUE)</f>
        <v>1209.4000000000001</v>
      </c>
      <c r="H452" s="36">
        <f t="array" aca="1" ref="H452" ca="1">_FV(A452,"52 week high",TRUE)</f>
        <v>1773.6</v>
      </c>
      <c r="I452" s="40">
        <f t="shared" ca="1" si="28"/>
        <v>9.0944970681100568</v>
      </c>
      <c r="J452" s="39" t="str">
        <f t="shared" ca="1" si="29"/>
        <v>WATCH</v>
      </c>
      <c r="K452" s="54">
        <f t="shared" ca="1" si="30"/>
        <v>-33.314040019844533</v>
      </c>
      <c r="L452" s="20">
        <f t="array" aca="1" ref="L452" ca="1">_FV(A452,"Market cap",TRUE)/10000000</f>
        <v>159841.5</v>
      </c>
      <c r="M452" s="21" t="str">
        <f t="shared" ca="1" si="31"/>
        <v>LC</v>
      </c>
      <c r="N452" s="37" t="str">
        <f t="array" aca="1" ref="N452" ca="1">_FV(A452,"Industry")</f>
        <v>Software &amp; IT Services</v>
      </c>
    </row>
    <row r="453" spans="1:14">
      <c r="A453" s="107" t="e" vm="505">
        <v>#VALUE!</v>
      </c>
      <c r="B453" s="33">
        <f t="array" aca="1" ref="B453" ca="1">_FV(A453,"Change (%)",TRUE)</f>
        <v>-1.7557E-2</v>
      </c>
      <c r="C453" s="35">
        <f t="array" aca="1" ref="C453" ca="1">_FV(A453,"Previous close",TRUE)</f>
        <v>1105</v>
      </c>
      <c r="D453" s="35">
        <f t="array" aca="1" ref="D453" ca="1">_FV(A453,"Price")</f>
        <v>1085.5999999999999</v>
      </c>
      <c r="E453" s="35">
        <f t="array" aca="1" ref="E453" ca="1">_FV(A453,"Low")</f>
        <v>1083.3</v>
      </c>
      <c r="F453" s="35">
        <f t="array" aca="1" ref="F453" ca="1">_FV(A453,"High")</f>
        <v>1107.5999999999999</v>
      </c>
      <c r="G453" s="35">
        <f t="array" aca="1" ref="G453" ca="1">_FV(A453,"52 week low",TRUE)</f>
        <v>785.15</v>
      </c>
      <c r="H453" s="36">
        <f t="array" aca="1" ref="H453" ca="1">_FV(A453,"52 week high",TRUE)</f>
        <v>1720</v>
      </c>
      <c r="I453" s="40">
        <f t="shared" ca="1" si="28"/>
        <v>36.883720930232563</v>
      </c>
      <c r="J453" s="39" t="str">
        <f t="shared" ca="1" si="29"/>
        <v>MC BUY</v>
      </c>
      <c r="K453" s="54">
        <f t="shared" ca="1" si="30"/>
        <v>-38.266573266254845</v>
      </c>
      <c r="L453" s="20">
        <f t="array" aca="1" ref="L453" ca="1">_FV(A453,"Market cap",TRUE)/10000000</f>
        <v>12851.1</v>
      </c>
      <c r="M453" s="21" t="str">
        <f t="shared" ca="1" si="31"/>
        <v>MC</v>
      </c>
      <c r="N453" s="37" t="str">
        <f t="array" aca="1" ref="N453" ca="1">_FV(A453,"Industry")</f>
        <v>Construction &amp; Engineering</v>
      </c>
    </row>
    <row r="454" spans="1:14">
      <c r="A454" s="107" t="e" vm="506">
        <v>#VALUE!</v>
      </c>
      <c r="B454" s="33">
        <f t="array" aca="1" ref="B454" ca="1">_FV(A454,"Change (%)",TRUE)</f>
        <v>-7.1899999999999993E-3</v>
      </c>
      <c r="C454" s="35">
        <f t="array" aca="1" ref="C454" ca="1">_FV(A454,"Previous close",TRUE)</f>
        <v>452</v>
      </c>
      <c r="D454" s="35">
        <f t="array" aca="1" ref="D454" ca="1">_FV(A454,"Price")</f>
        <v>448.75</v>
      </c>
      <c r="E454" s="35">
        <f t="array" aca="1" ref="E454" ca="1">_FV(A454,"Low")</f>
        <v>447.25</v>
      </c>
      <c r="F454" s="35">
        <f t="array" aca="1" ref="F454" ca="1">_FV(A454,"High")</f>
        <v>453</v>
      </c>
      <c r="G454" s="35">
        <f t="array" aca="1" ref="G454" ca="1">_FV(A454,"52 week low",TRUE)</f>
        <v>440</v>
      </c>
      <c r="H454" s="36">
        <f t="array" aca="1" ref="H454" ca="1">_FV(A454,"52 week high",TRUE)</f>
        <v>1258.8</v>
      </c>
      <c r="I454" s="40">
        <f t="shared" ca="1" si="28"/>
        <v>64.350969176993971</v>
      </c>
      <c r="J454" s="39" t="str">
        <f t="shared" ca="1" si="29"/>
        <v>SURE HSC BUY</v>
      </c>
      <c r="K454" s="54">
        <f t="shared" ca="1" si="30"/>
        <v>-1.9886363636363635</v>
      </c>
      <c r="L454" s="20">
        <f t="array" aca="1" ref="L454" ca="1">_FV(A454,"Market cap",TRUE)/10000000</f>
        <v>7990.01</v>
      </c>
      <c r="M454" s="21" t="str">
        <f t="shared" ca="1" si="31"/>
        <v>HSC</v>
      </c>
      <c r="N454" s="37" t="str">
        <f t="array" aca="1" ref="N454" ca="1">_FV(A454,"Industry")</f>
        <v>Communications &amp; Networking</v>
      </c>
    </row>
    <row r="455" spans="1:14">
      <c r="A455" s="107" t="e" vm="89">
        <v>#VALUE!</v>
      </c>
      <c r="B455" s="33">
        <f t="array" aca="1" ref="B455" ca="1">_FV(A455,"Change (%)",TRUE)</f>
        <v>2.2128000000000002E-2</v>
      </c>
      <c r="C455" s="35">
        <f t="array" aca="1" ref="C455" ca="1">_FV(A455,"Previous close",TRUE)</f>
        <v>150.49</v>
      </c>
      <c r="D455" s="35">
        <f t="array" aca="1" ref="D455" ca="1">_FV(A455,"Price")</f>
        <v>153.82</v>
      </c>
      <c r="E455" s="35">
        <f t="array" aca="1" ref="E455" ca="1">_FV(A455,"Low")</f>
        <v>150.13999999999999</v>
      </c>
      <c r="F455" s="35">
        <f t="array" aca="1" ref="F455" ca="1">_FV(A455,"High")</f>
        <v>157.58000000000001</v>
      </c>
      <c r="G455" s="35">
        <f t="array" aca="1" ref="G455" ca="1">_FV(A455,"52 week low",TRUE)</f>
        <v>135.6</v>
      </c>
      <c r="H455" s="36">
        <f t="array" aca="1" ref="H455" ca="1">_FV(A455,"52 week high",TRUE)</f>
        <v>214.74</v>
      </c>
      <c r="I455" s="40">
        <f t="shared" ca="1" si="28"/>
        <v>28.369190649157126</v>
      </c>
      <c r="J455" s="39" t="str">
        <f t="shared" ca="1" si="29"/>
        <v>FIRST MC BUY</v>
      </c>
      <c r="K455" s="54">
        <f t="shared" ca="1" si="30"/>
        <v>-13.436578171091446</v>
      </c>
      <c r="L455" s="20">
        <f t="array" aca="1" ref="L455" ca="1">_FV(A455,"Market cap",TRUE)/10000000</f>
        <v>24800.75</v>
      </c>
      <c r="M455" s="21" t="str">
        <f t="shared" ca="1" si="31"/>
        <v>MC</v>
      </c>
      <c r="N455" s="37" t="str">
        <f t="array" aca="1" ref="N455" ca="1">_FV(A455,"Industry")</f>
        <v>Insurance</v>
      </c>
    </row>
    <row r="456" spans="1:14">
      <c r="A456" s="107" t="e" vm="507">
        <v>#VALUE!</v>
      </c>
      <c r="B456" s="33">
        <f t="array" aca="1" ref="B456" ca="1">_FV(A456,"Change (%)",TRUE)</f>
        <v>2.6410000000000001E-3</v>
      </c>
      <c r="C456" s="35">
        <f t="array" aca="1" ref="C456" ca="1">_FV(A456,"Previous close",TRUE)</f>
        <v>1060.4000000000001</v>
      </c>
      <c r="D456" s="35">
        <f t="array" aca="1" ref="D456" ca="1">_FV(A456,"Price")</f>
        <v>1063.2</v>
      </c>
      <c r="E456" s="35">
        <f t="array" aca="1" ref="E456" ca="1">_FV(A456,"Low")</f>
        <v>1055.5999999999999</v>
      </c>
      <c r="F456" s="35">
        <f t="array" aca="1" ref="F456" ca="1">_FV(A456,"High")</f>
        <v>1087</v>
      </c>
      <c r="G456" s="35">
        <f t="array" aca="1" ref="G456" ca="1">_FV(A456,"52 week low",TRUE)</f>
        <v>788.2</v>
      </c>
      <c r="H456" s="36">
        <f t="array" aca="1" ref="H456" ca="1">_FV(A456,"52 week high",TRUE)</f>
        <v>1209</v>
      </c>
      <c r="I456" s="40">
        <f t="shared" ca="1" si="28"/>
        <v>12.059553349875927</v>
      </c>
      <c r="J456" s="39" t="str">
        <f t="shared" ca="1" si="29"/>
        <v>WATCH</v>
      </c>
      <c r="K456" s="54">
        <f t="shared" ca="1" si="30"/>
        <v>-34.889621923369702</v>
      </c>
      <c r="L456" s="20">
        <f t="array" aca="1" ref="L456" ca="1">_FV(A456,"Market cap",TRUE)/10000000</f>
        <v>25056.44</v>
      </c>
      <c r="M456" s="21" t="str">
        <f t="shared" ca="1" si="31"/>
        <v>MC</v>
      </c>
      <c r="N456" s="37" t="str">
        <f t="array" aca="1" ref="N456" ca="1">_FV(A456,"Industry")</f>
        <v>Construction Materials</v>
      </c>
    </row>
    <row r="457" spans="1:14">
      <c r="A457" s="107" t="e" vm="508">
        <v>#VALUE!</v>
      </c>
      <c r="B457" s="33">
        <f t="array" aca="1" ref="B457" ca="1">_FV(A457,"Change (%)",TRUE)</f>
        <v>3.9329999999999999E-3</v>
      </c>
      <c r="C457" s="35">
        <f t="array" aca="1" ref="C457" ca="1">_FV(A457,"Previous close",TRUE)</f>
        <v>3000.6</v>
      </c>
      <c r="D457" s="35">
        <f t="array" aca="1" ref="D457" ca="1">_FV(A457,"Price")</f>
        <v>3012.4</v>
      </c>
      <c r="E457" s="35">
        <f t="array" aca="1" ref="E457" ca="1">_FV(A457,"Low")</f>
        <v>2963.7</v>
      </c>
      <c r="F457" s="35">
        <f t="array" aca="1" ref="F457" ca="1">_FV(A457,"High")</f>
        <v>3017.1</v>
      </c>
      <c r="G457" s="35">
        <f t="array" aca="1" ref="G457" ca="1">_FV(A457,"52 week low",TRUE)</f>
        <v>2742.7</v>
      </c>
      <c r="H457" s="36">
        <f t="array" aca="1" ref="H457" ca="1">_FV(A457,"52 week high",TRUE)</f>
        <v>4670.95</v>
      </c>
      <c r="I457" s="40">
        <f t="shared" ca="1" si="28"/>
        <v>35.507766086128086</v>
      </c>
      <c r="J457" s="39" t="str">
        <f t="shared" ca="1" si="29"/>
        <v>MC BUY</v>
      </c>
      <c r="K457" s="54">
        <f t="shared" ca="1" si="30"/>
        <v>-9.833375870492592</v>
      </c>
      <c r="L457" s="20">
        <f t="array" aca="1" ref="L457" ca="1">_FV(A457,"Market cap",TRUE)/10000000</f>
        <v>33801.03</v>
      </c>
      <c r="M457" s="21" t="str">
        <f t="shared" ca="1" si="31"/>
        <v>MC</v>
      </c>
      <c r="N457" s="37" t="str">
        <f t="array" aca="1" ref="N457" ca="1">_FV(A457,"Industry")</f>
        <v>Machinery, Equipment &amp; Components</v>
      </c>
    </row>
    <row r="458" spans="1:14">
      <c r="A458" s="107" t="e" vm="509">
        <v>#VALUE!</v>
      </c>
      <c r="B458" s="33">
        <f t="array" aca="1" ref="B458" ca="1">_FV(A458,"Change (%)",TRUE)</f>
        <v>-2.5821999999999998E-2</v>
      </c>
      <c r="C458" s="35">
        <f t="array" aca="1" ref="C458" ca="1">_FV(A458,"Previous close",TRUE)</f>
        <v>3067.2</v>
      </c>
      <c r="D458" s="35">
        <f t="array" aca="1" ref="D458" ca="1">_FV(A458,"Price")</f>
        <v>2988</v>
      </c>
      <c r="E458" s="35">
        <f t="array" aca="1" ref="E458" ca="1">_FV(A458,"Low")</f>
        <v>2981.3</v>
      </c>
      <c r="F458" s="35">
        <f t="array" aca="1" ref="F458" ca="1">_FV(A458,"High")</f>
        <v>3094</v>
      </c>
      <c r="G458" s="35">
        <f t="array" aca="1" ref="G458" ca="1">_FV(A458,"52 week low",TRUE)</f>
        <v>2202</v>
      </c>
      <c r="H458" s="36">
        <f t="array" aca="1" ref="H458" ca="1">_FV(A458,"52 week high",TRUE)</f>
        <v>3575</v>
      </c>
      <c r="I458" s="40">
        <f t="shared" ca="1" si="28"/>
        <v>16.41958041958042</v>
      </c>
      <c r="J458" s="39" t="str">
        <f t="shared" ca="1" si="29"/>
        <v>WATCH</v>
      </c>
      <c r="K458" s="54">
        <f t="shared" ca="1" si="30"/>
        <v>-35.694822888283376</v>
      </c>
      <c r="L458" s="20">
        <f t="array" aca="1" ref="L458" ca="1">_FV(A458,"Market cap",TRUE)/10000000</f>
        <v>22475.360000000001</v>
      </c>
      <c r="M458" s="21" t="str">
        <f t="shared" ca="1" si="31"/>
        <v>MC</v>
      </c>
      <c r="N458" s="37" t="str">
        <f t="array" aca="1" ref="N458" ca="1">_FV(A458,"Industry")</f>
        <v>Machinery, Equipment &amp; Components</v>
      </c>
    </row>
    <row r="459" spans="1:14">
      <c r="A459" s="107" t="e" vm="123">
        <v>#VALUE!</v>
      </c>
      <c r="B459" s="33">
        <f t="array" aca="1" ref="B459" ca="1">_FV(A459,"Change (%)",TRUE)</f>
        <v>5.0491000000000001E-2</v>
      </c>
      <c r="C459" s="35">
        <f t="array" aca="1" ref="C459" ca="1">_FV(A459,"Previous close",TRUE)</f>
        <v>854.6</v>
      </c>
      <c r="D459" s="35">
        <f t="array" aca="1" ref="D459" ca="1">_FV(A459,"Price")</f>
        <v>897.75</v>
      </c>
      <c r="E459" s="35">
        <f t="array" aca="1" ref="E459" ca="1">_FV(A459,"Low")</f>
        <v>845.95</v>
      </c>
      <c r="F459" s="35">
        <f t="array" aca="1" ref="F459" ca="1">_FV(A459,"High")</f>
        <v>906</v>
      </c>
      <c r="G459" s="35">
        <f t="array" aca="1" ref="G459" ca="1">_FV(A459,"52 week low",TRUE)</f>
        <v>654.54999999999995</v>
      </c>
      <c r="H459" s="36">
        <f t="array" aca="1" ref="H459" ca="1">_FV(A459,"52 week high",TRUE)</f>
        <v>1330</v>
      </c>
      <c r="I459" s="40">
        <f t="shared" ca="1" si="28"/>
        <v>32.5</v>
      </c>
      <c r="J459" s="39" t="str">
        <f t="shared" ca="1" si="29"/>
        <v>MC BUY</v>
      </c>
      <c r="K459" s="54">
        <f t="shared" ca="1" si="30"/>
        <v>-37.155297532656029</v>
      </c>
      <c r="L459" s="20">
        <f t="array" aca="1" ref="L459" ca="1">_FV(A459,"Market cap",TRUE)/10000000</f>
        <v>11509.22</v>
      </c>
      <c r="M459" s="21" t="str">
        <f t="shared" ca="1" si="31"/>
        <v>MC</v>
      </c>
      <c r="N459" s="37" t="str">
        <f t="array" aca="1" ref="N459" ca="1">_FV(A459,"Industry")</f>
        <v>Machinery, Equipment &amp; Components</v>
      </c>
    </row>
    <row r="460" spans="1:14">
      <c r="A460" s="107" t="e" vm="124">
        <v>#VALUE!</v>
      </c>
      <c r="B460" s="33">
        <f t="array" aca="1" ref="B460" ca="1">_FV(A460,"Change (%)",TRUE)</f>
        <v>2.1155E-2</v>
      </c>
      <c r="C460" s="35">
        <f t="array" aca="1" ref="C460" ca="1">_FV(A460,"Previous close",TRUE)</f>
        <v>3909.3</v>
      </c>
      <c r="D460" s="35">
        <f t="array" aca="1" ref="D460" ca="1">_FV(A460,"Price")</f>
        <v>3992</v>
      </c>
      <c r="E460" s="35">
        <f t="array" aca="1" ref="E460" ca="1">_FV(A460,"Low")</f>
        <v>3900</v>
      </c>
      <c r="F460" s="35">
        <f t="array" aca="1" ref="F460" ca="1">_FV(A460,"High")</f>
        <v>4006.9</v>
      </c>
      <c r="G460" s="35">
        <f t="array" aca="1" ref="G460" ca="1">_FV(A460,"52 week low",TRUE)</f>
        <v>2925</v>
      </c>
      <c r="H460" s="36">
        <f t="array" aca="1" ref="H460" ca="1">_FV(A460,"52 week high",TRUE)</f>
        <v>4006.9</v>
      </c>
      <c r="I460" s="40">
        <f t="shared" ca="1" si="28"/>
        <v>0.3718585440115823</v>
      </c>
      <c r="J460" s="39" t="str">
        <f t="shared" ca="1" si="29"/>
        <v>WATCH</v>
      </c>
      <c r="K460" s="54">
        <f t="shared" ca="1" si="30"/>
        <v>-36.478632478632477</v>
      </c>
      <c r="L460" s="20">
        <f t="array" aca="1" ref="L460" ca="1">_FV(A460,"Market cap",TRUE)/10000000</f>
        <v>346772.6</v>
      </c>
      <c r="M460" s="21" t="str">
        <f t="shared" ca="1" si="31"/>
        <v>LC</v>
      </c>
      <c r="N460" s="37" t="str">
        <f t="array" aca="1" ref="N460" ca="1">_FV(A460,"Industry")</f>
        <v>Textiles &amp; Apparel</v>
      </c>
    </row>
    <row r="461" spans="1:14">
      <c r="A461" s="107" t="e" vm="181">
        <v>#VALUE!</v>
      </c>
      <c r="B461" s="33">
        <f t="array" aca="1" ref="B461" ca="1">_FV(A461,"Change (%)",TRUE)</f>
        <v>-4.6160000000000003E-3</v>
      </c>
      <c r="C461" s="35">
        <f t="array" aca="1" ref="C461" ca="1">_FV(A461,"Previous close",TRUE)</f>
        <v>3834.3</v>
      </c>
      <c r="D461" s="35">
        <f t="array" aca="1" ref="D461" ca="1">_FV(A461,"Price")</f>
        <v>3816.6</v>
      </c>
      <c r="E461" s="35">
        <f t="array" aca="1" ref="E461" ca="1">_FV(A461,"Low")</f>
        <v>3802.5</v>
      </c>
      <c r="F461" s="35">
        <f t="array" aca="1" ref="F461" ca="1">_FV(A461,"High")</f>
        <v>3846.1</v>
      </c>
      <c r="G461" s="35">
        <f t="array" aca="1" ref="G461" ca="1">_FV(A461,"52 week low",TRUE)</f>
        <v>2886.45</v>
      </c>
      <c r="H461" s="36">
        <f t="array" aca="1" ref="H461" ca="1">_FV(A461,"52 week high",TRUE)</f>
        <v>3882.2</v>
      </c>
      <c r="I461" s="40">
        <f t="shared" ca="1" si="28"/>
        <v>1.6897635361393002</v>
      </c>
      <c r="J461" s="39" t="str">
        <f t="shared" ca="1" si="29"/>
        <v>WATCH</v>
      </c>
      <c r="K461" s="54">
        <f t="shared" ca="1" si="30"/>
        <v>-32.224705087564317</v>
      </c>
      <c r="L461" s="20">
        <f t="array" aca="1" ref="L461" ca="1">_FV(A461,"Market cap",TRUE)/10000000</f>
        <v>129770.1</v>
      </c>
      <c r="M461" s="21" t="str">
        <f t="shared" ca="1" si="31"/>
        <v>LC</v>
      </c>
      <c r="N461" s="37" t="str">
        <f t="array" aca="1" ref="N461" ca="1">_FV(A461,"Industry")</f>
        <v>Pharmaceuticals</v>
      </c>
    </row>
    <row r="462" spans="1:14">
      <c r="A462" s="107" t="e" vm="510">
        <v>#VALUE!</v>
      </c>
      <c r="B462" s="33">
        <f t="array" aca="1" ref="B462" ca="1">_FV(A462,"Change (%)",TRUE)</f>
        <v>1.4366E-2</v>
      </c>
      <c r="C462" s="35">
        <f t="array" aca="1" ref="C462" ca="1">_FV(A462,"Previous close",TRUE)</f>
        <v>1280.8</v>
      </c>
      <c r="D462" s="35">
        <f t="array" aca="1" ref="D462" ca="1">_FV(A462,"Price")</f>
        <v>1299.2</v>
      </c>
      <c r="E462" s="35">
        <f t="array" aca="1" ref="E462" ca="1">_FV(A462,"Low")</f>
        <v>1277.4000000000001</v>
      </c>
      <c r="F462" s="35">
        <f t="array" aca="1" ref="F462" ca="1">_FV(A462,"High")</f>
        <v>1308</v>
      </c>
      <c r="G462" s="35">
        <f t="array" aca="1" ref="G462" ca="1">_FV(A462,"52 week low",TRUE)</f>
        <v>1188</v>
      </c>
      <c r="H462" s="36">
        <f t="array" aca="1" ref="H462" ca="1">_FV(A462,"52 week high",TRUE)</f>
        <v>1640</v>
      </c>
      <c r="I462" s="40">
        <f t="shared" ca="1" si="28"/>
        <v>20.780487804878046</v>
      </c>
      <c r="J462" s="39" t="str">
        <f t="shared" ca="1" si="29"/>
        <v>HMC BUY</v>
      </c>
      <c r="K462" s="54">
        <f t="shared" ca="1" si="30"/>
        <v>-9.3602693602693634</v>
      </c>
      <c r="L462" s="20">
        <f t="array" aca="1" ref="L462" ca="1">_FV(A462,"Market cap",TRUE)/10000000</f>
        <v>64539.97</v>
      </c>
      <c r="M462" s="21" t="str">
        <f t="shared" ca="1" si="31"/>
        <v>HMC</v>
      </c>
      <c r="N462" s="37" t="str">
        <f t="array" aca="1" ref="N462" ca="1">_FV(A462,"Industry")</f>
        <v>Electrical Utilities &amp; IPPs</v>
      </c>
    </row>
    <row r="463" spans="1:14">
      <c r="A463" s="107" t="e" vm="511">
        <v>#VALUE!</v>
      </c>
      <c r="B463" s="33">
        <f t="array" aca="1" ref="B463" ca="1">_FV(A463,"Change (%)",TRUE)</f>
        <v>-2.5493999999999999E-2</v>
      </c>
      <c r="C463" s="35">
        <f t="array" aca="1" ref="C463" ca="1">_FV(A463,"Previous close",TRUE)</f>
        <v>296.14999999999998</v>
      </c>
      <c r="D463" s="35">
        <f t="array" aca="1" ref="D463" ca="1">_FV(A463,"Price")</f>
        <v>288.60000000000002</v>
      </c>
      <c r="E463" s="35">
        <f t="array" aca="1" ref="E463" ca="1">_FV(A463,"Low")</f>
        <v>287.64999999999998</v>
      </c>
      <c r="F463" s="35">
        <f t="array" aca="1" ref="F463" ca="1">_FV(A463,"High")</f>
        <v>297.5</v>
      </c>
      <c r="G463" s="35">
        <f t="array" aca="1" ref="G463" ca="1">_FV(A463,"52 week low",TRUE)</f>
        <v>230.1</v>
      </c>
      <c r="H463" s="36">
        <f t="array" aca="1" ref="H463" ca="1">_FV(A463,"52 week high",TRUE)</f>
        <v>648.9</v>
      </c>
      <c r="I463" s="40">
        <f t="shared" ca="1" si="28"/>
        <v>55.524734165510857</v>
      </c>
      <c r="J463" s="39" t="str">
        <f t="shared" ca="1" si="29"/>
        <v>HSC BUY</v>
      </c>
      <c r="K463" s="54">
        <f t="shared" ca="1" si="30"/>
        <v>-25.423728813559336</v>
      </c>
      <c r="L463" s="20">
        <f t="array" aca="1" ref="L463" ca="1">_FV(A463,"Market cap",TRUE)/10000000</f>
        <v>8889.4110000000001</v>
      </c>
      <c r="M463" s="21" t="str">
        <f t="shared" ca="1" si="31"/>
        <v>HSC</v>
      </c>
      <c r="N463" s="37" t="str">
        <f t="array" aca="1" ref="N463" ca="1">_FV(A463,"Industry")</f>
        <v>Machinery, Equipment &amp; Components</v>
      </c>
    </row>
    <row r="464" spans="1:14">
      <c r="A464" s="107" t="e" vm="127">
        <v>#VALUE!</v>
      </c>
      <c r="B464" s="33">
        <f t="array" aca="1" ref="B464" ca="1">_FV(A464,"Change (%)",TRUE)</f>
        <v>-1.0020000000000001E-3</v>
      </c>
      <c r="C464" s="35">
        <f t="array" aca="1" ref="C464" ca="1">_FV(A464,"Previous close",TRUE)</f>
        <v>4289.6000000000004</v>
      </c>
      <c r="D464" s="35">
        <f t="array" aca="1" ref="D464" ca="1">_FV(A464,"Price")</f>
        <v>4285.3</v>
      </c>
      <c r="E464" s="35">
        <f t="array" aca="1" ref="E464" ca="1">_FV(A464,"Low")</f>
        <v>4263</v>
      </c>
      <c r="F464" s="35">
        <f t="array" aca="1" ref="F464" ca="1">_FV(A464,"High")</f>
        <v>4338.3999999999996</v>
      </c>
      <c r="G464" s="35">
        <f t="array" aca="1" ref="G464" ca="1">_FV(A464,"52 week low",TRUE)</f>
        <v>3930.1</v>
      </c>
      <c r="H464" s="36">
        <f t="array" aca="1" ref="H464" ca="1">_FV(A464,"52 week high",TRUE)</f>
        <v>7493.05</v>
      </c>
      <c r="I464" s="40">
        <f t="shared" ca="1" si="28"/>
        <v>42.80967029447288</v>
      </c>
      <c r="J464" s="39" t="str">
        <f t="shared" ca="1" si="29"/>
        <v>SURE LC BUY</v>
      </c>
      <c r="K464" s="54">
        <f t="shared" ca="1" si="30"/>
        <v>-9.0379379659550718</v>
      </c>
      <c r="L464" s="20">
        <f t="array" aca="1" ref="L464" ca="1">_FV(A464,"Market cap",TRUE)/10000000</f>
        <v>152489.9</v>
      </c>
      <c r="M464" s="21" t="str">
        <f t="shared" ca="1" si="31"/>
        <v>LC</v>
      </c>
      <c r="N464" s="37" t="str">
        <f t="array" aca="1" ref="N464" ca="1">_FV(A464,"Industry")</f>
        <v>Diversified Retail</v>
      </c>
    </row>
    <row r="465" spans="1:14">
      <c r="A465" s="107" t="e" vm="128">
        <v>#VALUE!</v>
      </c>
      <c r="B465" s="33">
        <f t="array" aca="1" ref="B465" ca="1">_FV(A465,"Change (%)",TRUE)</f>
        <v>-5.1809999999999998E-3</v>
      </c>
      <c r="C465" s="35">
        <f t="array" aca="1" ref="C465" ca="1">_FV(A465,"Previous close",TRUE)</f>
        <v>27.02</v>
      </c>
      <c r="D465" s="35">
        <f t="array" aca="1" ref="D465" ca="1">_FV(A465,"Price")</f>
        <v>26.88</v>
      </c>
      <c r="E465" s="35">
        <f t="array" aca="1" ref="E465" ca="1">_FV(A465,"Low")</f>
        <v>26.85</v>
      </c>
      <c r="F465" s="35">
        <f t="array" aca="1" ref="F465" ca="1">_FV(A465,"High")</f>
        <v>27.13</v>
      </c>
      <c r="G465" s="35">
        <f t="array" aca="1" ref="G465" ca="1">_FV(A465,"52 week low",TRUE)</f>
        <v>23.11</v>
      </c>
      <c r="H465" s="36">
        <f t="array" aca="1" ref="H465" ca="1">_FV(A465,"52 week high",TRUE)</f>
        <v>34.869999999999997</v>
      </c>
      <c r="I465" s="40">
        <f t="shared" ca="1" si="28"/>
        <v>22.913679380556349</v>
      </c>
      <c r="J465" s="39" t="str">
        <f t="shared" ca="1" si="29"/>
        <v>FIRST MC BUY</v>
      </c>
      <c r="K465" s="54">
        <f t="shared" ca="1" si="30"/>
        <v>-16.313284292514062</v>
      </c>
      <c r="L465" s="20">
        <f t="array" aca="1" ref="L465" ca="1">_FV(A465,"Market cap",TRUE)/10000000</f>
        <v>13767.72</v>
      </c>
      <c r="M465" s="21" t="str">
        <f t="shared" ca="1" si="31"/>
        <v>MC</v>
      </c>
      <c r="N465" s="37" t="str">
        <f t="array" aca="1" ref="N465" ca="1">_FV(A465,"Industry")</f>
        <v>Textiles &amp; Apparel</v>
      </c>
    </row>
    <row r="466" spans="1:14">
      <c r="A466" s="107" t="e" vm="512">
        <v>#VALUE!</v>
      </c>
      <c r="B466" s="33">
        <f t="array" aca="1" ref="B466" ca="1">_FV(A466,"Change (%)",TRUE)</f>
        <v>-2.499E-4</v>
      </c>
      <c r="C466" s="35">
        <f t="array" aca="1" ref="C466" ca="1">_FV(A466,"Previous close",TRUE)</f>
        <v>400.2</v>
      </c>
      <c r="D466" s="35">
        <f t="array" aca="1" ref="D466" ca="1">_FV(A466,"Price")</f>
        <v>400.1</v>
      </c>
      <c r="E466" s="35">
        <f t="array" aca="1" ref="E466" ca="1">_FV(A466,"Low")</f>
        <v>396.65</v>
      </c>
      <c r="F466" s="35">
        <f t="array" aca="1" ref="F466" ca="1">_FV(A466,"High")</f>
        <v>402.9</v>
      </c>
      <c r="G466" s="35">
        <f t="array" aca="1" ref="G466" ca="1">_FV(A466,"52 week low",TRUE)</f>
        <v>313.10000000000002</v>
      </c>
      <c r="H466" s="36">
        <f t="array" aca="1" ref="H466" ca="1">_FV(A466,"52 week high",TRUE)</f>
        <v>536</v>
      </c>
      <c r="I466" s="40">
        <f t="shared" ca="1" si="28"/>
        <v>25.354477611940297</v>
      </c>
      <c r="J466" s="39" t="str">
        <f t="shared" ca="1" si="29"/>
        <v>WATCH</v>
      </c>
      <c r="K466" s="54">
        <f t="shared" ca="1" si="30"/>
        <v>-27.786649632705203</v>
      </c>
      <c r="L466" s="20">
        <f t="array" aca="1" ref="L466" ca="1">_FV(A466,"Market cap",TRUE)/10000000</f>
        <v>8760.2970000000005</v>
      </c>
      <c r="M466" s="21" t="str">
        <f t="shared" ca="1" si="31"/>
        <v>HSC</v>
      </c>
      <c r="N466" s="37" t="str">
        <f t="array" aca="1" ref="N466" ca="1">_FV(A466,"Industry")</f>
        <v>Food &amp; Tobacco</v>
      </c>
    </row>
    <row r="467" spans="1:14">
      <c r="A467" s="107" t="e" vm="513">
        <v>#VALUE!</v>
      </c>
      <c r="B467" s="33">
        <f t="array" aca="1" ref="B467" ca="1">_FV(A467,"Change (%)",TRUE)</f>
        <v>-4.5870000000000004E-4</v>
      </c>
      <c r="C467" s="35">
        <f t="array" aca="1" ref="C467" ca="1">_FV(A467,"Previous close",TRUE)</f>
        <v>545.04999999999995</v>
      </c>
      <c r="D467" s="35">
        <f t="array" aca="1" ref="D467" ca="1">_FV(A467,"Price")</f>
        <v>544.79999999999995</v>
      </c>
      <c r="E467" s="35">
        <f t="array" aca="1" ref="E467" ca="1">_FV(A467,"Low")</f>
        <v>539.4</v>
      </c>
      <c r="F467" s="35">
        <f t="array" aca="1" ref="F467" ca="1">_FV(A467,"High")</f>
        <v>546.70000000000005</v>
      </c>
      <c r="G467" s="35">
        <f t="array" aca="1" ref="G467" ca="1">_FV(A467,"52 week low",TRUE)</f>
        <v>460.3</v>
      </c>
      <c r="H467" s="36">
        <f t="array" aca="1" ref="H467" ca="1">_FV(A467,"52 week high",TRUE)</f>
        <v>789.9</v>
      </c>
      <c r="I467" s="40">
        <f t="shared" ca="1" si="28"/>
        <v>31.029244208127615</v>
      </c>
      <c r="J467" s="39" t="str">
        <f t="shared" ca="1" si="29"/>
        <v>MC BUY</v>
      </c>
      <c r="K467" s="54">
        <f t="shared" ca="1" si="30"/>
        <v>-18.357592874212457</v>
      </c>
      <c r="L467" s="20">
        <f t="array" aca="1" ref="L467" ca="1">_FV(A467,"Market cap",TRUE)/10000000</f>
        <v>17326.39</v>
      </c>
      <c r="M467" s="21" t="str">
        <f t="shared" ca="1" si="31"/>
        <v>MC</v>
      </c>
      <c r="N467" s="37" t="str">
        <f t="array" aca="1" ref="N467" ca="1">_FV(A467,"Industry")</f>
        <v>Machinery, Equipment &amp; Components</v>
      </c>
    </row>
    <row r="468" spans="1:14">
      <c r="A468" s="107" t="e" vm="514">
        <v>#VALUE!</v>
      </c>
      <c r="B468" s="33">
        <f t="array" aca="1" ref="B468" ca="1">_FV(A468,"Change (%)",TRUE)</f>
        <v>1.9650000000000002E-3</v>
      </c>
      <c r="C468" s="35">
        <f t="array" aca="1" ref="C468" ca="1">_FV(A468,"Previous close",TRUE)</f>
        <v>2595.6999999999998</v>
      </c>
      <c r="D468" s="35">
        <f t="array" aca="1" ref="D468" ca="1">_FV(A468,"Price")</f>
        <v>2600.8000000000002</v>
      </c>
      <c r="E468" s="35">
        <f t="array" aca="1" ref="E468" ca="1">_FV(A468,"Low")</f>
        <v>2590.1</v>
      </c>
      <c r="F468" s="35">
        <f t="array" aca="1" ref="F468" ca="1">_FV(A468,"High")</f>
        <v>2630.7</v>
      </c>
      <c r="G468" s="35">
        <f t="array" aca="1" ref="G468" ca="1">_FV(A468,"52 week low",TRUE)</f>
        <v>2407.1</v>
      </c>
      <c r="H468" s="36">
        <f t="array" aca="1" ref="H468" ca="1">_FV(A468,"52 week high",TRUE)</f>
        <v>3693.6</v>
      </c>
      <c r="I468" s="40">
        <f t="shared" ca="1" si="28"/>
        <v>29.586311457656478</v>
      </c>
      <c r="J468" s="39" t="str">
        <f t="shared" ca="1" si="29"/>
        <v>HMC BUY</v>
      </c>
      <c r="K468" s="54">
        <f t="shared" ca="1" si="30"/>
        <v>-8.0470275435171068</v>
      </c>
      <c r="L468" s="20">
        <f t="array" aca="1" ref="L468" ca="1">_FV(A468,"Market cap",TRUE)/10000000</f>
        <v>50229.09</v>
      </c>
      <c r="M468" s="21" t="str">
        <f t="shared" ca="1" si="31"/>
        <v>HMC</v>
      </c>
      <c r="N468" s="37" t="str">
        <f t="array" aca="1" ref="N468" ca="1">_FV(A468,"Industry")</f>
        <v>Automobiles &amp; Auto Parts</v>
      </c>
    </row>
    <row r="469" spans="1:14">
      <c r="A469" s="107" t="e" vm="515">
        <v>#VALUE!</v>
      </c>
      <c r="B469" s="33">
        <f t="array" aca="1" ref="B469" ca="1">_FV(A469,"Change (%)",TRUE)</f>
        <v>-5.5569999999999994E-3</v>
      </c>
      <c r="C469" s="35">
        <f t="array" aca="1" ref="C469" ca="1">_FV(A469,"Previous close",TRUE)</f>
        <v>28.79</v>
      </c>
      <c r="D469" s="35">
        <f t="array" aca="1" ref="D469" ca="1">_FV(A469,"Price")</f>
        <v>28.63</v>
      </c>
      <c r="E469" s="35">
        <f t="array" aca="1" ref="E469" ca="1">_FV(A469,"Low")</f>
        <v>28.54</v>
      </c>
      <c r="F469" s="35">
        <f t="array" aca="1" ref="F469" ca="1">_FV(A469,"High")</f>
        <v>29</v>
      </c>
      <c r="G469" s="35">
        <f t="array" aca="1" ref="G469" ca="1">_FV(A469,"52 week low",TRUE)</f>
        <v>26.81</v>
      </c>
      <c r="H469" s="36">
        <f t="array" aca="1" ref="H469" ca="1">_FV(A469,"52 week high",TRUE)</f>
        <v>46.27</v>
      </c>
      <c r="I469" s="40">
        <f t="shared" ca="1" si="28"/>
        <v>38.124054462934957</v>
      </c>
      <c r="J469" s="39" t="str">
        <f t="shared" ca="1" si="29"/>
        <v>MC BUY</v>
      </c>
      <c r="K469" s="54">
        <f t="shared" ca="1" si="30"/>
        <v>-6.7885117493472595</v>
      </c>
      <c r="L469" s="20">
        <f t="array" aca="1" ref="L469" ca="1">_FV(A469,"Market cap",TRUE)/10000000</f>
        <v>35900.76</v>
      </c>
      <c r="M469" s="21" t="str">
        <f t="shared" ca="1" si="31"/>
        <v>MC</v>
      </c>
      <c r="N469" s="37" t="str">
        <f t="array" aca="1" ref="N469" ca="1">_FV(A469,"Industry")</f>
        <v>Banking Services</v>
      </c>
    </row>
    <row r="470" spans="1:14">
      <c r="A470" s="107" t="e" vm="130">
        <v>#VALUE!</v>
      </c>
      <c r="B470" s="33">
        <f t="array" aca="1" ref="B470" ca="1">_FV(A470,"Change (%)",TRUE)</f>
        <v>-1.6173E-2</v>
      </c>
      <c r="C470" s="35">
        <f t="array" aca="1" ref="C470" ca="1">_FV(A470,"Previous close",TRUE)</f>
        <v>1292.3</v>
      </c>
      <c r="D470" s="35">
        <f t="array" aca="1" ref="D470" ca="1">_FV(A470,"Price")</f>
        <v>1271.4000000000001</v>
      </c>
      <c r="E470" s="35">
        <f t="array" aca="1" ref="E470" ca="1">_FV(A470,"Low")</f>
        <v>1263.7</v>
      </c>
      <c r="F470" s="35">
        <f t="array" aca="1" ref="F470" ca="1">_FV(A470,"High")</f>
        <v>1296</v>
      </c>
      <c r="G470" s="35">
        <f t="array" aca="1" ref="G470" ca="1">_FV(A470,"52 week low",TRUE)</f>
        <v>767.6</v>
      </c>
      <c r="H470" s="36">
        <f t="array" aca="1" ref="H470" ca="1">_FV(A470,"52 week high",TRUE)</f>
        <v>1382</v>
      </c>
      <c r="I470" s="40">
        <f t="shared" ca="1" si="28"/>
        <v>8.0028943560057826</v>
      </c>
      <c r="J470" s="39" t="str">
        <f t="shared" ca="1" si="29"/>
        <v>WATCH</v>
      </c>
      <c r="K470" s="54">
        <f t="shared" ca="1" si="30"/>
        <v>-65.633142261594585</v>
      </c>
      <c r="L470" s="20">
        <f t="array" aca="1" ref="L470" ca="1">_FV(A470,"Market cap",TRUE)/10000000</f>
        <v>74572.38</v>
      </c>
      <c r="M470" s="21" t="str">
        <f t="shared" ca="1" si="31"/>
        <v>HMC</v>
      </c>
      <c r="N470" s="37" t="str">
        <f t="array" aca="1" ref="N470" ca="1">_FV(A470,"Industry")</f>
        <v>Automobiles &amp; Auto Parts</v>
      </c>
    </row>
    <row r="471" spans="1:14">
      <c r="A471" s="107" t="e" vm="516">
        <v>#VALUE!</v>
      </c>
      <c r="B471" s="33">
        <f t="array" aca="1" ref="B471" ca="1">_FV(A471,"Change (%)",TRUE)</f>
        <v>1.7469999999999999E-3</v>
      </c>
      <c r="C471" s="35">
        <f t="array" aca="1" ref="C471" ca="1">_FV(A471,"Previous close",TRUE)</f>
        <v>772.7</v>
      </c>
      <c r="D471" s="35">
        <f t="array" aca="1" ref="D471" ca="1">_FV(A471,"Price")</f>
        <v>774.05</v>
      </c>
      <c r="E471" s="35">
        <f t="array" aca="1" ref="E471" ca="1">_FV(A471,"Low")</f>
        <v>770.2</v>
      </c>
      <c r="F471" s="35">
        <f t="array" aca="1" ref="F471" ca="1">_FV(A471,"High")</f>
        <v>780.7</v>
      </c>
      <c r="G471" s="35">
        <f t="array" aca="1" ref="G471" ca="1">_FV(A471,"52 week low",TRUE)</f>
        <v>493</v>
      </c>
      <c r="H471" s="36">
        <f t="array" aca="1" ref="H471" ca="1">_FV(A471,"52 week high",TRUE)</f>
        <v>786.3</v>
      </c>
      <c r="I471" s="40">
        <f t="shared" ca="1" si="28"/>
        <v>1.5579295434312603</v>
      </c>
      <c r="J471" s="39" t="str">
        <f t="shared" ca="1" si="29"/>
        <v>WATCH</v>
      </c>
      <c r="K471" s="54">
        <f t="shared" ca="1" si="30"/>
        <v>-57.008113590263683</v>
      </c>
      <c r="L471" s="20">
        <f t="array" aca="1" ref="L471" ca="1">_FV(A471,"Market cap",TRUE)/10000000</f>
        <v>65220.6</v>
      </c>
      <c r="M471" s="21" t="str">
        <f t="shared" ca="1" si="31"/>
        <v>HMC</v>
      </c>
      <c r="N471" s="37" t="str">
        <f t="array" aca="1" ref="N471" ca="1">_FV(A471,"Industry")</f>
        <v>Chemicals</v>
      </c>
    </row>
    <row r="472" spans="1:14">
      <c r="A472" s="107" t="e" vm="517">
        <v>#VALUE!</v>
      </c>
      <c r="B472" s="33">
        <f t="array" aca="1" ref="B472" ca="1">_FV(A472,"Change (%)",TRUE)</f>
        <v>-8.6370000000000006E-3</v>
      </c>
      <c r="C472" s="35">
        <f t="array" aca="1" ref="C472" ca="1">_FV(A472,"Previous close",TRUE)</f>
        <v>1134.7</v>
      </c>
      <c r="D472" s="35">
        <f t="array" aca="1" ref="D472" ca="1">_FV(A472,"Price")</f>
        <v>1124.9000000000001</v>
      </c>
      <c r="E472" s="35">
        <f t="array" aca="1" ref="E472" ca="1">_FV(A472,"Low")</f>
        <v>1121.2</v>
      </c>
      <c r="F472" s="35">
        <f t="array" aca="1" ref="F472" ca="1">_FV(A472,"High")</f>
        <v>1139.8</v>
      </c>
      <c r="G472" s="35">
        <f t="array" aca="1" ref="G472" ca="1">_FV(A472,"52 week low",TRUE)</f>
        <v>891.45</v>
      </c>
      <c r="H472" s="36">
        <f t="array" aca="1" ref="H472" ca="1">_FV(A472,"52 week high",TRUE)</f>
        <v>1472.43</v>
      </c>
      <c r="I472" s="40">
        <f t="shared" ca="1" si="28"/>
        <v>23.602480253730228</v>
      </c>
      <c r="J472" s="39" t="str">
        <f t="shared" ca="1" si="29"/>
        <v>FIRST MC BUY</v>
      </c>
      <c r="K472" s="54">
        <f t="shared" ca="1" si="30"/>
        <v>-26.187671770710644</v>
      </c>
      <c r="L472" s="20">
        <f t="array" aca="1" ref="L472" ca="1">_FV(A472,"Market cap",TRUE)/10000000</f>
        <v>14575.96</v>
      </c>
      <c r="M472" s="21" t="str">
        <f t="shared" ca="1" si="31"/>
        <v>MC</v>
      </c>
      <c r="N472" s="37" t="str">
        <f t="array" aca="1" ref="N472" ca="1">_FV(A472,"Industry")</f>
        <v>Investment Banking &amp; Investment Services</v>
      </c>
    </row>
    <row r="473" spans="1:14">
      <c r="A473" s="107" t="e" vm="129">
        <v>#VALUE!</v>
      </c>
      <c r="B473" s="33">
        <f t="array" aca="1" ref="B473" ca="1">_FV(A473,"Change (%)",TRUE)</f>
        <v>2.5500000000000002E-3</v>
      </c>
      <c r="C473" s="35">
        <f t="array" aca="1" ref="C473" ca="1">_FV(A473,"Previous close",TRUE)</f>
        <v>11764</v>
      </c>
      <c r="D473" s="35">
        <f t="array" aca="1" ref="D473" ca="1">_FV(A473,"Price")</f>
        <v>11794</v>
      </c>
      <c r="E473" s="35">
        <f t="array" aca="1" ref="E473" ca="1">_FV(A473,"Low")</f>
        <v>11743</v>
      </c>
      <c r="F473" s="35">
        <f t="array" aca="1" ref="F473" ca="1">_FV(A473,"High")</f>
        <v>11855</v>
      </c>
      <c r="G473" s="35">
        <f t="array" aca="1" ref="G473" ca="1">_FV(A473,"52 week low",TRUE)</f>
        <v>10047.85</v>
      </c>
      <c r="H473" s="36">
        <f t="array" aca="1" ref="H473" ca="1">_FV(A473,"52 week high",TRUE)</f>
        <v>13097</v>
      </c>
      <c r="I473" s="40">
        <f t="shared" ca="1" si="28"/>
        <v>9.9488432465450103</v>
      </c>
      <c r="J473" s="39" t="str">
        <f t="shared" ca="1" si="29"/>
        <v>WATCH</v>
      </c>
      <c r="K473" s="54">
        <f t="shared" ca="1" si="30"/>
        <v>-17.378344620988567</v>
      </c>
      <c r="L473" s="20">
        <f t="array" aca="1" ref="L473" ca="1">_FV(A473,"Market cap",TRUE)/10000000</f>
        <v>346848.3</v>
      </c>
      <c r="M473" s="21" t="str">
        <f t="shared" ca="1" si="31"/>
        <v>LC</v>
      </c>
      <c r="N473" s="37" t="str">
        <f t="array" aca="1" ref="N473" ca="1">_FV(A473,"Industry")</f>
        <v>Construction Materials</v>
      </c>
    </row>
    <row r="474" spans="1:14">
      <c r="A474" s="107" t="e" vm="518">
        <v>#VALUE!</v>
      </c>
      <c r="B474" s="33">
        <f t="array" aca="1" ref="B474" ca="1">_FV(A474,"Change (%)",TRUE)</f>
        <v>-3.5820000000000001E-3</v>
      </c>
      <c r="C474" s="35">
        <f t="array" aca="1" ref="C474" ca="1">_FV(A474,"Previous close",TRUE)</f>
        <v>150.76</v>
      </c>
      <c r="D474" s="35">
        <f t="array" aca="1" ref="D474" ca="1">_FV(A474,"Price")</f>
        <v>150.22</v>
      </c>
      <c r="E474" s="35">
        <f t="array" aca="1" ref="E474" ca="1">_FV(A474,"Low")</f>
        <v>150</v>
      </c>
      <c r="F474" s="35">
        <f t="array" aca="1" ref="F474" ca="1">_FV(A474,"High")</f>
        <v>151.47</v>
      </c>
      <c r="G474" s="35">
        <f t="array" aca="1" ref="G474" ca="1">_FV(A474,"52 week low",TRUE)</f>
        <v>100.81</v>
      </c>
      <c r="H474" s="36">
        <f t="array" aca="1" ref="H474" ca="1">_FV(A474,"52 week high",TRUE)</f>
        <v>160.15</v>
      </c>
      <c r="I474" s="40">
        <f t="shared" ca="1" si="28"/>
        <v>6.2004370902279158</v>
      </c>
      <c r="J474" s="39" t="str">
        <f t="shared" ca="1" si="29"/>
        <v>WATCH</v>
      </c>
      <c r="K474" s="54">
        <f t="shared" ca="1" si="30"/>
        <v>-49.012994742585057</v>
      </c>
      <c r="L474" s="20">
        <f t="array" aca="1" ref="L474" ca="1">_FV(A474,"Market cap",TRUE)/10000000</f>
        <v>115084.2</v>
      </c>
      <c r="M474" s="21" t="str">
        <f t="shared" ca="1" si="31"/>
        <v>LC</v>
      </c>
      <c r="N474" s="37" t="str">
        <f t="array" aca="1" ref="N474" ca="1">_FV(A474,"Industry")</f>
        <v>Banking Services</v>
      </c>
    </row>
    <row r="475" spans="1:14">
      <c r="A475" s="107" t="e" vm="519">
        <v>#VALUE!</v>
      </c>
      <c r="B475" s="33">
        <f t="array" aca="1" ref="B475" ca="1">_FV(A475,"Change (%)",TRUE)</f>
        <v>2.16E-3</v>
      </c>
      <c r="C475" s="35">
        <f t="array" aca="1" ref="C475" ca="1">_FV(A475,"Previous close",TRUE)</f>
        <v>1620.4</v>
      </c>
      <c r="D475" s="35">
        <f t="array" aca="1" ref="D475" ca="1">_FV(A475,"Price")</f>
        <v>1623.9</v>
      </c>
      <c r="E475" s="35">
        <f t="array" aca="1" ref="E475" ca="1">_FV(A475,"Low")</f>
        <v>1604.8</v>
      </c>
      <c r="F475" s="35">
        <f t="array" aca="1" ref="F475" ca="1">_FV(A475,"High")</f>
        <v>1629</v>
      </c>
      <c r="G475" s="35">
        <f t="array" aca="1" ref="G475" ca="1">_FV(A475,"52 week low",TRUE)</f>
        <v>1574.1</v>
      </c>
      <c r="H475" s="36">
        <f t="array" aca="1" ref="H475" ca="1">_FV(A475,"52 week high",TRUE)</f>
        <v>2299.6999999999998</v>
      </c>
      <c r="I475" s="40">
        <f t="shared" ca="1" si="28"/>
        <v>29.386441709788222</v>
      </c>
      <c r="J475" s="39" t="str">
        <f t="shared" ca="1" si="29"/>
        <v>HMC BUY</v>
      </c>
      <c r="K475" s="54">
        <f t="shared" ca="1" si="30"/>
        <v>-3.1637125976748735</v>
      </c>
      <c r="L475" s="20">
        <f t="array" aca="1" ref="L475" ca="1">_FV(A475,"Market cap",TRUE)/10000000</f>
        <v>42844.21</v>
      </c>
      <c r="M475" s="21" t="str">
        <f t="shared" ca="1" si="31"/>
        <v>HMC</v>
      </c>
      <c r="N475" s="37" t="str">
        <f t="array" aca="1" ref="N475" ca="1">_FV(A475,"Industry")</f>
        <v>Beverages</v>
      </c>
    </row>
    <row r="476" spans="1:14">
      <c r="A476" s="107" t="e" vm="179">
        <v>#VALUE!</v>
      </c>
      <c r="B476" s="33">
        <f t="array" aca="1" ref="B476" ca="1">_FV(A476,"Change (%)",TRUE)</f>
        <v>4.4299999999999999E-3</v>
      </c>
      <c r="C476" s="35">
        <f t="array" aca="1" ref="C476" ca="1">_FV(A476,"Previous close",TRUE)</f>
        <v>1422.1</v>
      </c>
      <c r="D476" s="35">
        <f t="array" aca="1" ref="D476" ca="1">_FV(A476,"Price")</f>
        <v>1428.4</v>
      </c>
      <c r="E476" s="35">
        <f t="array" aca="1" ref="E476" ca="1">_FV(A476,"Low")</f>
        <v>1416.1</v>
      </c>
      <c r="F476" s="35">
        <f t="array" aca="1" ref="F476" ca="1">_FV(A476,"High")</f>
        <v>1434</v>
      </c>
      <c r="G476" s="35">
        <f t="array" aca="1" ref="G476" ca="1">_FV(A476,"52 week low",TRUE)</f>
        <v>1271.0999999999999</v>
      </c>
      <c r="H476" s="36">
        <f t="array" aca="1" ref="H476" ca="1">_FV(A476,"52 week high",TRUE)</f>
        <v>1700</v>
      </c>
      <c r="I476" s="40">
        <f t="shared" ca="1" si="28"/>
        <v>15.976470588235291</v>
      </c>
      <c r="J476" s="39" t="str">
        <f t="shared" ca="1" si="29"/>
        <v>LC BUY</v>
      </c>
      <c r="K476" s="54">
        <f t="shared" ca="1" si="30"/>
        <v>-12.375108174022515</v>
      </c>
      <c r="L476" s="20">
        <f t="array" aca="1" ref="L476" ca="1">_FV(A476,"Market cap",TRUE)/10000000</f>
        <v>103436.6</v>
      </c>
      <c r="M476" s="21" t="str">
        <f t="shared" ca="1" si="31"/>
        <v>LC</v>
      </c>
      <c r="N476" s="37" t="str">
        <f t="array" aca="1" ref="N476" ca="1">_FV(A476,"Industry")</f>
        <v>Beverages</v>
      </c>
    </row>
    <row r="477" spans="1:14">
      <c r="A477" s="107" t="e" vm="520">
        <v>#VALUE!</v>
      </c>
      <c r="B477" s="33">
        <f t="array" aca="1" ref="B477" ca="1">_FV(A477,"Change (%)",TRUE)</f>
        <v>-2.4237000000000002E-2</v>
      </c>
      <c r="C477" s="35">
        <f t="array" aca="1" ref="C477" ca="1">_FV(A477,"Previous close",TRUE)</f>
        <v>453.85</v>
      </c>
      <c r="D477" s="35">
        <f t="array" aca="1" ref="D477" ca="1">_FV(A477,"Price")</f>
        <v>442.85</v>
      </c>
      <c r="E477" s="35">
        <f t="array" aca="1" ref="E477" ca="1">_FV(A477,"Low")</f>
        <v>441.1</v>
      </c>
      <c r="F477" s="35">
        <f t="array" aca="1" ref="F477" ca="1">_FV(A477,"High")</f>
        <v>454.9</v>
      </c>
      <c r="G477" s="35">
        <f t="array" aca="1" ref="G477" ca="1">_FV(A477,"52 week low",TRUE)</f>
        <v>278.55</v>
      </c>
      <c r="H477" s="36">
        <f t="array" aca="1" ref="H477" ca="1">_FV(A477,"52 week high",TRUE)</f>
        <v>497.1</v>
      </c>
      <c r="I477" s="40">
        <f t="shared" ca="1" si="28"/>
        <v>10.913297123315228</v>
      </c>
      <c r="J477" s="39" t="str">
        <f t="shared" ca="1" si="29"/>
        <v>WATCH</v>
      </c>
      <c r="K477" s="54">
        <f t="shared" ca="1" si="30"/>
        <v>-58.984024412134268</v>
      </c>
      <c r="L477" s="20">
        <f t="array" aca="1" ref="L477" ca="1">_FV(A477,"Market cap",TRUE)/10000000</f>
        <v>13822.07</v>
      </c>
      <c r="M477" s="21" t="str">
        <f t="shared" ca="1" si="31"/>
        <v>MC</v>
      </c>
      <c r="N477" s="37" t="str">
        <f t="array" aca="1" ref="N477" ca="1">_FV(A477,"Industry")</f>
        <v>Metals &amp; Mining</v>
      </c>
    </row>
    <row r="478" spans="1:14">
      <c r="A478" s="107" t="e" vm="521">
        <v>#VALUE!</v>
      </c>
      <c r="B478" s="33">
        <f t="array" aca="1" ref="B478" ca="1">_FV(A478,"Change (%)",TRUE)</f>
        <v>-8.6219999999999995E-3</v>
      </c>
      <c r="C478" s="35">
        <f t="array" aca="1" ref="C478" ca="1">_FV(A478,"Previous close",TRUE)</f>
        <v>330.55</v>
      </c>
      <c r="D478" s="35">
        <f t="array" aca="1" ref="D478" ca="1">_FV(A478,"Price")</f>
        <v>327.7</v>
      </c>
      <c r="E478" s="35">
        <f t="array" aca="1" ref="E478" ca="1">_FV(A478,"Low")</f>
        <v>327.05</v>
      </c>
      <c r="F478" s="35">
        <f t="array" aca="1" ref="F478" ca="1">_FV(A478,"High")</f>
        <v>330.95</v>
      </c>
      <c r="G478" s="35">
        <f t="array" aca="1" ref="G478" ca="1">_FV(A478,"52 week low",TRUE)</f>
        <v>300</v>
      </c>
      <c r="H478" s="36">
        <f t="array" aca="1" ref="H478" ca="1">_FV(A478,"52 week high",TRUE)</f>
        <v>450</v>
      </c>
      <c r="I478" s="40">
        <f t="shared" ca="1" si="28"/>
        <v>27.177777777777781</v>
      </c>
      <c r="J478" s="39" t="str">
        <f t="shared" ca="1" si="29"/>
        <v>FIRST MC BUY</v>
      </c>
      <c r="K478" s="54">
        <f t="shared" ca="1" si="30"/>
        <v>-9.2333333333333307</v>
      </c>
      <c r="L478" s="20">
        <f t="array" aca="1" ref="L478" ca="1">_FV(A478,"Market cap",TRUE)/10000000</f>
        <v>14423.37</v>
      </c>
      <c r="M478" s="21" t="str">
        <f t="shared" ca="1" si="31"/>
        <v>MC</v>
      </c>
      <c r="N478" s="37" t="str">
        <f t="array" aca="1" ref="N478" ca="1">_FV(A478,"Industry")</f>
        <v>Machinery, Equipment &amp; Components</v>
      </c>
    </row>
    <row r="479" spans="1:14">
      <c r="A479" s="107" t="e" vm="522">
        <v>#VALUE!</v>
      </c>
      <c r="B479" s="33">
        <f t="array" aca="1" ref="B479" ca="1">_FV(A479,"Change (%)",TRUE)</f>
        <v>-1.8012E-2</v>
      </c>
      <c r="C479" s="35">
        <f t="array" aca="1" ref="C479" ca="1">_FV(A479,"Previous close",TRUE)</f>
        <v>121.03</v>
      </c>
      <c r="D479" s="35">
        <f t="array" aca="1" ref="D479" ca="1">_FV(A479,"Price")</f>
        <v>118.85</v>
      </c>
      <c r="E479" s="35">
        <f t="array" aca="1" ref="E479" ca="1">_FV(A479,"Low")</f>
        <v>118.41</v>
      </c>
      <c r="F479" s="35">
        <f t="array" aca="1" ref="F479" ca="1">_FV(A479,"High")</f>
        <v>122.27</v>
      </c>
      <c r="G479" s="35">
        <f t="array" aca="1" ref="G479" ca="1">_FV(A479,"52 week low",TRUE)</f>
        <v>99.81</v>
      </c>
      <c r="H479" s="36">
        <f t="array" aca="1" ref="H479" ca="1">_FV(A479,"52 week high",TRUE)</f>
        <v>219.09</v>
      </c>
      <c r="I479" s="40">
        <f t="shared" ca="1" si="28"/>
        <v>45.752886941439591</v>
      </c>
      <c r="J479" s="39" t="str">
        <f t="shared" ca="1" si="29"/>
        <v>FIRST HSC BUY</v>
      </c>
      <c r="K479" s="54">
        <f t="shared" ca="1" si="30"/>
        <v>-19.076244865243954</v>
      </c>
      <c r="L479" s="20">
        <f t="array" aca="1" ref="L479" ca="1">_FV(A479,"Market cap",TRUE)/10000000</f>
        <v>6525.991</v>
      </c>
      <c r="M479" s="21" t="str">
        <f t="shared" ca="1" si="31"/>
        <v>HSC</v>
      </c>
      <c r="N479" s="37" t="str">
        <f t="array" aca="1" ref="N479" ca="1">_FV(A479,"Industry")</f>
        <v>Real Estate Operations</v>
      </c>
    </row>
    <row r="480" spans="1:14">
      <c r="A480" s="107" t="e" vm="523">
        <v>#VALUE!</v>
      </c>
      <c r="B480" s="33">
        <f t="array" aca="1" ref="B480" ca="1">_FV(A480,"Change (%)",TRUE)</f>
        <v>6.1919999999999996E-3</v>
      </c>
      <c r="C480" s="35">
        <f t="array" aca="1" ref="C480" ca="1">_FV(A480,"Previous close",TRUE)</f>
        <v>444.1</v>
      </c>
      <c r="D480" s="35">
        <f t="array" aca="1" ref="D480" ca="1">_FV(A480,"Price")</f>
        <v>446.85</v>
      </c>
      <c r="E480" s="35">
        <f t="array" aca="1" ref="E480" ca="1">_FV(A480,"Low")</f>
        <v>438.15</v>
      </c>
      <c r="F480" s="35">
        <f t="array" aca="1" ref="F480" ca="1">_FV(A480,"High")</f>
        <v>448</v>
      </c>
      <c r="G480" s="35">
        <f t="array" aca="1" ref="G480" ca="1">_FV(A480,"52 week low",TRUE)</f>
        <v>361.1</v>
      </c>
      <c r="H480" s="36">
        <f t="array" aca="1" ref="H480" ca="1">_FV(A480,"52 week high",TRUE)</f>
        <v>539.9</v>
      </c>
      <c r="I480" s="40">
        <f t="shared" ca="1" si="28"/>
        <v>17.234673087608812</v>
      </c>
      <c r="J480" s="39" t="str">
        <f t="shared" ca="1" si="29"/>
        <v>WATCH</v>
      </c>
      <c r="K480" s="54">
        <f t="shared" ca="1" si="30"/>
        <v>-23.746884519523675</v>
      </c>
      <c r="L480" s="20">
        <f t="array" aca="1" ref="L480" ca="1">_FV(A480,"Market cap",TRUE)/10000000</f>
        <v>12713.91</v>
      </c>
      <c r="M480" s="21" t="str">
        <f t="shared" ca="1" si="31"/>
        <v>MC</v>
      </c>
      <c r="N480" s="37" t="str">
        <f t="array" aca="1" ref="N480" ca="1">_FV(A480,"Industry")</f>
        <v>Textiles &amp; Apparel</v>
      </c>
    </row>
    <row r="481" spans="1:14">
      <c r="A481" s="107" t="e" vm="131">
        <v>#VALUE!</v>
      </c>
      <c r="B481" s="33">
        <f t="array" aca="1" ref="B481" ca="1">_FV(A481,"Change (%)",TRUE)</f>
        <v>1.0887000000000001E-2</v>
      </c>
      <c r="C481" s="35">
        <f t="array" aca="1" ref="C481" ca="1">_FV(A481,"Previous close",TRUE)</f>
        <v>477.65</v>
      </c>
      <c r="D481" s="35">
        <f t="array" aca="1" ref="D481" ca="1">_FV(A481,"Price")</f>
        <v>482.85</v>
      </c>
      <c r="E481" s="35">
        <f t="array" aca="1" ref="E481" ca="1">_FV(A481,"Low")</f>
        <v>475.1</v>
      </c>
      <c r="F481" s="35">
        <f t="array" aca="1" ref="F481" ca="1">_FV(A481,"High")</f>
        <v>483.5</v>
      </c>
      <c r="G481" s="35">
        <f t="array" aca="1" ref="G481" ca="1">_FV(A481,"52 week low",TRUE)</f>
        <v>419.55</v>
      </c>
      <c r="H481" s="36">
        <f t="array" aca="1" ref="H481" ca="1">_FV(A481,"52 week high",TRUE)</f>
        <v>663.6</v>
      </c>
      <c r="I481" s="40">
        <f t="shared" ca="1" si="28"/>
        <v>27.2377938517179</v>
      </c>
      <c r="J481" s="39" t="str">
        <f t="shared" ca="1" si="29"/>
        <v>SURE LC BUY</v>
      </c>
      <c r="K481" s="54">
        <f t="shared" ca="1" si="30"/>
        <v>-15.087593850554168</v>
      </c>
      <c r="L481" s="20">
        <f t="array" aca="1" ref="L481" ca="1">_FV(A481,"Market cap",TRUE)/10000000</f>
        <v>161540.70000000001</v>
      </c>
      <c r="M481" s="21" t="str">
        <f t="shared" ca="1" si="31"/>
        <v>LC</v>
      </c>
      <c r="N481" s="37" t="str">
        <f t="array" aca="1" ref="N481" ca="1">_FV(A481,"Industry")</f>
        <v>Beverages</v>
      </c>
    </row>
    <row r="482" spans="1:14">
      <c r="A482" s="107" t="e" vm="524">
        <v>#VALUE!</v>
      </c>
      <c r="B482" s="33">
        <f t="array" aca="1" ref="B482" ca="1">_FV(A482,"Change (%)",TRUE)</f>
        <v>-5.4979999999999994E-3</v>
      </c>
      <c r="C482" s="35">
        <f t="array" aca="1" ref="C482" ca="1">_FV(A482,"Previous close",TRUE)</f>
        <v>582</v>
      </c>
      <c r="D482" s="35">
        <f t="array" aca="1" ref="D482" ca="1">_FV(A482,"Price")</f>
        <v>578.79999999999995</v>
      </c>
      <c r="E482" s="35">
        <f t="array" aca="1" ref="E482" ca="1">_FV(A482,"Low")</f>
        <v>578.1</v>
      </c>
      <c r="F482" s="35">
        <f t="array" aca="1" ref="F482" ca="1">_FV(A482,"High")</f>
        <v>584.95000000000005</v>
      </c>
      <c r="G482" s="35">
        <f t="array" aca="1" ref="G482" ca="1">_FV(A482,"52 week low",TRUE)</f>
        <v>575.04999999999995</v>
      </c>
      <c r="H482" s="36">
        <f t="array" aca="1" ref="H482" ca="1">_FV(A482,"52 week high",TRUE)</f>
        <v>1333.45</v>
      </c>
      <c r="I482" s="40">
        <f t="shared" ca="1" si="28"/>
        <v>56.593798042671274</v>
      </c>
      <c r="J482" s="39" t="str">
        <f t="shared" ca="1" si="29"/>
        <v>SURE MC BUY</v>
      </c>
      <c r="K482" s="54">
        <f t="shared" ca="1" si="30"/>
        <v>-0.65211720719937405</v>
      </c>
      <c r="L482" s="20">
        <f t="array" aca="1" ref="L482" ca="1">_FV(A482,"Market cap",TRUE)/10000000</f>
        <v>14141.03</v>
      </c>
      <c r="M482" s="21" t="str">
        <f t="shared" ca="1" si="31"/>
        <v>MC</v>
      </c>
      <c r="N482" s="37" t="str">
        <f t="array" aca="1" ref="N482" ca="1">_FV(A482,"Industry")</f>
        <v>Specialty Retailers</v>
      </c>
    </row>
    <row r="483" spans="1:14">
      <c r="A483" s="107" t="e" vm="168">
        <v>#VALUE!</v>
      </c>
      <c r="B483" s="33">
        <f t="array" aca="1" ref="B483" ca="1">_FV(A483,"Change (%)",TRUE)</f>
        <v>4.6810000000000003E-3</v>
      </c>
      <c r="C483" s="35">
        <f t="array" aca="1" ref="C483" ca="1">_FV(A483,"Previous close",TRUE)</f>
        <v>598.15</v>
      </c>
      <c r="D483" s="35">
        <f t="array" aca="1" ref="D483" ca="1">_FV(A483,"Price")</f>
        <v>600.95000000000005</v>
      </c>
      <c r="E483" s="35">
        <f t="array" aca="1" ref="E483" ca="1">_FV(A483,"Low")</f>
        <v>596.95000000000005</v>
      </c>
      <c r="F483" s="35">
        <f t="array" aca="1" ref="F483" ca="1">_FV(A483,"High")</f>
        <v>607.9</v>
      </c>
      <c r="G483" s="35">
        <f t="array" aca="1" ref="G483" ca="1">_FV(A483,"52 week low",TRUE)</f>
        <v>363</v>
      </c>
      <c r="H483" s="36">
        <f t="array" aca="1" ref="H483" ca="1">_FV(A483,"52 week high",TRUE)</f>
        <v>607.9</v>
      </c>
      <c r="I483" s="40">
        <f t="shared" ca="1" si="28"/>
        <v>1.1432801447606402</v>
      </c>
      <c r="J483" s="39" t="str">
        <f t="shared" ca="1" si="29"/>
        <v>WATCH</v>
      </c>
      <c r="K483" s="54">
        <f t="shared" ca="1" si="30"/>
        <v>-65.550964187327835</v>
      </c>
      <c r="L483" s="20">
        <f t="array" aca="1" ref="L483" ca="1">_FV(A483,"Market cap",TRUE)/10000000</f>
        <v>233606</v>
      </c>
      <c r="M483" s="21" t="str">
        <f t="shared" ca="1" si="31"/>
        <v>LC</v>
      </c>
      <c r="N483" s="37" t="str">
        <f t="array" aca="1" ref="N483" ca="1">_FV(A483,"Industry")</f>
        <v>Metals &amp; Mining</v>
      </c>
    </row>
    <row r="484" spans="1:14">
      <c r="A484" s="107" t="e" vm="525">
        <v>#VALUE!</v>
      </c>
      <c r="B484" s="33">
        <f t="array" aca="1" ref="B484" ca="1">_FV(A484,"Change (%)",TRUE)</f>
        <v>1.32E-3</v>
      </c>
      <c r="C484" s="35">
        <f t="array" aca="1" ref="C484" ca="1">_FV(A484,"Previous close",TRUE)</f>
        <v>719.5</v>
      </c>
      <c r="D484" s="35">
        <f t="array" aca="1" ref="D484" ca="1">_FV(A484,"Price")</f>
        <v>720.45</v>
      </c>
      <c r="E484" s="35">
        <f t="array" aca="1" ref="E484" ca="1">_FV(A484,"Low")</f>
        <v>717</v>
      </c>
      <c r="F484" s="35">
        <f t="array" aca="1" ref="F484" ca="1">_FV(A484,"High")</f>
        <v>728.6</v>
      </c>
      <c r="G484" s="35">
        <f t="array" aca="1" ref="G484" ca="1">_FV(A484,"52 week low",TRUE)</f>
        <v>523.4</v>
      </c>
      <c r="H484" s="36">
        <f t="array" aca="1" ref="H484" ca="1">_FV(A484,"52 week high",TRUE)</f>
        <v>840</v>
      </c>
      <c r="I484" s="40">
        <f t="shared" ca="1" si="28"/>
        <v>14.232142857142852</v>
      </c>
      <c r="J484" s="39" t="str">
        <f t="shared" ca="1" si="29"/>
        <v>WATCH</v>
      </c>
      <c r="K484" s="54">
        <f t="shared" ca="1" si="30"/>
        <v>-37.648070309514729</v>
      </c>
      <c r="L484" s="20">
        <f t="array" aca="1" ref="L484" ca="1">_FV(A484,"Market cap",TRUE)/10000000</f>
        <v>16803.32</v>
      </c>
      <c r="M484" s="21" t="str">
        <f t="shared" ca="1" si="31"/>
        <v>MC</v>
      </c>
      <c r="N484" s="37" t="str">
        <f t="array" aca="1" ref="N484" ca="1">_FV(A484,"Industry")</f>
        <v>Hotels &amp; Entertainment Services</v>
      </c>
    </row>
    <row r="485" spans="1:14">
      <c r="A485" s="107" t="e" vm="526">
        <v>#VALUE!</v>
      </c>
      <c r="B485" s="33">
        <f t="array" aca="1" ref="B485" ca="1">_FV(A485,"Change (%)",TRUE)</f>
        <v>4.5620000000000001E-3</v>
      </c>
      <c r="C485" s="35">
        <f t="array" aca="1" ref="C485" ca="1">_FV(A485,"Previous close",TRUE)</f>
        <v>1030.3</v>
      </c>
      <c r="D485" s="35">
        <f t="array" aca="1" ref="D485" ca="1">_FV(A485,"Price")</f>
        <v>1035</v>
      </c>
      <c r="E485" s="35">
        <f t="array" aca="1" ref="E485" ca="1">_FV(A485,"Low")</f>
        <v>1021.55</v>
      </c>
      <c r="F485" s="35">
        <f t="array" aca="1" ref="F485" ca="1">_FV(A485,"High")</f>
        <v>1047</v>
      </c>
      <c r="G485" s="35">
        <f t="array" aca="1" ref="G485" ca="1">_FV(A485,"52 week low",TRUE)</f>
        <v>740</v>
      </c>
      <c r="H485" s="36">
        <f t="array" aca="1" ref="H485" ca="1">_FV(A485,"52 week high",TRUE)</f>
        <v>1275</v>
      </c>
      <c r="I485" s="40">
        <f t="shared" ca="1" si="28"/>
        <v>18.823529411764707</v>
      </c>
      <c r="J485" s="39" t="str">
        <f t="shared" ca="1" si="29"/>
        <v>WATCH</v>
      </c>
      <c r="K485" s="54">
        <f t="shared" ca="1" si="30"/>
        <v>-39.864864864864863</v>
      </c>
      <c r="L485" s="20">
        <f t="array" aca="1" ref="L485" ca="1">_FV(A485,"Market cap",TRUE)/10000000</f>
        <v>10583.75</v>
      </c>
      <c r="M485" s="21" t="str">
        <f t="shared" ca="1" si="31"/>
        <v>MC</v>
      </c>
      <c r="N485" s="37" t="str">
        <f t="array" aca="1" ref="N485" ca="1">_FV(A485,"Industry")</f>
        <v>Healthcare Providers &amp; Services</v>
      </c>
    </row>
    <row r="486" spans="1:14">
      <c r="A486" s="107" t="e" vm="527">
        <v>#VALUE!</v>
      </c>
      <c r="B486" s="33">
        <f t="array" aca="1" ref="B486" ca="1">_FV(A486,"Change (%)",TRUE)</f>
        <v>-3.8019999999999998E-3</v>
      </c>
      <c r="C486" s="35">
        <f t="array" aca="1" ref="C486" ca="1">_FV(A486,"Previous close",TRUE)</f>
        <v>136.78</v>
      </c>
      <c r="D486" s="35">
        <f t="array" aca="1" ref="D486" ca="1">_FV(A486,"Price")</f>
        <v>136.26</v>
      </c>
      <c r="E486" s="35">
        <f t="array" aca="1" ref="E486" ca="1">_FV(A486,"Low")</f>
        <v>134.72</v>
      </c>
      <c r="F486" s="35">
        <f t="array" aca="1" ref="F486" ca="1">_FV(A486,"High")</f>
        <v>137.5</v>
      </c>
      <c r="G486" s="35">
        <f t="array" aca="1" ref="G486" ca="1">_FV(A486,"52 week low",TRUE)</f>
        <v>95.99</v>
      </c>
      <c r="H486" s="36">
        <f t="array" aca="1" ref="H486" ca="1">_FV(A486,"52 week high",TRUE)</f>
        <v>157.6</v>
      </c>
      <c r="I486" s="40">
        <f t="shared" ca="1" si="28"/>
        <v>13.54060913705584</v>
      </c>
      <c r="J486" s="39" t="str">
        <f t="shared" ca="1" si="29"/>
        <v>WATCH</v>
      </c>
      <c r="K486" s="54">
        <f t="shared" ca="1" si="30"/>
        <v>-41.952286696530884</v>
      </c>
      <c r="L486" s="20">
        <f t="array" aca="1" ref="L486" ca="1">_FV(A486,"Market cap",TRUE)/10000000</f>
        <v>63917.33</v>
      </c>
      <c r="M486" s="21" t="str">
        <f t="shared" ca="1" si="31"/>
        <v>HMC</v>
      </c>
      <c r="N486" s="37" t="str">
        <f t="array" aca="1" ref="N486" ca="1">_FV(A486,"Industry")</f>
        <v>Diversified Retail</v>
      </c>
    </row>
    <row r="487" spans="1:14">
      <c r="A487" s="107" t="e" vm="53">
        <v>#VALUE!</v>
      </c>
      <c r="B487" s="33">
        <f t="array" aca="1" ref="B487" ca="1">_FV(A487,"Change (%)",TRUE)</f>
        <v>-6.6559999999999996E-3</v>
      </c>
      <c r="C487" s="35">
        <f t="array" aca="1" ref="C487" ca="1">_FV(A487,"Previous close",TRUE)</f>
        <v>12.02</v>
      </c>
      <c r="D487" s="35">
        <f t="array" aca="1" ref="D487" ca="1">_FV(A487,"Price")</f>
        <v>11.94</v>
      </c>
      <c r="E487" s="35">
        <f t="array" aca="1" ref="E487" ca="1">_FV(A487,"Low")</f>
        <v>11.89</v>
      </c>
      <c r="F487" s="35">
        <f t="array" aca="1" ref="F487" ca="1">_FV(A487,"High")</f>
        <v>12.09</v>
      </c>
      <c r="G487" s="35">
        <f t="array" aca="1" ref="G487" ca="1">_FV(A487,"52 week low",TRUE)</f>
        <v>6.12</v>
      </c>
      <c r="H487" s="36">
        <f t="array" aca="1" ref="H487" ca="1">_FV(A487,"52 week high",TRUE)</f>
        <v>12.22</v>
      </c>
      <c r="I487" s="40">
        <f t="shared" ca="1" si="28"/>
        <v>2.2913256955810239</v>
      </c>
      <c r="J487" s="39" t="str">
        <f t="shared" ca="1" si="29"/>
        <v>WATCH</v>
      </c>
      <c r="K487" s="54">
        <f t="shared" ca="1" si="30"/>
        <v>-95.098039215686256</v>
      </c>
      <c r="L487" s="20">
        <f t="array" aca="1" ref="L487" ca="1">_FV(A487,"Market cap",TRUE)/10000000</f>
        <v>130228.3</v>
      </c>
      <c r="M487" s="21" t="str">
        <f t="shared" ca="1" si="31"/>
        <v>LC</v>
      </c>
      <c r="N487" s="37" t="str">
        <f t="array" aca="1" ref="N487" ca="1">_FV(A487,"Industry")</f>
        <v>Telecommunications Services</v>
      </c>
    </row>
    <row r="488" spans="1:14">
      <c r="A488" s="107" t="e" vm="132">
        <v>#VALUE!</v>
      </c>
      <c r="B488" s="33">
        <f t="array" aca="1" ref="B488" ca="1">_FV(A488,"Change (%)",TRUE)</f>
        <v>-9.7509999999999993E-3</v>
      </c>
      <c r="C488" s="35">
        <f t="array" aca="1" ref="C488" ca="1">_FV(A488,"Previous close",TRUE)</f>
        <v>1394.7</v>
      </c>
      <c r="D488" s="35">
        <f t="array" aca="1" ref="D488" ca="1">_FV(A488,"Price")</f>
        <v>1381.1</v>
      </c>
      <c r="E488" s="35">
        <f t="array" aca="1" ref="E488" ca="1">_FV(A488,"Low")</f>
        <v>1377</v>
      </c>
      <c r="F488" s="35">
        <f t="array" aca="1" ref="F488" ca="1">_FV(A488,"High")</f>
        <v>1412.4</v>
      </c>
      <c r="G488" s="35">
        <f t="array" aca="1" ref="G488" ca="1">_FV(A488,"52 week low",TRUE)</f>
        <v>1135</v>
      </c>
      <c r="H488" s="36">
        <f t="array" aca="1" ref="H488" ca="1">_FV(A488,"52 week high",TRUE)</f>
        <v>1859.4</v>
      </c>
      <c r="I488" s="40">
        <f t="shared" ca="1" si="28"/>
        <v>25.723351618801772</v>
      </c>
      <c r="J488" s="39" t="str">
        <f t="shared" ca="1" si="29"/>
        <v>HMC BUY</v>
      </c>
      <c r="K488" s="54">
        <f t="shared" ca="1" si="30"/>
        <v>-21.682819383259904</v>
      </c>
      <c r="L488" s="20">
        <f t="array" aca="1" ref="L488" ca="1">_FV(A488,"Market cap",TRUE)/10000000</f>
        <v>46148.49</v>
      </c>
      <c r="M488" s="21" t="str">
        <f t="shared" ca="1" si="31"/>
        <v>HMC</v>
      </c>
      <c r="N488" s="37" t="str">
        <f t="array" aca="1" ref="N488" ca="1">_FV(A488,"Industry")</f>
        <v>Machinery, Equipment &amp; Components</v>
      </c>
    </row>
    <row r="489" spans="1:14">
      <c r="A489" s="107" t="e" vm="528">
        <v>#VALUE!</v>
      </c>
      <c r="B489" s="33">
        <f t="array" aca="1" ref="B489" ca="1">_FV(A489,"Change (%)",TRUE)</f>
        <v>-1.0907999999999999E-2</v>
      </c>
      <c r="C489" s="35">
        <f t="array" aca="1" ref="C489" ca="1">_FV(A489,"Previous close",TRUE)</f>
        <v>3080.3</v>
      </c>
      <c r="D489" s="35">
        <f t="array" aca="1" ref="D489" ca="1">_FV(A489,"Price")</f>
        <v>3046.7</v>
      </c>
      <c r="E489" s="35">
        <f t="array" aca="1" ref="E489" ca="1">_FV(A489,"Low")</f>
        <v>3035</v>
      </c>
      <c r="F489" s="35">
        <f t="array" aca="1" ref="F489" ca="1">_FV(A489,"High")</f>
        <v>3075</v>
      </c>
      <c r="G489" s="35">
        <f t="array" aca="1" ref="G489" ca="1">_FV(A489,"52 week low",TRUE)</f>
        <v>1863</v>
      </c>
      <c r="H489" s="36">
        <f t="array" aca="1" ref="H489" ca="1">_FV(A489,"52 week high",TRUE)</f>
        <v>3865</v>
      </c>
      <c r="I489" s="40">
        <f t="shared" ca="1" si="28"/>
        <v>21.172056921086678</v>
      </c>
      <c r="J489" s="39" t="str">
        <f t="shared" ca="1" si="29"/>
        <v>HMC BUY</v>
      </c>
      <c r="K489" s="54">
        <f t="shared" ca="1" si="30"/>
        <v>-63.537305421363385</v>
      </c>
      <c r="L489" s="20">
        <f t="array" aca="1" ref="L489" ca="1">_FV(A489,"Market cap",TRUE)/10000000</f>
        <v>88602.03</v>
      </c>
      <c r="M489" s="21" t="str">
        <f t="shared" ca="1" si="31"/>
        <v>HMC</v>
      </c>
      <c r="N489" s="37" t="str">
        <f t="array" aca="1" ref="N489" ca="1">_FV(A489,"Industry")</f>
        <v>Renewable Energy</v>
      </c>
    </row>
    <row r="490" spans="1:14">
      <c r="A490" s="107" t="e" vm="529">
        <v>#VALUE!</v>
      </c>
      <c r="B490" s="33">
        <f t="array" aca="1" ref="B490" ca="1">_FV(A490,"Change (%)",TRUE)</f>
        <v>-4.8709999999999995E-3</v>
      </c>
      <c r="C490" s="35">
        <f t="array" aca="1" ref="C490" ca="1">_FV(A490,"Previous close",TRUE)</f>
        <v>810.85</v>
      </c>
      <c r="D490" s="35">
        <f t="array" aca="1" ref="D490" ca="1">_FV(A490,"Price")</f>
        <v>806.9</v>
      </c>
      <c r="E490" s="35">
        <f t="array" aca="1" ref="E490" ca="1">_FV(A490,"Low")</f>
        <v>803.25</v>
      </c>
      <c r="F490" s="35">
        <f t="array" aca="1" ref="F490" ca="1">_FV(A490,"High")</f>
        <v>815.8</v>
      </c>
      <c r="G490" s="35">
        <f t="array" aca="1" ref="G490" ca="1">_FV(A490,"52 week low",TRUE)</f>
        <v>664.3</v>
      </c>
      <c r="H490" s="36">
        <f t="array" aca="1" ref="H490" ca="1">_FV(A490,"52 week high",TRUE)</f>
        <v>994</v>
      </c>
      <c r="I490" s="40">
        <f t="shared" ca="1" si="28"/>
        <v>18.82293762575453</v>
      </c>
      <c r="J490" s="39" t="str">
        <f t="shared" ca="1" si="29"/>
        <v>WATCH</v>
      </c>
      <c r="K490" s="54">
        <f t="shared" ca="1" si="30"/>
        <v>-21.466205027848869</v>
      </c>
      <c r="L490" s="20">
        <f t="array" aca="1" ref="L490" ca="1">_FV(A490,"Market cap",TRUE)/10000000</f>
        <v>21382.43</v>
      </c>
      <c r="M490" s="21" t="str">
        <f t="shared" ca="1" si="31"/>
        <v>MC</v>
      </c>
      <c r="N490" s="37" t="str">
        <f t="array" aca="1" ref="N490" ca="1">_FV(A490,"Industry")</f>
        <v>Metals &amp; Mining</v>
      </c>
    </row>
    <row r="491" spans="1:14">
      <c r="A491" s="107" t="e" vm="530">
        <v>#VALUE!</v>
      </c>
      <c r="B491" s="33">
        <f t="array" aca="1" ref="B491" ca="1">_FV(A491,"Change (%)",TRUE)</f>
        <v>-1.8145000000000001E-2</v>
      </c>
      <c r="C491" s="35">
        <f t="array" aca="1" ref="C491" ca="1">_FV(A491,"Previous close",TRUE)</f>
        <v>135.02000000000001</v>
      </c>
      <c r="D491" s="35">
        <f t="array" aca="1" ref="D491" ca="1">_FV(A491,"Price")</f>
        <v>132.57</v>
      </c>
      <c r="E491" s="35">
        <f t="array" aca="1" ref="E491" ca="1">_FV(A491,"Low")</f>
        <v>132.05000000000001</v>
      </c>
      <c r="F491" s="35">
        <f t="array" aca="1" ref="F491" ca="1">_FV(A491,"High")</f>
        <v>135.02000000000001</v>
      </c>
      <c r="G491" s="35">
        <f t="array" aca="1" ref="G491" ca="1">_FV(A491,"52 week low",TRUE)</f>
        <v>104.8</v>
      </c>
      <c r="H491" s="36">
        <f t="array" aca="1" ref="H491" ca="1">_FV(A491,"52 week high",TRUE)</f>
        <v>166.76</v>
      </c>
      <c r="I491" s="40">
        <f t="shared" ca="1" si="28"/>
        <v>20.50251858958983</v>
      </c>
      <c r="J491" s="39" t="str">
        <f t="shared" ca="1" si="29"/>
        <v>FIRST MC BUY</v>
      </c>
      <c r="K491" s="54">
        <f t="shared" ca="1" si="30"/>
        <v>-26.498091603053432</v>
      </c>
      <c r="L491" s="20">
        <f t="array" aca="1" ref="L491" ca="1">_FV(A491,"Market cap",TRUE)/10000000</f>
        <v>12903.22</v>
      </c>
      <c r="M491" s="21" t="str">
        <f t="shared" ca="1" si="31"/>
        <v>MC</v>
      </c>
      <c r="N491" s="37" t="str">
        <f t="array" aca="1" ref="N491" ca="1">_FV(A491,"Industry")</f>
        <v>Textiles &amp; Apparel</v>
      </c>
    </row>
    <row r="492" spans="1:14">
      <c r="A492" s="107" t="e" vm="531">
        <v>#VALUE!</v>
      </c>
      <c r="B492" s="33">
        <f t="array" aca="1" ref="B492" ca="1">_FV(A492,"Change (%)",TRUE)</f>
        <v>-1.6344000000000001E-2</v>
      </c>
      <c r="C492" s="35">
        <f t="array" aca="1" ref="C492" ca="1">_FV(A492,"Previous close",TRUE)</f>
        <v>923.9</v>
      </c>
      <c r="D492" s="35">
        <f t="array" aca="1" ref="D492" ca="1">_FV(A492,"Price")</f>
        <v>908.8</v>
      </c>
      <c r="E492" s="35">
        <f t="array" aca="1" ref="E492" ca="1">_FV(A492,"Low")</f>
        <v>906.3</v>
      </c>
      <c r="F492" s="35">
        <f t="array" aca="1" ref="F492" ca="1">_FV(A492,"High")</f>
        <v>929</v>
      </c>
      <c r="G492" s="35">
        <f t="array" aca="1" ref="G492" ca="1">_FV(A492,"52 week low",TRUE)</f>
        <v>887.7</v>
      </c>
      <c r="H492" s="36">
        <f t="array" aca="1" ref="H492" ca="1">_FV(A492,"52 week high",TRUE)</f>
        <v>1944.5</v>
      </c>
      <c r="I492" s="40">
        <f t="shared" ca="1" si="28"/>
        <v>53.263049627153507</v>
      </c>
      <c r="J492" s="39" t="str">
        <f t="shared" ca="1" si="29"/>
        <v>SURE MC BUY</v>
      </c>
      <c r="K492" s="54">
        <f t="shared" ca="1" si="30"/>
        <v>-2.3769291427283887</v>
      </c>
      <c r="L492" s="20">
        <f t="array" aca="1" ref="L492" ca="1">_FV(A492,"Market cap",TRUE)/10000000</f>
        <v>11721.69</v>
      </c>
      <c r="M492" s="21" t="str">
        <f t="shared" ca="1" si="31"/>
        <v>MC</v>
      </c>
      <c r="N492" s="37" t="str">
        <f t="array" aca="1" ref="N492" ca="1">_FV(A492,"Industry")</f>
        <v>Household Goods</v>
      </c>
    </row>
    <row r="493" spans="1:14">
      <c r="A493" s="107" t="e" vm="133">
        <v>#VALUE!</v>
      </c>
      <c r="B493" s="33">
        <f t="array" aca="1" ref="B493" ca="1">_FV(A493,"Change (%)",TRUE)</f>
        <v>-6.5659999999999998E-3</v>
      </c>
      <c r="C493" s="35">
        <f t="array" aca="1" ref="C493" ca="1">_FV(A493,"Previous close",TRUE)</f>
        <v>268.06</v>
      </c>
      <c r="D493" s="35">
        <f t="array" aca="1" ref="D493" ca="1">_FV(A493,"Price")</f>
        <v>266.3</v>
      </c>
      <c r="E493" s="35">
        <f t="array" aca="1" ref="E493" ca="1">_FV(A493,"Low")</f>
        <v>265.74</v>
      </c>
      <c r="F493" s="35">
        <f t="array" aca="1" ref="F493" ca="1">_FV(A493,"High")</f>
        <v>268.88</v>
      </c>
      <c r="G493" s="35">
        <f t="array" aca="1" ref="G493" ca="1">_FV(A493,"52 week low",TRUE)</f>
        <v>228</v>
      </c>
      <c r="H493" s="36">
        <f t="array" aca="1" ref="H493" ca="1">_FV(A493,"52 week high",TRUE)</f>
        <v>324.60000000000002</v>
      </c>
      <c r="I493" s="40">
        <f t="shared" ca="1" si="28"/>
        <v>17.960566851509551</v>
      </c>
      <c r="J493" s="39" t="str">
        <f t="shared" ca="1" si="29"/>
        <v>LC BUY</v>
      </c>
      <c r="K493" s="54">
        <f t="shared" ca="1" si="30"/>
        <v>-16.798245614035093</v>
      </c>
      <c r="L493" s="20">
        <f t="array" aca="1" ref="L493" ca="1">_FV(A493,"Market cap",TRUE)/10000000</f>
        <v>280790.40000000002</v>
      </c>
      <c r="M493" s="21" t="str">
        <f t="shared" ca="1" si="31"/>
        <v>LC</v>
      </c>
      <c r="N493" s="37" t="str">
        <f t="array" aca="1" ref="N493" ca="1">_FV(A493,"Industry")</f>
        <v>Software &amp; IT Services</v>
      </c>
    </row>
    <row r="494" spans="1:14">
      <c r="A494" s="107" t="e" vm="532">
        <v>#VALUE!</v>
      </c>
      <c r="B494" s="33">
        <f t="array" aca="1" ref="B494" ca="1">_FV(A494,"Change (%)",TRUE)</f>
        <v>-1.879E-3</v>
      </c>
      <c r="C494" s="35">
        <f t="array" aca="1" ref="C494" ca="1">_FV(A494,"Previous close",TRUE)</f>
        <v>1437</v>
      </c>
      <c r="D494" s="35">
        <f t="array" aca="1" ref="D494" ca="1">_FV(A494,"Price")</f>
        <v>1434.3</v>
      </c>
      <c r="E494" s="35">
        <f t="array" aca="1" ref="E494" ca="1">_FV(A494,"Low")</f>
        <v>1420.1</v>
      </c>
      <c r="F494" s="35">
        <f t="array" aca="1" ref="F494" ca="1">_FV(A494,"High")</f>
        <v>1465.9</v>
      </c>
      <c r="G494" s="35">
        <f t="array" aca="1" ref="G494" ca="1">_FV(A494,"52 week low",TRUE)</f>
        <v>1110.05</v>
      </c>
      <c r="H494" s="36">
        <f t="array" aca="1" ref="H494" ca="1">_FV(A494,"52 week high",TRUE)</f>
        <v>1868.8</v>
      </c>
      <c r="I494" s="40">
        <f t="shared" ca="1" si="28"/>
        <v>23.250214041095891</v>
      </c>
      <c r="J494" s="39" t="str">
        <f t="shared" ca="1" si="29"/>
        <v>FIRST MC BUY</v>
      </c>
      <c r="K494" s="54">
        <f t="shared" ca="1" si="30"/>
        <v>-29.210395928111346</v>
      </c>
      <c r="L494" s="20">
        <f t="array" aca="1" ref="L494" ca="1">_FV(A494,"Market cap",TRUE)/10000000</f>
        <v>23350.13</v>
      </c>
      <c r="M494" s="21" t="str">
        <f t="shared" ca="1" si="31"/>
        <v>MC</v>
      </c>
      <c r="N494" s="37" t="str">
        <f t="array" aca="1" ref="N494" ca="1">_FV(A494,"Industry")</f>
        <v>Pharmaceuticals</v>
      </c>
    </row>
    <row r="495" spans="1:14">
      <c r="A495" s="107" t="e" vm="533">
        <v>#VALUE!</v>
      </c>
      <c r="B495" s="33">
        <f t="array" aca="1" ref="B495" ca="1">_FV(A495,"Change (%)",TRUE)</f>
        <v>-7.8380000000000012E-3</v>
      </c>
      <c r="C495" s="35">
        <f t="array" aca="1" ref="C495" ca="1">_FV(A495,"Previous close",TRUE)</f>
        <v>21.69</v>
      </c>
      <c r="D495" s="35">
        <f t="array" aca="1" ref="D495" ca="1">_FV(A495,"Price")</f>
        <v>21.52</v>
      </c>
      <c r="E495" s="35">
        <f t="array" aca="1" ref="E495" ca="1">_FV(A495,"Low")</f>
        <v>21.47</v>
      </c>
      <c r="F495" s="35">
        <f t="array" aca="1" ref="F495" ca="1">_FV(A495,"High")</f>
        <v>21.73</v>
      </c>
      <c r="G495" s="35">
        <f t="array" aca="1" ref="G495" ca="1">_FV(A495,"52 week low",TRUE)</f>
        <v>16.02</v>
      </c>
      <c r="H495" s="36">
        <f t="array" aca="1" ref="H495" ca="1">_FV(A495,"52 week high",TRUE)</f>
        <v>24.3</v>
      </c>
      <c r="I495" s="40">
        <f t="shared" ca="1" si="28"/>
        <v>11.440329218107001</v>
      </c>
      <c r="J495" s="39" t="str">
        <f t="shared" ca="1" si="29"/>
        <v>WATCH</v>
      </c>
      <c r="K495" s="54">
        <f t="shared" ca="1" si="30"/>
        <v>-34.332084893882644</v>
      </c>
      <c r="L495" s="20">
        <f t="array" aca="1" ref="L495" ca="1">_FV(A495,"Market cap",TRUE)/10000000</f>
        <v>68059.839999999997</v>
      </c>
      <c r="M495" s="21" t="str">
        <f t="shared" ca="1" si="31"/>
        <v>HMC</v>
      </c>
      <c r="N495" s="37" t="str">
        <f t="array" aca="1" ref="N495" ca="1">_FV(A495,"Industry")</f>
        <v>Banking Services</v>
      </c>
    </row>
    <row r="496" spans="1:14">
      <c r="A496" s="107" t="e" vm="534">
        <v>#VALUE!</v>
      </c>
      <c r="B496" s="33">
        <f t="array" aca="1" ref="B496" ca="1">_FV(A496,"Change (%)",TRUE)</f>
        <v>-2.3649999999999999E-3</v>
      </c>
      <c r="C496" s="35">
        <f t="array" aca="1" ref="C496" ca="1">_FV(A496,"Previous close",TRUE)</f>
        <v>14802</v>
      </c>
      <c r="D496" s="35">
        <f t="array" aca="1" ref="D496" ca="1">_FV(A496,"Price")</f>
        <v>14767</v>
      </c>
      <c r="E496" s="35">
        <f t="array" aca="1" ref="E496" ca="1">_FV(A496,"Low")</f>
        <v>14717</v>
      </c>
      <c r="F496" s="35">
        <f t="array" aca="1" ref="F496" ca="1">_FV(A496,"High")</f>
        <v>14973</v>
      </c>
      <c r="G496" s="35">
        <f t="array" aca="1" ref="G496" ca="1">_FV(A496,"52 week low",TRUE)</f>
        <v>9561</v>
      </c>
      <c r="H496" s="36">
        <f t="array" aca="1" ref="H496" ca="1">_FV(A496,"52 week high",TRUE)</f>
        <v>15848</v>
      </c>
      <c r="I496" s="40">
        <f t="shared" ca="1" si="28"/>
        <v>6.8210499747602222</v>
      </c>
      <c r="J496" s="39" t="str">
        <f t="shared" ca="1" si="29"/>
        <v>WATCH</v>
      </c>
      <c r="K496" s="54">
        <f t="shared" ca="1" si="30"/>
        <v>-54.450371300073215</v>
      </c>
      <c r="L496" s="20">
        <f t="array" aca="1" ref="L496" ca="1">_FV(A496,"Market cap",TRUE)/10000000</f>
        <v>28009.43</v>
      </c>
      <c r="M496" s="21" t="str">
        <f t="shared" ca="1" si="31"/>
        <v>MC</v>
      </c>
      <c r="N496" s="37" t="str">
        <f t="array" aca="1" ref="N496" ca="1">_FV(A496,"Industry")</f>
        <v>Automobiles &amp; Auto Parts</v>
      </c>
    </row>
    <row r="497" spans="1:14">
      <c r="A497" s="107" t="e" vm="535">
        <v>#VALUE!</v>
      </c>
      <c r="B497" s="33">
        <f t="array" aca="1" ref="B497" ca="1">_FV(A497,"Change (%)",TRUE)</f>
        <v>-6.535E-3</v>
      </c>
      <c r="C497" s="35">
        <f t="array" aca="1" ref="C497" ca="1">_FV(A497,"Previous close",TRUE)</f>
        <v>91.81</v>
      </c>
      <c r="D497" s="35">
        <f t="array" aca="1" ref="D497" ca="1">_FV(A497,"Price")</f>
        <v>91.21</v>
      </c>
      <c r="E497" s="35">
        <f t="array" aca="1" ref="E497" ca="1">_FV(A497,"Low")</f>
        <v>91.05</v>
      </c>
      <c r="F497" s="35">
        <f t="array" aca="1" ref="F497" ca="1">_FV(A497,"High")</f>
        <v>92.64</v>
      </c>
      <c r="G497" s="35">
        <f t="array" aca="1" ref="G497" ca="1">_FV(A497,"52 week low",TRUE)</f>
        <v>89.32</v>
      </c>
      <c r="H497" s="36">
        <f t="array" aca="1" ref="H497" ca="1">_FV(A497,"52 week high",TRUE)</f>
        <v>151.69999999999999</v>
      </c>
      <c r="I497" s="40">
        <f t="shared" ca="1" si="28"/>
        <v>39.874752801582069</v>
      </c>
      <c r="J497" s="39" t="str">
        <f t="shared" ca="1" si="29"/>
        <v>WATCH</v>
      </c>
      <c r="K497" s="54">
        <f t="shared" ca="1" si="30"/>
        <v>-2.115987460815048</v>
      </c>
      <c r="L497" s="20">
        <f t="array" aca="1" ref="L497" ca="1">_FV(A497,"Market cap",TRUE)/10000000</f>
        <v>8818.5290000000005</v>
      </c>
      <c r="M497" s="21" t="str">
        <f t="shared" ca="1" si="31"/>
        <v>HSC</v>
      </c>
      <c r="N497" s="37" t="str">
        <f t="array" aca="1" ref="N497" ca="1">_FV(A497,"Industry")</f>
        <v>Media &amp; Publishing</v>
      </c>
    </row>
    <row r="498" spans="1:14">
      <c r="A498" s="107" t="e" vm="134">
        <v>#VALUE!</v>
      </c>
      <c r="B498" s="33">
        <f t="array" aca="1" ref="B498" ca="1">_FV(A498,"Change (%)",TRUE)</f>
        <v>-1.2072000000000001E-2</v>
      </c>
      <c r="C498" s="35">
        <f t="array" aca="1" ref="C498" ca="1">_FV(A498,"Previous close",TRUE)</f>
        <v>1391.6</v>
      </c>
      <c r="D498" s="35">
        <f t="array" aca="1" ref="D498" ca="1">_FV(A498,"Price")</f>
        <v>1374.8</v>
      </c>
      <c r="E498" s="35">
        <f t="array" aca="1" ref="E498" ca="1">_FV(A498,"Low")</f>
        <v>1367.2</v>
      </c>
      <c r="F498" s="35">
        <f t="array" aca="1" ref="F498" ca="1">_FV(A498,"High")</f>
        <v>1407.8</v>
      </c>
      <c r="G498" s="35">
        <f t="array" aca="1" ref="G498" ca="1">_FV(A498,"52 week low",TRUE)</f>
        <v>945.35</v>
      </c>
      <c r="H498" s="36">
        <f t="array" aca="1" ref="H498" ca="1">_FV(A498,"52 week high",TRUE)</f>
        <v>2627</v>
      </c>
      <c r="I498" s="40">
        <f t="shared" ca="1" si="28"/>
        <v>47.666539779215839</v>
      </c>
      <c r="J498" s="39" t="str">
        <f t="shared" ca="1" si="29"/>
        <v>SURE MC BUY</v>
      </c>
      <c r="K498" s="54">
        <f t="shared" ca="1" si="30"/>
        <v>-45.427619400222135</v>
      </c>
      <c r="L498" s="20">
        <f t="array" aca="1" ref="L498" ca="1">_FV(A498,"Market cap",TRUE)/10000000</f>
        <v>12360.99</v>
      </c>
      <c r="M498" s="21" t="str">
        <f t="shared" ca="1" si="31"/>
        <v>MC</v>
      </c>
      <c r="N498" s="37" t="str">
        <f t="array" aca="1" ref="N498" ca="1">_FV(A498,"Industry")</f>
        <v>Aerospace &amp; Defense</v>
      </c>
    </row>
    <row r="499" spans="1:14">
      <c r="A499" s="107" t="e" vm="536">
        <v>#VALUE!</v>
      </c>
      <c r="B499" s="33">
        <f t="array" aca="1" ref="B499" ca="1">_FV(A499,"Change (%)",TRUE)</f>
        <v>-2.2238999999999998E-2</v>
      </c>
      <c r="C499" s="35">
        <f t="array" aca="1" ref="C499" ca="1">_FV(A499,"Previous close",TRUE)</f>
        <v>739.7</v>
      </c>
      <c r="D499" s="35">
        <f t="array" aca="1" ref="D499" ca="1">_FV(A499,"Price")</f>
        <v>723.25</v>
      </c>
      <c r="E499" s="35">
        <f t="array" aca="1" ref="E499" ca="1">_FV(A499,"Low")</f>
        <v>720.65</v>
      </c>
      <c r="F499" s="35">
        <f t="array" aca="1" ref="F499" ca="1">_FV(A499,"High")</f>
        <v>741.5</v>
      </c>
      <c r="G499" s="35">
        <f t="array" aca="1" ref="G499" ca="1">_FV(A499,"52 week low",TRUE)</f>
        <v>535.85</v>
      </c>
      <c r="H499" s="36">
        <f t="array" aca="1" ref="H499" ca="1">_FV(A499,"52 week high",TRUE)</f>
        <v>984.95</v>
      </c>
      <c r="I499" s="40">
        <f t="shared" ca="1" si="28"/>
        <v>26.569876643484442</v>
      </c>
      <c r="J499" s="39" t="str">
        <f t="shared" ca="1" si="29"/>
        <v>FIRST MC BUY</v>
      </c>
      <c r="K499" s="54">
        <f t="shared" ca="1" si="30"/>
        <v>-34.972473640011188</v>
      </c>
      <c r="L499" s="20">
        <f t="array" aca="1" ref="L499" ca="1">_FV(A499,"Market cap",TRUE)/10000000</f>
        <v>16821.37</v>
      </c>
      <c r="M499" s="21" t="str">
        <f t="shared" ca="1" si="31"/>
        <v>MC</v>
      </c>
      <c r="N499" s="37" t="str">
        <f t="array" aca="1" ref="N499" ca="1">_FV(A499,"Industry")</f>
        <v>Software &amp; IT Services</v>
      </c>
    </row>
    <row r="500" spans="1:14">
      <c r="A500" s="107" t="e" vm="178">
        <v>#VALUE!</v>
      </c>
      <c r="B500" s="33">
        <f t="array" aca="1" ref="B500" ca="1">_FV(A500,"Change (%)",TRUE)</f>
        <v>-6.8100000000000001E-3</v>
      </c>
      <c r="C500" s="35">
        <f t="array" aca="1" ref="C500" ca="1">_FV(A500,"Previous close",TRUE)</f>
        <v>917.8</v>
      </c>
      <c r="D500" s="35">
        <f t="array" aca="1" ref="D500" ca="1">_FV(A500,"Price")</f>
        <v>911.55</v>
      </c>
      <c r="E500" s="35">
        <f t="array" aca="1" ref="E500" ca="1">_FV(A500,"Low")</f>
        <v>909</v>
      </c>
      <c r="F500" s="35">
        <f t="array" aca="1" ref="F500" ca="1">_FV(A500,"High")</f>
        <v>920</v>
      </c>
      <c r="G500" s="35">
        <f t="array" aca="1" ref="G500" ca="1">_FV(A500,"52 week low",TRUE)</f>
        <v>795</v>
      </c>
      <c r="H500" s="36">
        <f t="array" aca="1" ref="H500" ca="1">_FV(A500,"52 week high",TRUE)</f>
        <v>1059.05</v>
      </c>
      <c r="I500" s="40">
        <f t="shared" ca="1" si="28"/>
        <v>13.92757660167131</v>
      </c>
      <c r="J500" s="39" t="str">
        <f t="shared" ca="1" si="29"/>
        <v>WATCH</v>
      </c>
      <c r="K500" s="54">
        <f t="shared" ca="1" si="30"/>
        <v>-14.660377358490562</v>
      </c>
      <c r="L500" s="20">
        <f t="array" aca="1" ref="L500" ca="1">_FV(A500,"Market cap",TRUE)/10000000</f>
        <v>92352.16</v>
      </c>
      <c r="M500" s="21" t="str">
        <f t="shared" ca="1" si="31"/>
        <v>HMC</v>
      </c>
      <c r="N500" s="37" t="str">
        <f t="array" aca="1" ref="N500" ca="1">_FV(A500,"Industry")</f>
        <v>Pharmaceuticals</v>
      </c>
    </row>
    <row r="501" spans="1:14">
      <c r="A501" s="107" t="e" vm="537">
        <v>#VALUE!</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AF4C014-F1D3-41B8-8DB6-3D245D258CAE}"/>
</file>

<file path=docMetadata/LabelInfo.xml><?xml version="1.0" encoding="utf-8"?>
<clbl:labelList xmlns:clbl="http://schemas.microsoft.com/office/2020/mipLabelMetadata">
  <clbl:label id="{404b1967-6507-45ab-8a6d-7374a3f478be}" enabled="0" method="" siteId="{404b1967-6507-45ab-8a6d-7374a3f478be}"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SHAILESH SINGH</dc:creator>
  <cp:keywords/>
  <dc:description/>
  <cp:lastModifiedBy/>
  <cp:revision/>
  <dcterms:created xsi:type="dcterms:W3CDTF">2022-05-24T09:18:56Z</dcterms:created>
  <dcterms:modified xsi:type="dcterms:W3CDTF">2025-12-27T14:56:07Z</dcterms:modified>
  <cp:category/>
  <cp:contentStatus/>
</cp:coreProperties>
</file>